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fnottm-my.sharepoint.com/personal/agnes_aboagye_nottingham_ac_uk/Documents/4th year/thesis Chapters/Chapter 3/Chapter 3 data/"/>
    </mc:Choice>
  </mc:AlternateContent>
  <xr:revisionPtr revIDLastSave="25" documentId="8_{98911FDF-F44A-4199-96DA-FACDFADBBB2E}" xr6:coauthVersionLast="47" xr6:coauthVersionMax="47" xr10:uidLastSave="{23D1F6BF-C647-4FDA-91AC-55795E6A2FC6}"/>
  <bookViews>
    <workbookView xWindow="-28920" yWindow="-120" windowWidth="29040" windowHeight="15720" activeTab="1" xr2:uid="{8A3BB79D-D85F-49C0-BD14-AF0F003061DB}"/>
  </bookViews>
  <sheets>
    <sheet name="Field23" sheetId="1" r:id="rId1"/>
    <sheet name="Field24" sheetId="2" r:id="rId2"/>
    <sheet name="Field 23-24" sheetId="3" r:id="rId3"/>
    <sheet name="Trial Plan 2023" sheetId="4" r:id="rId4"/>
    <sheet name="Trial Plan 2024" sheetId="5" r:id="rId5"/>
    <sheet name="Methods" sheetId="6" r:id="rId6"/>
  </sheets>
  <externalReferences>
    <externalReference r:id="rId7"/>
  </externalReferences>
  <definedNames>
    <definedName name="xcirclez1" hidden="1">#REF!</definedName>
    <definedName name="ycirclez1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58" i="5" l="1"/>
  <c r="BP58" i="5"/>
  <c r="BL58" i="5"/>
  <c r="BI58" i="5"/>
  <c r="BE58" i="5"/>
  <c r="BB58" i="5"/>
  <c r="AX58" i="5"/>
  <c r="AU58" i="5"/>
  <c r="O899" i="2" l="1"/>
  <c r="N899" i="2"/>
  <c r="L899" i="2"/>
  <c r="L901" i="2" s="1"/>
  <c r="K899" i="2"/>
  <c r="K901" i="2" s="1"/>
  <c r="I899" i="2"/>
  <c r="H899" i="2"/>
  <c r="O896" i="2"/>
  <c r="O897" i="2" s="1"/>
  <c r="N896" i="2"/>
  <c r="N898" i="2" s="1"/>
  <c r="L896" i="2"/>
  <c r="K896" i="2"/>
  <c r="I896" i="2"/>
  <c r="H896" i="2"/>
  <c r="O893" i="2"/>
  <c r="O895" i="2" s="1"/>
  <c r="N893" i="2"/>
  <c r="N894" i="2" s="1"/>
  <c r="L893" i="2"/>
  <c r="L895" i="2" s="1"/>
  <c r="K893" i="2"/>
  <c r="I893" i="2"/>
  <c r="I895" i="2" s="1"/>
  <c r="H893" i="2"/>
  <c r="H895" i="2" s="1"/>
  <c r="O890" i="2"/>
  <c r="O892" i="2" s="1"/>
  <c r="N890" i="2"/>
  <c r="N892" i="2" s="1"/>
  <c r="L890" i="2"/>
  <c r="L892" i="2" s="1"/>
  <c r="K890" i="2"/>
  <c r="K892" i="2" s="1"/>
  <c r="I890" i="2"/>
  <c r="H890" i="2"/>
  <c r="O887" i="2"/>
  <c r="O888" i="2" s="1"/>
  <c r="N887" i="2"/>
  <c r="N889" i="2" s="1"/>
  <c r="L887" i="2"/>
  <c r="L888" i="2" s="1"/>
  <c r="K887" i="2"/>
  <c r="I887" i="2"/>
  <c r="I888" i="2" s="1"/>
  <c r="H887" i="2"/>
  <c r="H888" i="2" s="1"/>
  <c r="O884" i="2"/>
  <c r="O885" i="2" s="1"/>
  <c r="N884" i="2"/>
  <c r="N885" i="2" s="1"/>
  <c r="L884" i="2"/>
  <c r="K884" i="2"/>
  <c r="I884" i="2"/>
  <c r="H884" i="2"/>
  <c r="O881" i="2"/>
  <c r="O883" i="2" s="1"/>
  <c r="N881" i="2"/>
  <c r="N882" i="2" s="1"/>
  <c r="L881" i="2"/>
  <c r="L882" i="2" s="1"/>
  <c r="K881" i="2"/>
  <c r="I881" i="2"/>
  <c r="H881" i="2"/>
  <c r="O878" i="2"/>
  <c r="O880" i="2" s="1"/>
  <c r="N878" i="2"/>
  <c r="N879" i="2" s="1"/>
  <c r="L878" i="2"/>
  <c r="K878" i="2"/>
  <c r="I878" i="2"/>
  <c r="H878" i="2"/>
  <c r="H880" i="2" s="1"/>
  <c r="O875" i="2"/>
  <c r="O877" i="2" s="1"/>
  <c r="N875" i="2"/>
  <c r="N877" i="2" s="1"/>
  <c r="L875" i="2"/>
  <c r="L876" i="2" s="1"/>
  <c r="K875" i="2"/>
  <c r="K877" i="2" s="1"/>
  <c r="I875" i="2"/>
  <c r="I876" i="2" s="1"/>
  <c r="H875" i="2"/>
  <c r="H876" i="2" s="1"/>
  <c r="O872" i="2"/>
  <c r="N872" i="2"/>
  <c r="N874" i="2" s="1"/>
  <c r="L872" i="2"/>
  <c r="K872" i="2"/>
  <c r="I872" i="2"/>
  <c r="H872" i="2"/>
  <c r="H874" i="2" s="1"/>
  <c r="O869" i="2"/>
  <c r="N869" i="2"/>
  <c r="L869" i="2"/>
  <c r="K869" i="2"/>
  <c r="I869" i="2"/>
  <c r="I871" i="2" s="1"/>
  <c r="H869" i="2"/>
  <c r="H871" i="2" s="1"/>
  <c r="O866" i="2"/>
  <c r="N866" i="2"/>
  <c r="L866" i="2"/>
  <c r="L867" i="2" s="1"/>
  <c r="K866" i="2"/>
  <c r="I866" i="2"/>
  <c r="H866" i="2"/>
  <c r="O863" i="2"/>
  <c r="O865" i="2" s="1"/>
  <c r="N863" i="2"/>
  <c r="L863" i="2"/>
  <c r="K863" i="2"/>
  <c r="I863" i="2"/>
  <c r="H863" i="2"/>
  <c r="H864" i="2" s="1"/>
  <c r="O860" i="2"/>
  <c r="O861" i="2" s="1"/>
  <c r="N860" i="2"/>
  <c r="L860" i="2"/>
  <c r="K860" i="2"/>
  <c r="I860" i="2"/>
  <c r="I862" i="2" s="1"/>
  <c r="H860" i="2"/>
  <c r="O857" i="2"/>
  <c r="O858" i="2" s="1"/>
  <c r="N857" i="2"/>
  <c r="N858" i="2" s="1"/>
  <c r="L857" i="2"/>
  <c r="L859" i="2" s="1"/>
  <c r="K857" i="2"/>
  <c r="I857" i="2"/>
  <c r="H857" i="2"/>
  <c r="O854" i="2"/>
  <c r="O855" i="2" s="1"/>
  <c r="N854" i="2"/>
  <c r="L854" i="2"/>
  <c r="L855" i="2" s="1"/>
  <c r="K854" i="2"/>
  <c r="K855" i="2" s="1"/>
  <c r="I854" i="2"/>
  <c r="I855" i="2" s="1"/>
  <c r="H854" i="2"/>
  <c r="H856" i="2" s="1"/>
  <c r="O851" i="2"/>
  <c r="N851" i="2"/>
  <c r="L851" i="2"/>
  <c r="L853" i="2" s="1"/>
  <c r="K851" i="2"/>
  <c r="K853" i="2" s="1"/>
  <c r="I851" i="2"/>
  <c r="I852" i="2" s="1"/>
  <c r="H851" i="2"/>
  <c r="H852" i="2" s="1"/>
  <c r="O848" i="2"/>
  <c r="N848" i="2"/>
  <c r="L848" i="2"/>
  <c r="K848" i="2"/>
  <c r="I848" i="2"/>
  <c r="H848" i="2"/>
  <c r="O845" i="2"/>
  <c r="O846" i="2" s="1"/>
  <c r="N845" i="2"/>
  <c r="L845" i="2"/>
  <c r="K845" i="2"/>
  <c r="K847" i="2" s="1"/>
  <c r="I845" i="2"/>
  <c r="H845" i="2"/>
  <c r="H847" i="2" s="1"/>
  <c r="O842" i="2"/>
  <c r="O844" i="2" s="1"/>
  <c r="N842" i="2"/>
  <c r="N844" i="2" s="1"/>
  <c r="L842" i="2"/>
  <c r="L844" i="2" s="1"/>
  <c r="K842" i="2"/>
  <c r="K843" i="2" s="1"/>
  <c r="I842" i="2"/>
  <c r="I843" i="2" s="1"/>
  <c r="H842" i="2"/>
  <c r="H843" i="2" s="1"/>
  <c r="O839" i="2"/>
  <c r="O841" i="2" s="1"/>
  <c r="N839" i="2"/>
  <c r="L839" i="2"/>
  <c r="K839" i="2"/>
  <c r="I839" i="2"/>
  <c r="H839" i="2"/>
  <c r="O836" i="2"/>
  <c r="O837" i="2" s="1"/>
  <c r="N836" i="2"/>
  <c r="N837" i="2" s="1"/>
  <c r="L836" i="2"/>
  <c r="K836" i="2"/>
  <c r="K837" i="2" s="1"/>
  <c r="I836" i="2"/>
  <c r="I837" i="2" s="1"/>
  <c r="H836" i="2"/>
  <c r="H837" i="2" s="1"/>
  <c r="O833" i="2"/>
  <c r="O834" i="2" s="1"/>
  <c r="N833" i="2"/>
  <c r="L833" i="2"/>
  <c r="L835" i="2" s="1"/>
  <c r="K833" i="2"/>
  <c r="I833" i="2"/>
  <c r="I835" i="2" s="1"/>
  <c r="H833" i="2"/>
  <c r="H835" i="2" s="1"/>
  <c r="O830" i="2"/>
  <c r="O831" i="2" s="1"/>
  <c r="N830" i="2"/>
  <c r="L830" i="2"/>
  <c r="K830" i="2"/>
  <c r="I830" i="2"/>
  <c r="H830" i="2"/>
  <c r="H832" i="2" s="1"/>
  <c r="O827" i="2"/>
  <c r="N827" i="2"/>
  <c r="L827" i="2"/>
  <c r="L829" i="2" s="1"/>
  <c r="K827" i="2"/>
  <c r="I827" i="2"/>
  <c r="I829" i="2" s="1"/>
  <c r="H827" i="2"/>
  <c r="H829" i="2" s="1"/>
  <c r="O824" i="2"/>
  <c r="O826" i="2" s="1"/>
  <c r="N824" i="2"/>
  <c r="N826" i="2" s="1"/>
  <c r="L824" i="2"/>
  <c r="L826" i="2" s="1"/>
  <c r="K824" i="2"/>
  <c r="I824" i="2"/>
  <c r="H824" i="2"/>
  <c r="O821" i="2"/>
  <c r="N821" i="2"/>
  <c r="L821" i="2"/>
  <c r="K821" i="2"/>
  <c r="I821" i="2"/>
  <c r="H821" i="2"/>
  <c r="O818" i="2"/>
  <c r="O820" i="2" s="1"/>
  <c r="N818" i="2"/>
  <c r="N820" i="2" s="1"/>
  <c r="L818" i="2"/>
  <c r="L820" i="2" s="1"/>
  <c r="K818" i="2"/>
  <c r="I818" i="2"/>
  <c r="H818" i="2"/>
  <c r="H819" i="2" s="1"/>
  <c r="O815" i="2"/>
  <c r="N815" i="2"/>
  <c r="N816" i="2" s="1"/>
  <c r="L815" i="2"/>
  <c r="K815" i="2"/>
  <c r="I815" i="2"/>
  <c r="H815" i="2"/>
  <c r="O812" i="2"/>
  <c r="O814" i="2" s="1"/>
  <c r="N812" i="2"/>
  <c r="N813" i="2" s="1"/>
  <c r="L812" i="2"/>
  <c r="L813" i="2" s="1"/>
  <c r="K812" i="2"/>
  <c r="I812" i="2"/>
  <c r="I813" i="2" s="1"/>
  <c r="H812" i="2"/>
  <c r="O809" i="2"/>
  <c r="O810" i="2" s="1"/>
  <c r="N809" i="2"/>
  <c r="N810" i="2" s="1"/>
  <c r="L809" i="2"/>
  <c r="L810" i="2" s="1"/>
  <c r="K809" i="2"/>
  <c r="I809" i="2"/>
  <c r="H809" i="2"/>
  <c r="O806" i="2"/>
  <c r="N806" i="2"/>
  <c r="L806" i="2"/>
  <c r="K806" i="2"/>
  <c r="I806" i="2"/>
  <c r="I807" i="2" s="1"/>
  <c r="H806" i="2"/>
  <c r="H807" i="2" s="1"/>
  <c r="O803" i="2"/>
  <c r="N803" i="2"/>
  <c r="L803" i="2"/>
  <c r="L805" i="2" s="1"/>
  <c r="K803" i="2"/>
  <c r="K805" i="2" s="1"/>
  <c r="I803" i="2"/>
  <c r="I804" i="2" s="1"/>
  <c r="H803" i="2"/>
  <c r="H804" i="2" s="1"/>
  <c r="O800" i="2"/>
  <c r="N800" i="2"/>
  <c r="L800" i="2"/>
  <c r="L802" i="2" s="1"/>
  <c r="K800" i="2"/>
  <c r="K801" i="2" s="1"/>
  <c r="I800" i="2"/>
  <c r="I802" i="2" s="1"/>
  <c r="H800" i="2"/>
  <c r="H801" i="2" s="1"/>
  <c r="O797" i="2"/>
  <c r="O799" i="2" s="1"/>
  <c r="N797" i="2"/>
  <c r="N799" i="2" s="1"/>
  <c r="L797" i="2"/>
  <c r="L799" i="2" s="1"/>
  <c r="K797" i="2"/>
  <c r="K799" i="2" s="1"/>
  <c r="I797" i="2"/>
  <c r="I799" i="2" s="1"/>
  <c r="H797" i="2"/>
  <c r="H799" i="2" s="1"/>
  <c r="O794" i="2"/>
  <c r="O796" i="2" s="1"/>
  <c r="N794" i="2"/>
  <c r="N796" i="2" s="1"/>
  <c r="L794" i="2"/>
  <c r="L796" i="2" s="1"/>
  <c r="K794" i="2"/>
  <c r="K796" i="2" s="1"/>
  <c r="I794" i="2"/>
  <c r="I795" i="2" s="1"/>
  <c r="H794" i="2"/>
  <c r="H795" i="2" s="1"/>
  <c r="O791" i="2"/>
  <c r="O793" i="2" s="1"/>
  <c r="N791" i="2"/>
  <c r="L791" i="2"/>
  <c r="K791" i="2"/>
  <c r="I791" i="2"/>
  <c r="H791" i="2"/>
  <c r="H793" i="2" s="1"/>
  <c r="O788" i="2"/>
  <c r="O789" i="2" s="1"/>
  <c r="N788" i="2"/>
  <c r="N789" i="2" s="1"/>
  <c r="L788" i="2"/>
  <c r="L789" i="2" s="1"/>
  <c r="K788" i="2"/>
  <c r="I788" i="2"/>
  <c r="H788" i="2"/>
  <c r="O785" i="2"/>
  <c r="O786" i="2" s="1"/>
  <c r="N785" i="2"/>
  <c r="L785" i="2"/>
  <c r="L787" i="2" s="1"/>
  <c r="K785" i="2"/>
  <c r="I785" i="2"/>
  <c r="I787" i="2" s="1"/>
  <c r="H785" i="2"/>
  <c r="H786" i="2" s="1"/>
  <c r="O782" i="2"/>
  <c r="O783" i="2" s="1"/>
  <c r="N782" i="2"/>
  <c r="L782" i="2"/>
  <c r="K782" i="2"/>
  <c r="I782" i="2"/>
  <c r="H782" i="2"/>
  <c r="H784" i="2" s="1"/>
  <c r="O779" i="2"/>
  <c r="N779" i="2"/>
  <c r="L779" i="2"/>
  <c r="L780" i="2" s="1"/>
  <c r="K779" i="2"/>
  <c r="K780" i="2" s="1"/>
  <c r="I779" i="2"/>
  <c r="I780" i="2" s="1"/>
  <c r="H779" i="2"/>
  <c r="H780" i="2" s="1"/>
  <c r="O776" i="2"/>
  <c r="O778" i="2" s="1"/>
  <c r="N776" i="2"/>
  <c r="N778" i="2" s="1"/>
  <c r="L776" i="2"/>
  <c r="L778" i="2" s="1"/>
  <c r="K776" i="2"/>
  <c r="I776" i="2"/>
  <c r="H776" i="2"/>
  <c r="H778" i="2" s="1"/>
  <c r="O773" i="2"/>
  <c r="O775" i="2" s="1"/>
  <c r="N773" i="2"/>
  <c r="N775" i="2" s="1"/>
  <c r="L773" i="2"/>
  <c r="L775" i="2" s="1"/>
  <c r="K773" i="2"/>
  <c r="K775" i="2" s="1"/>
  <c r="I773" i="2"/>
  <c r="H773" i="2"/>
  <c r="H775" i="2" s="1"/>
  <c r="O770" i="2"/>
  <c r="N770" i="2"/>
  <c r="L770" i="2"/>
  <c r="L771" i="2" s="1"/>
  <c r="K770" i="2"/>
  <c r="I770" i="2"/>
  <c r="H770" i="2"/>
  <c r="O767" i="2"/>
  <c r="N767" i="2"/>
  <c r="L767" i="2"/>
  <c r="L768" i="2" s="1"/>
  <c r="K767" i="2"/>
  <c r="K768" i="2" s="1"/>
  <c r="I767" i="2"/>
  <c r="H767" i="2"/>
  <c r="O764" i="2"/>
  <c r="N764" i="2"/>
  <c r="N765" i="2" s="1"/>
  <c r="L764" i="2"/>
  <c r="L766" i="2" s="1"/>
  <c r="K764" i="2"/>
  <c r="K765" i="2" s="1"/>
  <c r="I764" i="2"/>
  <c r="H764" i="2"/>
  <c r="O761" i="2"/>
  <c r="N761" i="2"/>
  <c r="L761" i="2"/>
  <c r="K761" i="2"/>
  <c r="K763" i="2" s="1"/>
  <c r="I761" i="2"/>
  <c r="H761" i="2"/>
  <c r="O758" i="2"/>
  <c r="O759" i="2" s="1"/>
  <c r="N758" i="2"/>
  <c r="L758" i="2"/>
  <c r="L760" i="2" s="1"/>
  <c r="K758" i="2"/>
  <c r="K760" i="2" s="1"/>
  <c r="I758" i="2"/>
  <c r="I759" i="2" s="1"/>
  <c r="H758" i="2"/>
  <c r="O755" i="2"/>
  <c r="N755" i="2"/>
  <c r="L755" i="2"/>
  <c r="K755" i="2"/>
  <c r="K757" i="2" s="1"/>
  <c r="I755" i="2"/>
  <c r="I757" i="2" s="1"/>
  <c r="H755" i="2"/>
  <c r="H757" i="2" s="1"/>
  <c r="O752" i="2"/>
  <c r="O753" i="2" s="1"/>
  <c r="N752" i="2"/>
  <c r="N754" i="2" s="1"/>
  <c r="L752" i="2"/>
  <c r="K752" i="2"/>
  <c r="I752" i="2"/>
  <c r="H752" i="2"/>
  <c r="H754" i="2" s="1"/>
  <c r="O749" i="2"/>
  <c r="N749" i="2"/>
  <c r="N750" i="2" s="1"/>
  <c r="L749" i="2"/>
  <c r="K749" i="2"/>
  <c r="K751" i="2" s="1"/>
  <c r="I749" i="2"/>
  <c r="H749" i="2"/>
  <c r="O746" i="2"/>
  <c r="O747" i="2" s="1"/>
  <c r="N746" i="2"/>
  <c r="N747" i="2" s="1"/>
  <c r="L746" i="2"/>
  <c r="L747" i="2" s="1"/>
  <c r="K746" i="2"/>
  <c r="K747" i="2" s="1"/>
  <c r="I746" i="2"/>
  <c r="I747" i="2" s="1"/>
  <c r="H746" i="2"/>
  <c r="H747" i="2" s="1"/>
  <c r="O743" i="2"/>
  <c r="O745" i="2" s="1"/>
  <c r="N743" i="2"/>
  <c r="N745" i="2" s="1"/>
  <c r="L743" i="2"/>
  <c r="K743" i="2"/>
  <c r="I743" i="2"/>
  <c r="H743" i="2"/>
  <c r="O740" i="2"/>
  <c r="N740" i="2"/>
  <c r="L740" i="2"/>
  <c r="K740" i="2"/>
  <c r="I740" i="2"/>
  <c r="I741" i="2" s="1"/>
  <c r="H740" i="2"/>
  <c r="H742" i="2" s="1"/>
  <c r="O737" i="2"/>
  <c r="O738" i="2" s="1"/>
  <c r="N737" i="2"/>
  <c r="L737" i="2"/>
  <c r="K737" i="2"/>
  <c r="I737" i="2"/>
  <c r="I739" i="2" s="1"/>
  <c r="H737" i="2"/>
  <c r="O734" i="2"/>
  <c r="O736" i="2" s="1"/>
  <c r="N734" i="2"/>
  <c r="N735" i="2" s="1"/>
  <c r="L734" i="2"/>
  <c r="K734" i="2"/>
  <c r="I734" i="2"/>
  <c r="I736" i="2" s="1"/>
  <c r="H734" i="2"/>
  <c r="H735" i="2" s="1"/>
  <c r="O731" i="2"/>
  <c r="O732" i="2" s="1"/>
  <c r="N731" i="2"/>
  <c r="N733" i="2" s="1"/>
  <c r="L731" i="2"/>
  <c r="K731" i="2"/>
  <c r="I731" i="2"/>
  <c r="H731" i="2"/>
  <c r="O728" i="2"/>
  <c r="N728" i="2"/>
  <c r="L728" i="2"/>
  <c r="K728" i="2"/>
  <c r="I728" i="2"/>
  <c r="H728" i="2"/>
  <c r="O725" i="2"/>
  <c r="N725" i="2"/>
  <c r="N727" i="2" s="1"/>
  <c r="L725" i="2"/>
  <c r="L727" i="2" s="1"/>
  <c r="K725" i="2"/>
  <c r="I725" i="2"/>
  <c r="H725" i="2"/>
  <c r="O722" i="2"/>
  <c r="O724" i="2" s="1"/>
  <c r="N722" i="2"/>
  <c r="L722" i="2"/>
  <c r="L724" i="2" s="1"/>
  <c r="K722" i="2"/>
  <c r="K724" i="2" s="1"/>
  <c r="I722" i="2"/>
  <c r="H722" i="2"/>
  <c r="O719" i="2"/>
  <c r="N719" i="2"/>
  <c r="L719" i="2"/>
  <c r="K719" i="2"/>
  <c r="K720" i="2" s="1"/>
  <c r="I719" i="2"/>
  <c r="H719" i="2"/>
  <c r="H721" i="2" s="1"/>
  <c r="O716" i="2"/>
  <c r="O718" i="2" s="1"/>
  <c r="N716" i="2"/>
  <c r="L716" i="2"/>
  <c r="L718" i="2" s="1"/>
  <c r="K716" i="2"/>
  <c r="I716" i="2"/>
  <c r="H716" i="2"/>
  <c r="O713" i="2"/>
  <c r="O714" i="2" s="1"/>
  <c r="N713" i="2"/>
  <c r="N715" i="2" s="1"/>
  <c r="L713" i="2"/>
  <c r="K713" i="2"/>
  <c r="K715" i="2" s="1"/>
  <c r="I713" i="2"/>
  <c r="H713" i="2"/>
  <c r="O710" i="2"/>
  <c r="O711" i="2" s="1"/>
  <c r="N710" i="2"/>
  <c r="L710" i="2"/>
  <c r="L711" i="2" s="1"/>
  <c r="K710" i="2"/>
  <c r="K712" i="2" s="1"/>
  <c r="I710" i="2"/>
  <c r="I712" i="2" s="1"/>
  <c r="H710" i="2"/>
  <c r="O707" i="2"/>
  <c r="N707" i="2"/>
  <c r="L707" i="2"/>
  <c r="L709" i="2" s="1"/>
  <c r="K707" i="2"/>
  <c r="K708" i="2" s="1"/>
  <c r="I707" i="2"/>
  <c r="I708" i="2" s="1"/>
  <c r="H707" i="2"/>
  <c r="O704" i="2"/>
  <c r="N704" i="2"/>
  <c r="L704" i="2"/>
  <c r="K704" i="2"/>
  <c r="K706" i="2" s="1"/>
  <c r="I704" i="2"/>
  <c r="I706" i="2" s="1"/>
  <c r="H704" i="2"/>
  <c r="H705" i="2" s="1"/>
  <c r="O701" i="2"/>
  <c r="O703" i="2" s="1"/>
  <c r="N701" i="2"/>
  <c r="N702" i="2" s="1"/>
  <c r="L701" i="2"/>
  <c r="K701" i="2"/>
  <c r="I701" i="2"/>
  <c r="H701" i="2"/>
  <c r="O698" i="2"/>
  <c r="O700" i="2" s="1"/>
  <c r="N698" i="2"/>
  <c r="N700" i="2" s="1"/>
  <c r="L698" i="2"/>
  <c r="K698" i="2"/>
  <c r="I698" i="2"/>
  <c r="H698" i="2"/>
  <c r="H699" i="2" s="1"/>
  <c r="O695" i="2"/>
  <c r="O697" i="2" s="1"/>
  <c r="N695" i="2"/>
  <c r="N697" i="2" s="1"/>
  <c r="L695" i="2"/>
  <c r="L696" i="2" s="1"/>
  <c r="K695" i="2"/>
  <c r="I695" i="2"/>
  <c r="H695" i="2"/>
  <c r="H697" i="2" s="1"/>
  <c r="O692" i="2"/>
  <c r="N692" i="2"/>
  <c r="L692" i="2"/>
  <c r="K692" i="2"/>
  <c r="I692" i="2"/>
  <c r="H692" i="2"/>
  <c r="O689" i="2"/>
  <c r="O691" i="2" s="1"/>
  <c r="N689" i="2"/>
  <c r="L689" i="2"/>
  <c r="K689" i="2"/>
  <c r="I689" i="2"/>
  <c r="H689" i="2"/>
  <c r="H690" i="2" s="1"/>
  <c r="O686" i="2"/>
  <c r="O688" i="2" s="1"/>
  <c r="N686" i="2"/>
  <c r="N687" i="2" s="1"/>
  <c r="L686" i="2"/>
  <c r="K686" i="2"/>
  <c r="I686" i="2"/>
  <c r="I688" i="2" s="1"/>
  <c r="H686" i="2"/>
  <c r="H687" i="2" s="1"/>
  <c r="O683" i="2"/>
  <c r="O685" i="2" s="1"/>
  <c r="N683" i="2"/>
  <c r="N685" i="2" s="1"/>
  <c r="L683" i="2"/>
  <c r="K683" i="2"/>
  <c r="K685" i="2" s="1"/>
  <c r="I683" i="2"/>
  <c r="I685" i="2" s="1"/>
  <c r="H683" i="2"/>
  <c r="O680" i="2"/>
  <c r="O682" i="2" s="1"/>
  <c r="N680" i="2"/>
  <c r="N681" i="2" s="1"/>
  <c r="L680" i="2"/>
  <c r="L682" i="2" s="1"/>
  <c r="K680" i="2"/>
  <c r="K682" i="2" s="1"/>
  <c r="I680" i="2"/>
  <c r="I682" i="2" s="1"/>
  <c r="H680" i="2"/>
  <c r="H682" i="2" s="1"/>
  <c r="O677" i="2"/>
  <c r="N677" i="2"/>
  <c r="L677" i="2"/>
  <c r="K677" i="2"/>
  <c r="I677" i="2"/>
  <c r="I678" i="2" s="1"/>
  <c r="H677" i="2"/>
  <c r="H678" i="2" s="1"/>
  <c r="O674" i="2"/>
  <c r="O676" i="2" s="1"/>
  <c r="N674" i="2"/>
  <c r="N676" i="2" s="1"/>
  <c r="L674" i="2"/>
  <c r="L676" i="2" s="1"/>
  <c r="K674" i="2"/>
  <c r="K676" i="2" s="1"/>
  <c r="I674" i="2"/>
  <c r="H674" i="2"/>
  <c r="O671" i="2"/>
  <c r="O673" i="2" s="1"/>
  <c r="N671" i="2"/>
  <c r="N673" i="2" s="1"/>
  <c r="L671" i="2"/>
  <c r="K671" i="2"/>
  <c r="K672" i="2" s="1"/>
  <c r="I671" i="2"/>
  <c r="I672" i="2" s="1"/>
  <c r="H671" i="2"/>
  <c r="H672" i="2" s="1"/>
  <c r="O668" i="2"/>
  <c r="O670" i="2" s="1"/>
  <c r="N668" i="2"/>
  <c r="N670" i="2" s="1"/>
  <c r="L668" i="2"/>
  <c r="L670" i="2" s="1"/>
  <c r="K668" i="2"/>
  <c r="I668" i="2"/>
  <c r="H668" i="2"/>
  <c r="O665" i="2"/>
  <c r="N665" i="2"/>
  <c r="N667" i="2" s="1"/>
  <c r="L665" i="2"/>
  <c r="K665" i="2"/>
  <c r="I665" i="2"/>
  <c r="H665" i="2"/>
  <c r="O662" i="2"/>
  <c r="N662" i="2"/>
  <c r="L662" i="2"/>
  <c r="L664" i="2" s="1"/>
  <c r="K662" i="2"/>
  <c r="K664" i="2" s="1"/>
  <c r="I662" i="2"/>
  <c r="I664" i="2" s="1"/>
  <c r="H662" i="2"/>
  <c r="H663" i="2" s="1"/>
  <c r="O659" i="2"/>
  <c r="N659" i="2"/>
  <c r="L659" i="2"/>
  <c r="K659" i="2"/>
  <c r="I659" i="2"/>
  <c r="H659" i="2"/>
  <c r="O656" i="2"/>
  <c r="N656" i="2"/>
  <c r="L656" i="2"/>
  <c r="K656" i="2"/>
  <c r="I656" i="2"/>
  <c r="I658" i="2" s="1"/>
  <c r="H656" i="2"/>
  <c r="O653" i="2"/>
  <c r="O655" i="2" s="1"/>
  <c r="N653" i="2"/>
  <c r="L653" i="2"/>
  <c r="K653" i="2"/>
  <c r="K655" i="2" s="1"/>
  <c r="I653" i="2"/>
  <c r="I655" i="2" s="1"/>
  <c r="H653" i="2"/>
  <c r="H655" i="2" s="1"/>
  <c r="O650" i="2"/>
  <c r="O651" i="2" s="1"/>
  <c r="N650" i="2"/>
  <c r="N652" i="2" s="1"/>
  <c r="L650" i="2"/>
  <c r="K650" i="2"/>
  <c r="I650" i="2"/>
  <c r="H650" i="2"/>
  <c r="O647" i="2"/>
  <c r="O649" i="2" s="1"/>
  <c r="N647" i="2"/>
  <c r="N649" i="2" s="1"/>
  <c r="L647" i="2"/>
  <c r="L648" i="2" s="1"/>
  <c r="K647" i="2"/>
  <c r="K648" i="2" s="1"/>
  <c r="I647" i="2"/>
  <c r="I649" i="2" s="1"/>
  <c r="H647" i="2"/>
  <c r="H649" i="2" s="1"/>
  <c r="O644" i="2"/>
  <c r="N644" i="2"/>
  <c r="N645" i="2" s="1"/>
  <c r="L644" i="2"/>
  <c r="K644" i="2"/>
  <c r="I644" i="2"/>
  <c r="H644" i="2"/>
  <c r="H646" i="2" s="1"/>
  <c r="O641" i="2"/>
  <c r="O643" i="2" s="1"/>
  <c r="N641" i="2"/>
  <c r="N642" i="2" s="1"/>
  <c r="L641" i="2"/>
  <c r="L642" i="2" s="1"/>
  <c r="K641" i="2"/>
  <c r="I641" i="2"/>
  <c r="I642" i="2" s="1"/>
  <c r="H641" i="2"/>
  <c r="H642" i="2" s="1"/>
  <c r="O638" i="2"/>
  <c r="O639" i="2" s="1"/>
  <c r="N638" i="2"/>
  <c r="N640" i="2" s="1"/>
  <c r="L638" i="2"/>
  <c r="K638" i="2"/>
  <c r="I638" i="2"/>
  <c r="I640" i="2" s="1"/>
  <c r="H638" i="2"/>
  <c r="O635" i="2"/>
  <c r="N635" i="2"/>
  <c r="L635" i="2"/>
  <c r="K635" i="2"/>
  <c r="I635" i="2"/>
  <c r="I637" i="2" s="1"/>
  <c r="H635" i="2"/>
  <c r="O632" i="2"/>
  <c r="O634" i="2" s="1"/>
  <c r="N632" i="2"/>
  <c r="N633" i="2" s="1"/>
  <c r="L632" i="2"/>
  <c r="L633" i="2" s="1"/>
  <c r="K632" i="2"/>
  <c r="I632" i="2"/>
  <c r="H632" i="2"/>
  <c r="O629" i="2"/>
  <c r="O631" i="2" s="1"/>
  <c r="N629" i="2"/>
  <c r="N630" i="2" s="1"/>
  <c r="L629" i="2"/>
  <c r="L630" i="2" s="1"/>
  <c r="K629" i="2"/>
  <c r="K630" i="2" s="1"/>
  <c r="I629" i="2"/>
  <c r="H629" i="2"/>
  <c r="O626" i="2"/>
  <c r="N626" i="2"/>
  <c r="N628" i="2" s="1"/>
  <c r="L626" i="2"/>
  <c r="K626" i="2"/>
  <c r="I626" i="2"/>
  <c r="H626" i="2"/>
  <c r="H627" i="2" s="1"/>
  <c r="O623" i="2"/>
  <c r="N623" i="2"/>
  <c r="L623" i="2"/>
  <c r="L624" i="2" s="1"/>
  <c r="K623" i="2"/>
  <c r="K624" i="2" s="1"/>
  <c r="I623" i="2"/>
  <c r="I624" i="2" s="1"/>
  <c r="H623" i="2"/>
  <c r="O620" i="2"/>
  <c r="N620" i="2"/>
  <c r="L620" i="2"/>
  <c r="K620" i="2"/>
  <c r="K622" i="2" s="1"/>
  <c r="I620" i="2"/>
  <c r="H620" i="2"/>
  <c r="O617" i="2"/>
  <c r="O618" i="2" s="1"/>
  <c r="N617" i="2"/>
  <c r="N619" i="2" s="1"/>
  <c r="L617" i="2"/>
  <c r="L619" i="2" s="1"/>
  <c r="K617" i="2"/>
  <c r="I617" i="2"/>
  <c r="H617" i="2"/>
  <c r="O614" i="2"/>
  <c r="O615" i="2" s="1"/>
  <c r="N614" i="2"/>
  <c r="L614" i="2"/>
  <c r="L615" i="2" s="1"/>
  <c r="K614" i="2"/>
  <c r="I614" i="2"/>
  <c r="H614" i="2"/>
  <c r="O611" i="2"/>
  <c r="N611" i="2"/>
  <c r="L611" i="2"/>
  <c r="L613" i="2" s="1"/>
  <c r="K611" i="2"/>
  <c r="K612" i="2" s="1"/>
  <c r="I611" i="2"/>
  <c r="H611" i="2"/>
  <c r="O608" i="2"/>
  <c r="O609" i="2" s="1"/>
  <c r="N608" i="2"/>
  <c r="N609" i="2" s="1"/>
  <c r="L608" i="2"/>
  <c r="K608" i="2"/>
  <c r="I608" i="2"/>
  <c r="I609" i="2" s="1"/>
  <c r="H608" i="2"/>
  <c r="H609" i="2" s="1"/>
  <c r="O605" i="2"/>
  <c r="O606" i="2" s="1"/>
  <c r="N605" i="2"/>
  <c r="N607" i="2" s="1"/>
  <c r="L605" i="2"/>
  <c r="L607" i="2" s="1"/>
  <c r="K605" i="2"/>
  <c r="K607" i="2" s="1"/>
  <c r="I605" i="2"/>
  <c r="I606" i="2" s="1"/>
  <c r="H605" i="2"/>
  <c r="H607" i="2" s="1"/>
  <c r="O602" i="2"/>
  <c r="N602" i="2"/>
  <c r="N604" i="2" s="1"/>
  <c r="L602" i="2"/>
  <c r="L604" i="2" s="1"/>
  <c r="K602" i="2"/>
  <c r="K604" i="2" s="1"/>
  <c r="I602" i="2"/>
  <c r="I603" i="2" s="1"/>
  <c r="H602" i="2"/>
  <c r="H603" i="2" s="1"/>
  <c r="O599" i="2"/>
  <c r="N599" i="2"/>
  <c r="L599" i="2"/>
  <c r="L601" i="2" s="1"/>
  <c r="K599" i="2"/>
  <c r="K601" i="2" s="1"/>
  <c r="I599" i="2"/>
  <c r="H599" i="2"/>
  <c r="O596" i="2"/>
  <c r="O597" i="2" s="1"/>
  <c r="N596" i="2"/>
  <c r="N597" i="2" s="1"/>
  <c r="L596" i="2"/>
  <c r="L597" i="2" s="1"/>
  <c r="K596" i="2"/>
  <c r="K598" i="2" s="1"/>
  <c r="I596" i="2"/>
  <c r="H596" i="2"/>
  <c r="O593" i="2"/>
  <c r="N593" i="2"/>
  <c r="L593" i="2"/>
  <c r="K593" i="2"/>
  <c r="I593" i="2"/>
  <c r="H593" i="2"/>
  <c r="O590" i="2"/>
  <c r="O592" i="2" s="1"/>
  <c r="N590" i="2"/>
  <c r="N591" i="2" s="1"/>
  <c r="L590" i="2"/>
  <c r="K590" i="2"/>
  <c r="I590" i="2"/>
  <c r="H590" i="2"/>
  <c r="O587" i="2"/>
  <c r="N587" i="2"/>
  <c r="N589" i="2" s="1"/>
  <c r="L587" i="2"/>
  <c r="L588" i="2" s="1"/>
  <c r="K587" i="2"/>
  <c r="I587" i="2"/>
  <c r="I588" i="2" s="1"/>
  <c r="H587" i="2"/>
  <c r="H588" i="2" s="1"/>
  <c r="O584" i="2"/>
  <c r="O586" i="2" s="1"/>
  <c r="N584" i="2"/>
  <c r="L584" i="2"/>
  <c r="K584" i="2"/>
  <c r="K586" i="2" s="1"/>
  <c r="I584" i="2"/>
  <c r="I586" i="2" s="1"/>
  <c r="H584" i="2"/>
  <c r="H586" i="2" s="1"/>
  <c r="O581" i="2"/>
  <c r="N581" i="2"/>
  <c r="L581" i="2"/>
  <c r="L583" i="2" s="1"/>
  <c r="K581" i="2"/>
  <c r="I581" i="2"/>
  <c r="H581" i="2"/>
  <c r="O578" i="2"/>
  <c r="N578" i="2"/>
  <c r="L578" i="2"/>
  <c r="L580" i="2" s="1"/>
  <c r="K578" i="2"/>
  <c r="I578" i="2"/>
  <c r="I579" i="2" s="1"/>
  <c r="H578" i="2"/>
  <c r="H580" i="2" s="1"/>
  <c r="O575" i="2"/>
  <c r="O577" i="2" s="1"/>
  <c r="N575" i="2"/>
  <c r="L575" i="2"/>
  <c r="K575" i="2"/>
  <c r="I575" i="2"/>
  <c r="H575" i="2"/>
  <c r="O572" i="2"/>
  <c r="N572" i="2"/>
  <c r="L572" i="2"/>
  <c r="K572" i="2"/>
  <c r="I572" i="2"/>
  <c r="H572" i="2"/>
  <c r="O569" i="2"/>
  <c r="N569" i="2"/>
  <c r="N571" i="2" s="1"/>
  <c r="L569" i="2"/>
  <c r="L570" i="2" s="1"/>
  <c r="K569" i="2"/>
  <c r="I569" i="2"/>
  <c r="H569" i="2"/>
  <c r="O566" i="2"/>
  <c r="O568" i="2" s="1"/>
  <c r="N566" i="2"/>
  <c r="L566" i="2"/>
  <c r="L568" i="2" s="1"/>
  <c r="K566" i="2"/>
  <c r="K567" i="2" s="1"/>
  <c r="I566" i="2"/>
  <c r="I567" i="2" s="1"/>
  <c r="H566" i="2"/>
  <c r="H567" i="2" s="1"/>
  <c r="O563" i="2"/>
  <c r="N563" i="2"/>
  <c r="L563" i="2"/>
  <c r="K563" i="2"/>
  <c r="I563" i="2"/>
  <c r="H563" i="2"/>
  <c r="O560" i="2"/>
  <c r="O561" i="2" s="1"/>
  <c r="N560" i="2"/>
  <c r="N562" i="2" s="1"/>
  <c r="L560" i="2"/>
  <c r="L561" i="2" s="1"/>
  <c r="K560" i="2"/>
  <c r="I560" i="2"/>
  <c r="H560" i="2"/>
  <c r="O557" i="2"/>
  <c r="O558" i="2" s="1"/>
  <c r="N557" i="2"/>
  <c r="N558" i="2" s="1"/>
  <c r="L557" i="2"/>
  <c r="L559" i="2" s="1"/>
  <c r="K557" i="2"/>
  <c r="I557" i="2"/>
  <c r="H557" i="2"/>
  <c r="O554" i="2"/>
  <c r="O556" i="2" s="1"/>
  <c r="N554" i="2"/>
  <c r="L554" i="2"/>
  <c r="L555" i="2" s="1"/>
  <c r="K554" i="2"/>
  <c r="K555" i="2" s="1"/>
  <c r="I554" i="2"/>
  <c r="H554" i="2"/>
  <c r="O551" i="2"/>
  <c r="N551" i="2"/>
  <c r="L551" i="2"/>
  <c r="K551" i="2"/>
  <c r="I551" i="2"/>
  <c r="I552" i="2" s="1"/>
  <c r="H551" i="2"/>
  <c r="H552" i="2" s="1"/>
  <c r="O548" i="2"/>
  <c r="O549" i="2" s="1"/>
  <c r="N548" i="2"/>
  <c r="N549" i="2" s="1"/>
  <c r="L548" i="2"/>
  <c r="L549" i="2" s="1"/>
  <c r="K548" i="2"/>
  <c r="K549" i="2" s="1"/>
  <c r="I548" i="2"/>
  <c r="I549" i="2" s="1"/>
  <c r="H548" i="2"/>
  <c r="O545" i="2"/>
  <c r="O546" i="2" s="1"/>
  <c r="N545" i="2"/>
  <c r="N546" i="2" s="1"/>
  <c r="L545" i="2"/>
  <c r="K545" i="2"/>
  <c r="I545" i="2"/>
  <c r="H545" i="2"/>
  <c r="H546" i="2" s="1"/>
  <c r="O542" i="2"/>
  <c r="N542" i="2"/>
  <c r="L542" i="2"/>
  <c r="K542" i="2"/>
  <c r="I542" i="2"/>
  <c r="H542" i="2"/>
  <c r="O539" i="2"/>
  <c r="O541" i="2" s="1"/>
  <c r="N539" i="2"/>
  <c r="N540" i="2" s="1"/>
  <c r="L539" i="2"/>
  <c r="L540" i="2" s="1"/>
  <c r="K539" i="2"/>
  <c r="I539" i="2"/>
  <c r="I540" i="2" s="1"/>
  <c r="H539" i="2"/>
  <c r="H540" i="2" s="1"/>
  <c r="O536" i="2"/>
  <c r="O538" i="2" s="1"/>
  <c r="N536" i="2"/>
  <c r="N537" i="2" s="1"/>
  <c r="L536" i="2"/>
  <c r="K536" i="2"/>
  <c r="I536" i="2"/>
  <c r="I538" i="2" s="1"/>
  <c r="H536" i="2"/>
  <c r="O533" i="2"/>
  <c r="N533" i="2"/>
  <c r="L533" i="2"/>
  <c r="K533" i="2"/>
  <c r="I533" i="2"/>
  <c r="H533" i="2"/>
  <c r="O530" i="2"/>
  <c r="O532" i="2" s="1"/>
  <c r="N530" i="2"/>
  <c r="N532" i="2" s="1"/>
  <c r="L530" i="2"/>
  <c r="L532" i="2" s="1"/>
  <c r="K530" i="2"/>
  <c r="I530" i="2"/>
  <c r="H530" i="2"/>
  <c r="O527" i="2"/>
  <c r="O529" i="2" s="1"/>
  <c r="N527" i="2"/>
  <c r="N529" i="2" s="1"/>
  <c r="L527" i="2"/>
  <c r="L528" i="2" s="1"/>
  <c r="K527" i="2"/>
  <c r="K528" i="2" s="1"/>
  <c r="I527" i="2"/>
  <c r="I528" i="2" s="1"/>
  <c r="H527" i="2"/>
  <c r="H529" i="2" s="1"/>
  <c r="O524" i="2"/>
  <c r="N524" i="2"/>
  <c r="N526" i="2" s="1"/>
  <c r="L524" i="2"/>
  <c r="L526" i="2" s="1"/>
  <c r="K524" i="2"/>
  <c r="K525" i="2" s="1"/>
  <c r="I524" i="2"/>
  <c r="I526" i="2" s="1"/>
  <c r="H524" i="2"/>
  <c r="O521" i="2"/>
  <c r="N521" i="2"/>
  <c r="L521" i="2"/>
  <c r="K521" i="2"/>
  <c r="K523" i="2" s="1"/>
  <c r="I521" i="2"/>
  <c r="H521" i="2"/>
  <c r="O518" i="2"/>
  <c r="N518" i="2"/>
  <c r="L518" i="2"/>
  <c r="K518" i="2"/>
  <c r="I518" i="2"/>
  <c r="H518" i="2"/>
  <c r="O515" i="2"/>
  <c r="N515" i="2"/>
  <c r="L515" i="2"/>
  <c r="L517" i="2" s="1"/>
  <c r="K515" i="2"/>
  <c r="K516" i="2" s="1"/>
  <c r="I515" i="2"/>
  <c r="H515" i="2"/>
  <c r="O512" i="2"/>
  <c r="N512" i="2"/>
  <c r="L512" i="2"/>
  <c r="K512" i="2"/>
  <c r="K514" i="2" s="1"/>
  <c r="I512" i="2"/>
  <c r="I514" i="2" s="1"/>
  <c r="H512" i="2"/>
  <c r="O509" i="2"/>
  <c r="N509" i="2"/>
  <c r="N511" i="2" s="1"/>
  <c r="L509" i="2"/>
  <c r="K509" i="2"/>
  <c r="I509" i="2"/>
  <c r="I510" i="2" s="1"/>
  <c r="H509" i="2"/>
  <c r="H511" i="2" s="1"/>
  <c r="O506" i="2"/>
  <c r="O508" i="2" s="1"/>
  <c r="N506" i="2"/>
  <c r="N508" i="2" s="1"/>
  <c r="L506" i="2"/>
  <c r="K506" i="2"/>
  <c r="I506" i="2"/>
  <c r="H506" i="2"/>
  <c r="H507" i="2" s="1"/>
  <c r="O503" i="2"/>
  <c r="O504" i="2" s="1"/>
  <c r="N503" i="2"/>
  <c r="N505" i="2" s="1"/>
  <c r="L503" i="2"/>
  <c r="L505" i="2" s="1"/>
  <c r="K503" i="2"/>
  <c r="K504" i="2" s="1"/>
  <c r="I503" i="2"/>
  <c r="I505" i="2" s="1"/>
  <c r="H503" i="2"/>
  <c r="H505" i="2" s="1"/>
  <c r="O500" i="2"/>
  <c r="N500" i="2"/>
  <c r="N501" i="2" s="1"/>
  <c r="L500" i="2"/>
  <c r="K500" i="2"/>
  <c r="K501" i="2" s="1"/>
  <c r="I500" i="2"/>
  <c r="I501" i="2" s="1"/>
  <c r="H500" i="2"/>
  <c r="H502" i="2" s="1"/>
  <c r="O497" i="2"/>
  <c r="N497" i="2"/>
  <c r="L497" i="2"/>
  <c r="L499" i="2" s="1"/>
  <c r="K497" i="2"/>
  <c r="I497" i="2"/>
  <c r="H497" i="2"/>
  <c r="O494" i="2"/>
  <c r="O496" i="2" s="1"/>
  <c r="N494" i="2"/>
  <c r="L494" i="2"/>
  <c r="K494" i="2"/>
  <c r="I494" i="2"/>
  <c r="I496" i="2" s="1"/>
  <c r="H494" i="2"/>
  <c r="H495" i="2" s="1"/>
  <c r="O491" i="2"/>
  <c r="O493" i="2" s="1"/>
  <c r="N491" i="2"/>
  <c r="N493" i="2" s="1"/>
  <c r="L491" i="2"/>
  <c r="K491" i="2"/>
  <c r="K492" i="2" s="1"/>
  <c r="I491" i="2"/>
  <c r="H491" i="2"/>
  <c r="O488" i="2"/>
  <c r="O490" i="2" s="1"/>
  <c r="N488" i="2"/>
  <c r="L488" i="2"/>
  <c r="K488" i="2"/>
  <c r="I488" i="2"/>
  <c r="H488" i="2"/>
  <c r="O485" i="2"/>
  <c r="O487" i="2" s="1"/>
  <c r="N485" i="2"/>
  <c r="N486" i="2" s="1"/>
  <c r="L485" i="2"/>
  <c r="L487" i="2" s="1"/>
  <c r="K485" i="2"/>
  <c r="K486" i="2" s="1"/>
  <c r="I485" i="2"/>
  <c r="H485" i="2"/>
  <c r="H487" i="2" s="1"/>
  <c r="O482" i="2"/>
  <c r="N482" i="2"/>
  <c r="L482" i="2"/>
  <c r="K482" i="2"/>
  <c r="I482" i="2"/>
  <c r="H482" i="2"/>
  <c r="O479" i="2"/>
  <c r="N479" i="2"/>
  <c r="L479" i="2"/>
  <c r="K479" i="2"/>
  <c r="I479" i="2"/>
  <c r="H479" i="2"/>
  <c r="O476" i="2"/>
  <c r="O477" i="2" s="1"/>
  <c r="N476" i="2"/>
  <c r="N478" i="2" s="1"/>
  <c r="L476" i="2"/>
  <c r="L477" i="2" s="1"/>
  <c r="K476" i="2"/>
  <c r="I476" i="2"/>
  <c r="H476" i="2"/>
  <c r="O473" i="2"/>
  <c r="O474" i="2" s="1"/>
  <c r="N473" i="2"/>
  <c r="N475" i="2" s="1"/>
  <c r="L473" i="2"/>
  <c r="L475" i="2" s="1"/>
  <c r="K473" i="2"/>
  <c r="K475" i="2" s="1"/>
  <c r="I473" i="2"/>
  <c r="H473" i="2"/>
  <c r="O470" i="2"/>
  <c r="O472" i="2" s="1"/>
  <c r="N470" i="2"/>
  <c r="L470" i="2"/>
  <c r="K470" i="2"/>
  <c r="I470" i="2"/>
  <c r="H470" i="2"/>
  <c r="H472" i="2" s="1"/>
  <c r="O467" i="2"/>
  <c r="N467" i="2"/>
  <c r="L467" i="2"/>
  <c r="L469" i="2" s="1"/>
  <c r="K467" i="2"/>
  <c r="K468" i="2" s="1"/>
  <c r="I467" i="2"/>
  <c r="I468" i="2" s="1"/>
  <c r="H467" i="2"/>
  <c r="O464" i="2"/>
  <c r="O465" i="2" s="1"/>
  <c r="N464" i="2"/>
  <c r="N465" i="2" s="1"/>
  <c r="L464" i="2"/>
  <c r="L465" i="2" s="1"/>
  <c r="K464" i="2"/>
  <c r="I464" i="2"/>
  <c r="H464" i="2"/>
  <c r="O461" i="2"/>
  <c r="O463" i="2" s="1"/>
  <c r="N461" i="2"/>
  <c r="N463" i="2" s="1"/>
  <c r="L461" i="2"/>
  <c r="L463" i="2" s="1"/>
  <c r="K461" i="2"/>
  <c r="K463" i="2" s="1"/>
  <c r="I461" i="2"/>
  <c r="I463" i="2" s="1"/>
  <c r="H461" i="2"/>
  <c r="H463" i="2" s="1"/>
  <c r="O458" i="2"/>
  <c r="N458" i="2"/>
  <c r="N460" i="2" s="1"/>
  <c r="L458" i="2"/>
  <c r="K458" i="2"/>
  <c r="K459" i="2" s="1"/>
  <c r="I458" i="2"/>
  <c r="I459" i="2" s="1"/>
  <c r="H458" i="2"/>
  <c r="H459" i="2" s="1"/>
  <c r="O455" i="2"/>
  <c r="N455" i="2"/>
  <c r="L455" i="2"/>
  <c r="L457" i="2" s="1"/>
  <c r="K455" i="2"/>
  <c r="I455" i="2"/>
  <c r="H455" i="2"/>
  <c r="H456" i="2" s="1"/>
  <c r="O452" i="2"/>
  <c r="O453" i="2" s="1"/>
  <c r="N452" i="2"/>
  <c r="N453" i="2" s="1"/>
  <c r="L452" i="2"/>
  <c r="L453" i="2" s="1"/>
  <c r="K452" i="2"/>
  <c r="K453" i="2" s="1"/>
  <c r="I452" i="2"/>
  <c r="I454" i="2" s="1"/>
  <c r="H452" i="2"/>
  <c r="O449" i="2"/>
  <c r="O451" i="2" s="1"/>
  <c r="N449" i="2"/>
  <c r="N451" i="2" s="1"/>
  <c r="L449" i="2"/>
  <c r="K449" i="2"/>
  <c r="I449" i="2"/>
  <c r="H449" i="2"/>
  <c r="O446" i="2"/>
  <c r="O447" i="2" s="1"/>
  <c r="N446" i="2"/>
  <c r="N447" i="2" s="1"/>
  <c r="L446" i="2"/>
  <c r="K446" i="2"/>
  <c r="I446" i="2"/>
  <c r="H446" i="2"/>
  <c r="O443" i="2"/>
  <c r="N443" i="2"/>
  <c r="L443" i="2"/>
  <c r="K443" i="2"/>
  <c r="I443" i="2"/>
  <c r="I444" i="2" s="1"/>
  <c r="H443" i="2"/>
  <c r="H445" i="2" s="1"/>
  <c r="O440" i="2"/>
  <c r="N440" i="2"/>
  <c r="N441" i="2" s="1"/>
  <c r="L440" i="2"/>
  <c r="K440" i="2"/>
  <c r="K441" i="2" s="1"/>
  <c r="I440" i="2"/>
  <c r="I442" i="2" s="1"/>
  <c r="H440" i="2"/>
  <c r="H442" i="2" s="1"/>
  <c r="O437" i="2"/>
  <c r="O439" i="2" s="1"/>
  <c r="N437" i="2"/>
  <c r="N439" i="2" s="1"/>
  <c r="L437" i="2"/>
  <c r="K437" i="2"/>
  <c r="I437" i="2"/>
  <c r="H437" i="2"/>
  <c r="O434" i="2"/>
  <c r="N434" i="2"/>
  <c r="L434" i="2"/>
  <c r="L436" i="2" s="1"/>
  <c r="K434" i="2"/>
  <c r="I434" i="2"/>
  <c r="H434" i="2"/>
  <c r="O431" i="2"/>
  <c r="O433" i="2" s="1"/>
  <c r="N431" i="2"/>
  <c r="N433" i="2" s="1"/>
  <c r="L431" i="2"/>
  <c r="K431" i="2"/>
  <c r="K432" i="2" s="1"/>
  <c r="I431" i="2"/>
  <c r="H431" i="2"/>
  <c r="H432" i="2" s="1"/>
  <c r="O428" i="2"/>
  <c r="O429" i="2" s="1"/>
  <c r="N428" i="2"/>
  <c r="N430" i="2" s="1"/>
  <c r="L428" i="2"/>
  <c r="K428" i="2"/>
  <c r="K429" i="2" s="1"/>
  <c r="I428" i="2"/>
  <c r="I430" i="2" s="1"/>
  <c r="H428" i="2"/>
  <c r="O425" i="2"/>
  <c r="N425" i="2"/>
  <c r="L425" i="2"/>
  <c r="K425" i="2"/>
  <c r="I425" i="2"/>
  <c r="H425" i="2"/>
  <c r="O422" i="2"/>
  <c r="N422" i="2"/>
  <c r="L422" i="2"/>
  <c r="K422" i="2"/>
  <c r="I422" i="2"/>
  <c r="I423" i="2" s="1"/>
  <c r="H422" i="2"/>
  <c r="H423" i="2" s="1"/>
  <c r="O419" i="2"/>
  <c r="N419" i="2"/>
  <c r="L419" i="2"/>
  <c r="L421" i="2" s="1"/>
  <c r="K419" i="2"/>
  <c r="I419" i="2"/>
  <c r="H419" i="2"/>
  <c r="O416" i="2"/>
  <c r="N416" i="2"/>
  <c r="L416" i="2"/>
  <c r="L418" i="2" s="1"/>
  <c r="K416" i="2"/>
  <c r="I416" i="2"/>
  <c r="H416" i="2"/>
  <c r="O413" i="2"/>
  <c r="O414" i="2" s="1"/>
  <c r="N413" i="2"/>
  <c r="N414" i="2" s="1"/>
  <c r="L413" i="2"/>
  <c r="K413" i="2"/>
  <c r="I413" i="2"/>
  <c r="H413" i="2"/>
  <c r="O410" i="2"/>
  <c r="O412" i="2" s="1"/>
  <c r="N410" i="2"/>
  <c r="N412" i="2" s="1"/>
  <c r="L410" i="2"/>
  <c r="K410" i="2"/>
  <c r="K411" i="2" s="1"/>
  <c r="I410" i="2"/>
  <c r="I411" i="2" s="1"/>
  <c r="H410" i="2"/>
  <c r="H411" i="2" s="1"/>
  <c r="O407" i="2"/>
  <c r="N407" i="2"/>
  <c r="L407" i="2"/>
  <c r="K407" i="2"/>
  <c r="I407" i="2"/>
  <c r="I409" i="2" s="1"/>
  <c r="H407" i="2"/>
  <c r="O404" i="2"/>
  <c r="O405" i="2" s="1"/>
  <c r="N404" i="2"/>
  <c r="N405" i="2" s="1"/>
  <c r="L404" i="2"/>
  <c r="K404" i="2"/>
  <c r="K405" i="2" s="1"/>
  <c r="I404" i="2"/>
  <c r="H404" i="2"/>
  <c r="O401" i="2"/>
  <c r="O402" i="2" s="1"/>
  <c r="N401" i="2"/>
  <c r="N403" i="2" s="1"/>
  <c r="L401" i="2"/>
  <c r="L402" i="2" s="1"/>
  <c r="K401" i="2"/>
  <c r="I401" i="2"/>
  <c r="H401" i="2"/>
  <c r="O398" i="2"/>
  <c r="N398" i="2"/>
  <c r="L398" i="2"/>
  <c r="K398" i="2"/>
  <c r="I398" i="2"/>
  <c r="H398" i="2"/>
  <c r="O395" i="2"/>
  <c r="O396" i="2" s="1"/>
  <c r="N395" i="2"/>
  <c r="N396" i="2" s="1"/>
  <c r="L395" i="2"/>
  <c r="L396" i="2" s="1"/>
  <c r="K395" i="2"/>
  <c r="K396" i="2" s="1"/>
  <c r="I395" i="2"/>
  <c r="H395" i="2"/>
  <c r="O392" i="2"/>
  <c r="N392" i="2"/>
  <c r="N393" i="2" s="1"/>
  <c r="L392" i="2"/>
  <c r="L393" i="2" s="1"/>
  <c r="K392" i="2"/>
  <c r="K394" i="2" s="1"/>
  <c r="I392" i="2"/>
  <c r="I394" i="2" s="1"/>
  <c r="H392" i="2"/>
  <c r="H394" i="2" s="1"/>
  <c r="O389" i="2"/>
  <c r="O391" i="2" s="1"/>
  <c r="N389" i="2"/>
  <c r="N391" i="2" s="1"/>
  <c r="L389" i="2"/>
  <c r="L391" i="2" s="1"/>
  <c r="K389" i="2"/>
  <c r="K390" i="2" s="1"/>
  <c r="I389" i="2"/>
  <c r="I390" i="2" s="1"/>
  <c r="H389" i="2"/>
  <c r="H390" i="2" s="1"/>
  <c r="O386" i="2"/>
  <c r="N386" i="2"/>
  <c r="L386" i="2"/>
  <c r="K386" i="2"/>
  <c r="I386" i="2"/>
  <c r="I388" i="2" s="1"/>
  <c r="H386" i="2"/>
  <c r="O383" i="2"/>
  <c r="N383" i="2"/>
  <c r="L383" i="2"/>
  <c r="K383" i="2"/>
  <c r="K384" i="2" s="1"/>
  <c r="I383" i="2"/>
  <c r="H383" i="2"/>
  <c r="H385" i="2" s="1"/>
  <c r="O380" i="2"/>
  <c r="O382" i="2" s="1"/>
  <c r="N380" i="2"/>
  <c r="N381" i="2" s="1"/>
  <c r="L380" i="2"/>
  <c r="L382" i="2" s="1"/>
  <c r="K380" i="2"/>
  <c r="I380" i="2"/>
  <c r="H380" i="2"/>
  <c r="O377" i="2"/>
  <c r="O378" i="2" s="1"/>
  <c r="N377" i="2"/>
  <c r="N378" i="2" s="1"/>
  <c r="L377" i="2"/>
  <c r="L378" i="2" s="1"/>
  <c r="K377" i="2"/>
  <c r="K378" i="2" s="1"/>
  <c r="I377" i="2"/>
  <c r="H377" i="2"/>
  <c r="O374" i="2"/>
  <c r="N374" i="2"/>
  <c r="L374" i="2"/>
  <c r="K374" i="2"/>
  <c r="I374" i="2"/>
  <c r="I376" i="2" s="1"/>
  <c r="H374" i="2"/>
  <c r="H376" i="2" s="1"/>
  <c r="O371" i="2"/>
  <c r="N371" i="2"/>
  <c r="L371" i="2"/>
  <c r="L373" i="2" s="1"/>
  <c r="K371" i="2"/>
  <c r="K372" i="2" s="1"/>
  <c r="I371" i="2"/>
  <c r="I372" i="2" s="1"/>
  <c r="H371" i="2"/>
  <c r="H372" i="2" s="1"/>
  <c r="O368" i="2"/>
  <c r="N368" i="2"/>
  <c r="L368" i="2"/>
  <c r="K368" i="2"/>
  <c r="I368" i="2"/>
  <c r="H368" i="2"/>
  <c r="O365" i="2"/>
  <c r="N365" i="2"/>
  <c r="L365" i="2"/>
  <c r="K365" i="2"/>
  <c r="I365" i="2"/>
  <c r="H365" i="2"/>
  <c r="O362" i="2"/>
  <c r="N362" i="2"/>
  <c r="N364" i="2" s="1"/>
  <c r="L362" i="2"/>
  <c r="L364" i="2" s="1"/>
  <c r="K362" i="2"/>
  <c r="K364" i="2" s="1"/>
  <c r="I362" i="2"/>
  <c r="H362" i="2"/>
  <c r="O359" i="2"/>
  <c r="N359" i="2"/>
  <c r="N361" i="2" s="1"/>
  <c r="L359" i="2"/>
  <c r="L361" i="2" s="1"/>
  <c r="K359" i="2"/>
  <c r="K360" i="2" s="1"/>
  <c r="I359" i="2"/>
  <c r="I360" i="2" s="1"/>
  <c r="H359" i="2"/>
  <c r="H361" i="2" s="1"/>
  <c r="O356" i="2"/>
  <c r="N356" i="2"/>
  <c r="L356" i="2"/>
  <c r="L357" i="2" s="1"/>
  <c r="K356" i="2"/>
  <c r="K358" i="2" s="1"/>
  <c r="I356" i="2"/>
  <c r="I358" i="2" s="1"/>
  <c r="H356" i="2"/>
  <c r="O353" i="2"/>
  <c r="N353" i="2"/>
  <c r="N355" i="2" s="1"/>
  <c r="L353" i="2"/>
  <c r="K353" i="2"/>
  <c r="I353" i="2"/>
  <c r="I355" i="2" s="1"/>
  <c r="H353" i="2"/>
  <c r="H355" i="2" s="1"/>
  <c r="O350" i="2"/>
  <c r="O351" i="2" s="1"/>
  <c r="N350" i="2"/>
  <c r="L350" i="2"/>
  <c r="K350" i="2"/>
  <c r="I350" i="2"/>
  <c r="I352" i="2" s="1"/>
  <c r="H350" i="2"/>
  <c r="H351" i="2" s="1"/>
  <c r="O347" i="2"/>
  <c r="N347" i="2"/>
  <c r="L347" i="2"/>
  <c r="K347" i="2"/>
  <c r="I347" i="2"/>
  <c r="H347" i="2"/>
  <c r="O344" i="2"/>
  <c r="O346" i="2" s="1"/>
  <c r="N344" i="2"/>
  <c r="N345" i="2" s="1"/>
  <c r="L344" i="2"/>
  <c r="K344" i="2"/>
  <c r="K346" i="2" s="1"/>
  <c r="I344" i="2"/>
  <c r="H344" i="2"/>
  <c r="H346" i="2" s="1"/>
  <c r="O341" i="2"/>
  <c r="O342" i="2" s="1"/>
  <c r="N341" i="2"/>
  <c r="N343" i="2" s="1"/>
  <c r="L341" i="2"/>
  <c r="L343" i="2" s="1"/>
  <c r="K341" i="2"/>
  <c r="K342" i="2" s="1"/>
  <c r="I341" i="2"/>
  <c r="I342" i="2" s="1"/>
  <c r="H341" i="2"/>
  <c r="H342" i="2" s="1"/>
  <c r="O338" i="2"/>
  <c r="N338" i="2"/>
  <c r="L338" i="2"/>
  <c r="K338" i="2"/>
  <c r="I338" i="2"/>
  <c r="H338" i="2"/>
  <c r="O335" i="2"/>
  <c r="O336" i="2" s="1"/>
  <c r="N335" i="2"/>
  <c r="N336" i="2" s="1"/>
  <c r="L335" i="2"/>
  <c r="L336" i="2" s="1"/>
  <c r="K335" i="2"/>
  <c r="K336" i="2" s="1"/>
  <c r="I335" i="2"/>
  <c r="H335" i="2"/>
  <c r="H337" i="2" s="1"/>
  <c r="O332" i="2"/>
  <c r="N332" i="2"/>
  <c r="L332" i="2"/>
  <c r="K332" i="2"/>
  <c r="I332" i="2"/>
  <c r="H332" i="2"/>
  <c r="O329" i="2"/>
  <c r="N329" i="2"/>
  <c r="N331" i="2" s="1"/>
  <c r="L329" i="2"/>
  <c r="L331" i="2" s="1"/>
  <c r="K329" i="2"/>
  <c r="I329" i="2"/>
  <c r="H329" i="2"/>
  <c r="O326" i="2"/>
  <c r="N326" i="2"/>
  <c r="L326" i="2"/>
  <c r="K326" i="2"/>
  <c r="K328" i="2" s="1"/>
  <c r="I326" i="2"/>
  <c r="H326" i="2"/>
  <c r="O323" i="2"/>
  <c r="N323" i="2"/>
  <c r="L323" i="2"/>
  <c r="K323" i="2"/>
  <c r="K324" i="2" s="1"/>
  <c r="I323" i="2"/>
  <c r="I324" i="2" s="1"/>
  <c r="H323" i="2"/>
  <c r="H324" i="2" s="1"/>
  <c r="O320" i="2"/>
  <c r="O321" i="2" s="1"/>
  <c r="N320" i="2"/>
  <c r="N322" i="2" s="1"/>
  <c r="L320" i="2"/>
  <c r="L321" i="2" s="1"/>
  <c r="K320" i="2"/>
  <c r="K321" i="2" s="1"/>
  <c r="I320" i="2"/>
  <c r="I321" i="2" s="1"/>
  <c r="H320" i="2"/>
  <c r="H321" i="2" s="1"/>
  <c r="O317" i="2"/>
  <c r="O318" i="2" s="1"/>
  <c r="N317" i="2"/>
  <c r="N319" i="2" s="1"/>
  <c r="L317" i="2"/>
  <c r="L319" i="2" s="1"/>
  <c r="K317" i="2"/>
  <c r="K319" i="2" s="1"/>
  <c r="I317" i="2"/>
  <c r="H317" i="2"/>
  <c r="O314" i="2"/>
  <c r="N314" i="2"/>
  <c r="L314" i="2"/>
  <c r="K314" i="2"/>
  <c r="K315" i="2" s="1"/>
  <c r="I314" i="2"/>
  <c r="I315" i="2" s="1"/>
  <c r="H314" i="2"/>
  <c r="H315" i="2" s="1"/>
  <c r="O311" i="2"/>
  <c r="N311" i="2"/>
  <c r="N313" i="2" s="1"/>
  <c r="L311" i="2"/>
  <c r="L313" i="2" s="1"/>
  <c r="K311" i="2"/>
  <c r="K313" i="2" s="1"/>
  <c r="I311" i="2"/>
  <c r="I312" i="2" s="1"/>
  <c r="H311" i="2"/>
  <c r="H312" i="2" s="1"/>
  <c r="O308" i="2"/>
  <c r="O309" i="2" s="1"/>
  <c r="N308" i="2"/>
  <c r="N309" i="2" s="1"/>
  <c r="L308" i="2"/>
  <c r="K308" i="2"/>
  <c r="K310" i="2" s="1"/>
  <c r="I308" i="2"/>
  <c r="I309" i="2" s="1"/>
  <c r="H308" i="2"/>
  <c r="H309" i="2" s="1"/>
  <c r="O305" i="2"/>
  <c r="O307" i="2" s="1"/>
  <c r="N305" i="2"/>
  <c r="L305" i="2"/>
  <c r="K305" i="2"/>
  <c r="I305" i="2"/>
  <c r="H305" i="2"/>
  <c r="O302" i="2"/>
  <c r="O304" i="2" s="1"/>
  <c r="N302" i="2"/>
  <c r="L302" i="2"/>
  <c r="K302" i="2"/>
  <c r="I302" i="2"/>
  <c r="H302" i="2"/>
  <c r="H303" i="2" s="1"/>
  <c r="O299" i="2"/>
  <c r="O301" i="2" s="1"/>
  <c r="N299" i="2"/>
  <c r="L299" i="2"/>
  <c r="K299" i="2"/>
  <c r="K300" i="2" s="1"/>
  <c r="I299" i="2"/>
  <c r="I301" i="2" s="1"/>
  <c r="H299" i="2"/>
  <c r="H301" i="2" s="1"/>
  <c r="O296" i="2"/>
  <c r="O298" i="2" s="1"/>
  <c r="N296" i="2"/>
  <c r="L296" i="2"/>
  <c r="K296" i="2"/>
  <c r="I296" i="2"/>
  <c r="I298" i="2" s="1"/>
  <c r="H296" i="2"/>
  <c r="O293" i="2"/>
  <c r="O294" i="2" s="1"/>
  <c r="N293" i="2"/>
  <c r="N294" i="2" s="1"/>
  <c r="L293" i="2"/>
  <c r="L295" i="2" s="1"/>
  <c r="K293" i="2"/>
  <c r="I293" i="2"/>
  <c r="H293" i="2"/>
  <c r="O290" i="2"/>
  <c r="O292" i="2" s="1"/>
  <c r="N290" i="2"/>
  <c r="L290" i="2"/>
  <c r="L291" i="2" s="1"/>
  <c r="K290" i="2"/>
  <c r="I290" i="2"/>
  <c r="I291" i="2" s="1"/>
  <c r="H290" i="2"/>
  <c r="H291" i="2" s="1"/>
  <c r="O287" i="2"/>
  <c r="O289" i="2" s="1"/>
  <c r="N287" i="2"/>
  <c r="N289" i="2" s="1"/>
  <c r="L287" i="2"/>
  <c r="K287" i="2"/>
  <c r="K288" i="2" s="1"/>
  <c r="I287" i="2"/>
  <c r="H287" i="2"/>
  <c r="H288" i="2" s="1"/>
  <c r="O284" i="2"/>
  <c r="O286" i="2" s="1"/>
  <c r="N284" i="2"/>
  <c r="N286" i="2" s="1"/>
  <c r="L284" i="2"/>
  <c r="L286" i="2" s="1"/>
  <c r="K284" i="2"/>
  <c r="K286" i="2" s="1"/>
  <c r="I284" i="2"/>
  <c r="H284" i="2"/>
  <c r="O281" i="2"/>
  <c r="N281" i="2"/>
  <c r="N282" i="2" s="1"/>
  <c r="L281" i="2"/>
  <c r="L283" i="2" s="1"/>
  <c r="K281" i="2"/>
  <c r="K282" i="2" s="1"/>
  <c r="I281" i="2"/>
  <c r="H281" i="2"/>
  <c r="O278" i="2"/>
  <c r="O280" i="2" s="1"/>
  <c r="N278" i="2"/>
  <c r="L278" i="2"/>
  <c r="L279" i="2" s="1"/>
  <c r="K278" i="2"/>
  <c r="I278" i="2"/>
  <c r="I280" i="2" s="1"/>
  <c r="H278" i="2"/>
  <c r="H280" i="2" s="1"/>
  <c r="O275" i="2"/>
  <c r="N275" i="2"/>
  <c r="L275" i="2"/>
  <c r="K275" i="2"/>
  <c r="K276" i="2" s="1"/>
  <c r="I275" i="2"/>
  <c r="H275" i="2"/>
  <c r="O272" i="2"/>
  <c r="O273" i="2" s="1"/>
  <c r="N272" i="2"/>
  <c r="L272" i="2"/>
  <c r="K272" i="2"/>
  <c r="K274" i="2" s="1"/>
  <c r="I272" i="2"/>
  <c r="I274" i="2" s="1"/>
  <c r="H272" i="2"/>
  <c r="H274" i="2" s="1"/>
  <c r="O269" i="2"/>
  <c r="O271" i="2" s="1"/>
  <c r="N269" i="2"/>
  <c r="L269" i="2"/>
  <c r="K269" i="2"/>
  <c r="I269" i="2"/>
  <c r="H269" i="2"/>
  <c r="O266" i="2"/>
  <c r="O267" i="2" s="1"/>
  <c r="N266" i="2"/>
  <c r="N268" i="2" s="1"/>
  <c r="L266" i="2"/>
  <c r="L267" i="2" s="1"/>
  <c r="K266" i="2"/>
  <c r="I266" i="2"/>
  <c r="H266" i="2"/>
  <c r="O263" i="2"/>
  <c r="O264" i="2" s="1"/>
  <c r="N263" i="2"/>
  <c r="N265" i="2" s="1"/>
  <c r="L263" i="2"/>
  <c r="L265" i="2" s="1"/>
  <c r="K263" i="2"/>
  <c r="I263" i="2"/>
  <c r="I265" i="2" s="1"/>
  <c r="H263" i="2"/>
  <c r="H264" i="2" s="1"/>
  <c r="O260" i="2"/>
  <c r="O261" i="2" s="1"/>
  <c r="N260" i="2"/>
  <c r="L260" i="2"/>
  <c r="K260" i="2"/>
  <c r="K261" i="2" s="1"/>
  <c r="I260" i="2"/>
  <c r="H260" i="2"/>
  <c r="O257" i="2"/>
  <c r="O258" i="2" s="1"/>
  <c r="N257" i="2"/>
  <c r="L257" i="2"/>
  <c r="L259" i="2" s="1"/>
  <c r="K257" i="2"/>
  <c r="I257" i="2"/>
  <c r="H257" i="2"/>
  <c r="H258" i="2" s="1"/>
  <c r="O254" i="2"/>
  <c r="O256" i="2" s="1"/>
  <c r="N254" i="2"/>
  <c r="N256" i="2" s="1"/>
  <c r="L254" i="2"/>
  <c r="K254" i="2"/>
  <c r="I254" i="2"/>
  <c r="I256" i="2" s="1"/>
  <c r="H254" i="2"/>
  <c r="H255" i="2" s="1"/>
  <c r="O251" i="2"/>
  <c r="N251" i="2"/>
  <c r="N252" i="2" s="1"/>
  <c r="L251" i="2"/>
  <c r="K251" i="2"/>
  <c r="K253" i="2" s="1"/>
  <c r="I251" i="2"/>
  <c r="I253" i="2" s="1"/>
  <c r="H251" i="2"/>
  <c r="H253" i="2" s="1"/>
  <c r="O248" i="2"/>
  <c r="N248" i="2"/>
  <c r="L248" i="2"/>
  <c r="L250" i="2" s="1"/>
  <c r="K248" i="2"/>
  <c r="K250" i="2" s="1"/>
  <c r="I248" i="2"/>
  <c r="H248" i="2"/>
  <c r="H250" i="2" s="1"/>
  <c r="O245" i="2"/>
  <c r="N245" i="2"/>
  <c r="L245" i="2"/>
  <c r="L246" i="2" s="1"/>
  <c r="K245" i="2"/>
  <c r="I245" i="2"/>
  <c r="H245" i="2"/>
  <c r="O242" i="2"/>
  <c r="O244" i="2" s="1"/>
  <c r="N242" i="2"/>
  <c r="N244" i="2" s="1"/>
  <c r="L242" i="2"/>
  <c r="L243" i="2" s="1"/>
  <c r="K242" i="2"/>
  <c r="K244" i="2" s="1"/>
  <c r="I242" i="2"/>
  <c r="I244" i="2" s="1"/>
  <c r="H242" i="2"/>
  <c r="H244" i="2" s="1"/>
  <c r="O239" i="2"/>
  <c r="N239" i="2"/>
  <c r="L239" i="2"/>
  <c r="K239" i="2"/>
  <c r="I239" i="2"/>
  <c r="H239" i="2"/>
  <c r="H240" i="2" s="1"/>
  <c r="O236" i="2"/>
  <c r="N236" i="2"/>
  <c r="L236" i="2"/>
  <c r="L238" i="2" s="1"/>
  <c r="K236" i="2"/>
  <c r="K237" i="2" s="1"/>
  <c r="I236" i="2"/>
  <c r="I237" i="2" s="1"/>
  <c r="H236" i="2"/>
  <c r="O233" i="2"/>
  <c r="N233" i="2"/>
  <c r="L233" i="2"/>
  <c r="K233" i="2"/>
  <c r="K235" i="2" s="1"/>
  <c r="I233" i="2"/>
  <c r="H233" i="2"/>
  <c r="O230" i="2"/>
  <c r="N230" i="2"/>
  <c r="L230" i="2"/>
  <c r="L232" i="2" s="1"/>
  <c r="K230" i="2"/>
  <c r="K232" i="2" s="1"/>
  <c r="I230" i="2"/>
  <c r="I232" i="2" s="1"/>
  <c r="H230" i="2"/>
  <c r="H232" i="2" s="1"/>
  <c r="O227" i="2"/>
  <c r="N227" i="2"/>
  <c r="L227" i="2"/>
  <c r="K227" i="2"/>
  <c r="I227" i="2"/>
  <c r="H227" i="2"/>
  <c r="O224" i="2"/>
  <c r="O226" i="2" s="1"/>
  <c r="N224" i="2"/>
  <c r="N226" i="2" s="1"/>
  <c r="L224" i="2"/>
  <c r="K224" i="2"/>
  <c r="I224" i="2"/>
  <c r="H224" i="2"/>
  <c r="O221" i="2"/>
  <c r="N221" i="2"/>
  <c r="L221" i="2"/>
  <c r="K221" i="2"/>
  <c r="I221" i="2"/>
  <c r="I222" i="2" s="1"/>
  <c r="H221" i="2"/>
  <c r="H223" i="2" s="1"/>
  <c r="O218" i="2"/>
  <c r="O220" i="2" s="1"/>
  <c r="N218" i="2"/>
  <c r="N220" i="2" s="1"/>
  <c r="L218" i="2"/>
  <c r="L219" i="2" s="1"/>
  <c r="K218" i="2"/>
  <c r="I218" i="2"/>
  <c r="H218" i="2"/>
  <c r="O215" i="2"/>
  <c r="N215" i="2"/>
  <c r="L215" i="2"/>
  <c r="L216" i="2" s="1"/>
  <c r="K215" i="2"/>
  <c r="K217" i="2" s="1"/>
  <c r="I215" i="2"/>
  <c r="H215" i="2"/>
  <c r="O212" i="2"/>
  <c r="O214" i="2" s="1"/>
  <c r="N212" i="2"/>
  <c r="N213" i="2" s="1"/>
  <c r="L212" i="2"/>
  <c r="L214" i="2" s="1"/>
  <c r="K212" i="2"/>
  <c r="K213" i="2" s="1"/>
  <c r="I212" i="2"/>
  <c r="H212" i="2"/>
  <c r="O209" i="2"/>
  <c r="O210" i="2" s="1"/>
  <c r="N209" i="2"/>
  <c r="L209" i="2"/>
  <c r="K209" i="2"/>
  <c r="K210" i="2" s="1"/>
  <c r="I209" i="2"/>
  <c r="I211" i="2" s="1"/>
  <c r="H209" i="2"/>
  <c r="O206" i="2"/>
  <c r="O207" i="2" s="1"/>
  <c r="N206" i="2"/>
  <c r="N207" i="2" s="1"/>
  <c r="L206" i="2"/>
  <c r="L207" i="2" s="1"/>
  <c r="K206" i="2"/>
  <c r="K207" i="2" s="1"/>
  <c r="I206" i="2"/>
  <c r="H206" i="2"/>
  <c r="O203" i="2"/>
  <c r="O205" i="2" s="1"/>
  <c r="N203" i="2"/>
  <c r="N204" i="2" s="1"/>
  <c r="L203" i="2"/>
  <c r="L204" i="2" s="1"/>
  <c r="K203" i="2"/>
  <c r="K205" i="2" s="1"/>
  <c r="I203" i="2"/>
  <c r="H203" i="2"/>
  <c r="H205" i="2" s="1"/>
  <c r="O200" i="2"/>
  <c r="N200" i="2"/>
  <c r="N202" i="2" s="1"/>
  <c r="L200" i="2"/>
  <c r="L201" i="2" s="1"/>
  <c r="K200" i="2"/>
  <c r="K201" i="2" s="1"/>
  <c r="I200" i="2"/>
  <c r="H200" i="2"/>
  <c r="H201" i="2" s="1"/>
  <c r="O197" i="2"/>
  <c r="N197" i="2"/>
  <c r="L197" i="2"/>
  <c r="K197" i="2"/>
  <c r="K199" i="2" s="1"/>
  <c r="I197" i="2"/>
  <c r="I199" i="2" s="1"/>
  <c r="H197" i="2"/>
  <c r="H199" i="2" s="1"/>
  <c r="O194" i="2"/>
  <c r="O196" i="2" s="1"/>
  <c r="N194" i="2"/>
  <c r="L194" i="2"/>
  <c r="K194" i="2"/>
  <c r="I194" i="2"/>
  <c r="I196" i="2" s="1"/>
  <c r="H194" i="2"/>
  <c r="H196" i="2" s="1"/>
  <c r="O191" i="2"/>
  <c r="N191" i="2"/>
  <c r="L191" i="2"/>
  <c r="K191" i="2"/>
  <c r="K193" i="2" s="1"/>
  <c r="I191" i="2"/>
  <c r="H191" i="2"/>
  <c r="O188" i="2"/>
  <c r="O189" i="2" s="1"/>
  <c r="N188" i="2"/>
  <c r="N189" i="2" s="1"/>
  <c r="L188" i="2"/>
  <c r="L189" i="2" s="1"/>
  <c r="K188" i="2"/>
  <c r="I188" i="2"/>
  <c r="H188" i="2"/>
  <c r="H189" i="2" s="1"/>
  <c r="O185" i="2"/>
  <c r="O186" i="2" s="1"/>
  <c r="N185" i="2"/>
  <c r="N187" i="2" s="1"/>
  <c r="L185" i="2"/>
  <c r="K185" i="2"/>
  <c r="I185" i="2"/>
  <c r="I187" i="2" s="1"/>
  <c r="H185" i="2"/>
  <c r="H186" i="2" s="1"/>
  <c r="O182" i="2"/>
  <c r="N182" i="2"/>
  <c r="N183" i="2" s="1"/>
  <c r="L182" i="2"/>
  <c r="K182" i="2"/>
  <c r="I182" i="2"/>
  <c r="I183" i="2" s="1"/>
  <c r="H182" i="2"/>
  <c r="O179" i="2"/>
  <c r="O181" i="2" s="1"/>
  <c r="N179" i="2"/>
  <c r="N181" i="2" s="1"/>
  <c r="L179" i="2"/>
  <c r="K179" i="2"/>
  <c r="K181" i="2" s="1"/>
  <c r="I179" i="2"/>
  <c r="I181" i="2" s="1"/>
  <c r="H179" i="2"/>
  <c r="H181" i="2" s="1"/>
  <c r="O176" i="2"/>
  <c r="N176" i="2"/>
  <c r="N178" i="2" s="1"/>
  <c r="L176" i="2"/>
  <c r="K176" i="2"/>
  <c r="I176" i="2"/>
  <c r="H176" i="2"/>
  <c r="O173" i="2"/>
  <c r="N173" i="2"/>
  <c r="L173" i="2"/>
  <c r="K173" i="2"/>
  <c r="K174" i="2" s="1"/>
  <c r="I173" i="2"/>
  <c r="I174" i="2" s="1"/>
  <c r="H173" i="2"/>
  <c r="O170" i="2"/>
  <c r="O172" i="2" s="1"/>
  <c r="N170" i="2"/>
  <c r="N172" i="2" s="1"/>
  <c r="L170" i="2"/>
  <c r="L172" i="2" s="1"/>
  <c r="K170" i="2"/>
  <c r="K172" i="2" s="1"/>
  <c r="I170" i="2"/>
  <c r="I172" i="2" s="1"/>
  <c r="H170" i="2"/>
  <c r="O167" i="2"/>
  <c r="N167" i="2"/>
  <c r="L167" i="2"/>
  <c r="L169" i="2" s="1"/>
  <c r="K167" i="2"/>
  <c r="K168" i="2" s="1"/>
  <c r="I167" i="2"/>
  <c r="I169" i="2" s="1"/>
  <c r="H167" i="2"/>
  <c r="H168" i="2" s="1"/>
  <c r="O164" i="2"/>
  <c r="O166" i="2" s="1"/>
  <c r="N164" i="2"/>
  <c r="N166" i="2" s="1"/>
  <c r="L164" i="2"/>
  <c r="L166" i="2" s="1"/>
  <c r="K164" i="2"/>
  <c r="K165" i="2" s="1"/>
  <c r="I164" i="2"/>
  <c r="I165" i="2" s="1"/>
  <c r="H164" i="2"/>
  <c r="H166" i="2" s="1"/>
  <c r="O161" i="2"/>
  <c r="N161" i="2"/>
  <c r="L161" i="2"/>
  <c r="K161" i="2"/>
  <c r="I161" i="2"/>
  <c r="H161" i="2"/>
  <c r="O158" i="2"/>
  <c r="O160" i="2" s="1"/>
  <c r="N158" i="2"/>
  <c r="N160" i="2" s="1"/>
  <c r="L158" i="2"/>
  <c r="L160" i="2" s="1"/>
  <c r="K158" i="2"/>
  <c r="K160" i="2" s="1"/>
  <c r="I158" i="2"/>
  <c r="H158" i="2"/>
  <c r="O155" i="2"/>
  <c r="O157" i="2" s="1"/>
  <c r="N155" i="2"/>
  <c r="N156" i="2" s="1"/>
  <c r="L155" i="2"/>
  <c r="K155" i="2"/>
  <c r="I155" i="2"/>
  <c r="H155" i="2"/>
  <c r="O152" i="2"/>
  <c r="N152" i="2"/>
  <c r="N153" i="2" s="1"/>
  <c r="L152" i="2"/>
  <c r="L153" i="2" s="1"/>
  <c r="K152" i="2"/>
  <c r="K153" i="2" s="1"/>
  <c r="I152" i="2"/>
  <c r="I153" i="2" s="1"/>
  <c r="H152" i="2"/>
  <c r="H153" i="2" s="1"/>
  <c r="O149" i="2"/>
  <c r="N149" i="2"/>
  <c r="N151" i="2" s="1"/>
  <c r="L149" i="2"/>
  <c r="K149" i="2"/>
  <c r="K151" i="2" s="1"/>
  <c r="I149" i="2"/>
  <c r="I151" i="2" s="1"/>
  <c r="H149" i="2"/>
  <c r="H150" i="2" s="1"/>
  <c r="O146" i="2"/>
  <c r="N146" i="2"/>
  <c r="L146" i="2"/>
  <c r="L148" i="2" s="1"/>
  <c r="K146" i="2"/>
  <c r="K148" i="2" s="1"/>
  <c r="I146" i="2"/>
  <c r="I147" i="2" s="1"/>
  <c r="H146" i="2"/>
  <c r="H148" i="2" s="1"/>
  <c r="O143" i="2"/>
  <c r="O145" i="2" s="1"/>
  <c r="N143" i="2"/>
  <c r="L143" i="2"/>
  <c r="L145" i="2" s="1"/>
  <c r="K143" i="2"/>
  <c r="I143" i="2"/>
  <c r="I145" i="2" s="1"/>
  <c r="H143" i="2"/>
  <c r="O140" i="2"/>
  <c r="O141" i="2" s="1"/>
  <c r="N140" i="2"/>
  <c r="N141" i="2" s="1"/>
  <c r="L140" i="2"/>
  <c r="L141" i="2" s="1"/>
  <c r="K140" i="2"/>
  <c r="K141" i="2" s="1"/>
  <c r="I140" i="2"/>
  <c r="I141" i="2" s="1"/>
  <c r="H140" i="2"/>
  <c r="O137" i="2"/>
  <c r="O139" i="2" s="1"/>
  <c r="N137" i="2"/>
  <c r="L137" i="2"/>
  <c r="L138" i="2" s="1"/>
  <c r="K137" i="2"/>
  <c r="K138" i="2" s="1"/>
  <c r="I137" i="2"/>
  <c r="H137" i="2"/>
  <c r="O134" i="2"/>
  <c r="O135" i="2" s="1"/>
  <c r="N134" i="2"/>
  <c r="N135" i="2" s="1"/>
  <c r="L134" i="2"/>
  <c r="L135" i="2" s="1"/>
  <c r="K134" i="2"/>
  <c r="K135" i="2" s="1"/>
  <c r="I134" i="2"/>
  <c r="H134" i="2"/>
  <c r="O131" i="2"/>
  <c r="N131" i="2"/>
  <c r="L131" i="2"/>
  <c r="K131" i="2"/>
  <c r="K132" i="2" s="1"/>
  <c r="I131" i="2"/>
  <c r="I132" i="2" s="1"/>
  <c r="H131" i="2"/>
  <c r="O128" i="2"/>
  <c r="O129" i="2" s="1"/>
  <c r="N128" i="2"/>
  <c r="N130" i="2" s="1"/>
  <c r="L128" i="2"/>
  <c r="K128" i="2"/>
  <c r="K130" i="2" s="1"/>
  <c r="I128" i="2"/>
  <c r="I130" i="2" s="1"/>
  <c r="H128" i="2"/>
  <c r="H130" i="2" s="1"/>
  <c r="O125" i="2"/>
  <c r="O127" i="2" s="1"/>
  <c r="N125" i="2"/>
  <c r="N126" i="2" s="1"/>
  <c r="L125" i="2"/>
  <c r="K125" i="2"/>
  <c r="I125" i="2"/>
  <c r="H125" i="2"/>
  <c r="O122" i="2"/>
  <c r="O124" i="2" s="1"/>
  <c r="N122" i="2"/>
  <c r="N124" i="2" s="1"/>
  <c r="L122" i="2"/>
  <c r="L124" i="2" s="1"/>
  <c r="K122" i="2"/>
  <c r="K123" i="2" s="1"/>
  <c r="I122" i="2"/>
  <c r="I124" i="2" s="1"/>
  <c r="H122" i="2"/>
  <c r="H123" i="2" s="1"/>
  <c r="O119" i="2"/>
  <c r="O120" i="2" s="1"/>
  <c r="N119" i="2"/>
  <c r="N120" i="2" s="1"/>
  <c r="L119" i="2"/>
  <c r="L120" i="2" s="1"/>
  <c r="K119" i="2"/>
  <c r="K121" i="2" s="1"/>
  <c r="I119" i="2"/>
  <c r="I121" i="2" s="1"/>
  <c r="H119" i="2"/>
  <c r="H120" i="2" s="1"/>
  <c r="O116" i="2"/>
  <c r="N116" i="2"/>
  <c r="L116" i="2"/>
  <c r="L118" i="2" s="1"/>
  <c r="K116" i="2"/>
  <c r="I116" i="2"/>
  <c r="H116" i="2"/>
  <c r="H117" i="2" s="1"/>
  <c r="O113" i="2"/>
  <c r="O114" i="2" s="1"/>
  <c r="N113" i="2"/>
  <c r="N114" i="2" s="1"/>
  <c r="L113" i="2"/>
  <c r="L114" i="2" s="1"/>
  <c r="K113" i="2"/>
  <c r="I113" i="2"/>
  <c r="I114" i="2" s="1"/>
  <c r="H113" i="2"/>
  <c r="H114" i="2" s="1"/>
  <c r="O110" i="2"/>
  <c r="O111" i="2" s="1"/>
  <c r="N110" i="2"/>
  <c r="N111" i="2" s="1"/>
  <c r="L110" i="2"/>
  <c r="L111" i="2" s="1"/>
  <c r="K110" i="2"/>
  <c r="K111" i="2" s="1"/>
  <c r="I110" i="2"/>
  <c r="I111" i="2" s="1"/>
  <c r="H110" i="2"/>
  <c r="H111" i="2" s="1"/>
  <c r="O107" i="2"/>
  <c r="O108" i="2" s="1"/>
  <c r="N107" i="2"/>
  <c r="L107" i="2"/>
  <c r="K107" i="2"/>
  <c r="I107" i="2"/>
  <c r="H107" i="2"/>
  <c r="O104" i="2"/>
  <c r="N104" i="2"/>
  <c r="N106" i="2" s="1"/>
  <c r="L104" i="2"/>
  <c r="K104" i="2"/>
  <c r="I104" i="2"/>
  <c r="H104" i="2"/>
  <c r="H105" i="2" s="1"/>
  <c r="O101" i="2"/>
  <c r="N101" i="2"/>
  <c r="N103" i="2" s="1"/>
  <c r="L101" i="2"/>
  <c r="K101" i="2"/>
  <c r="I101" i="2"/>
  <c r="I103" i="2" s="1"/>
  <c r="H101" i="2"/>
  <c r="H103" i="2" s="1"/>
  <c r="O98" i="2"/>
  <c r="N98" i="2"/>
  <c r="N99" i="2" s="1"/>
  <c r="L98" i="2"/>
  <c r="L99" i="2" s="1"/>
  <c r="K98" i="2"/>
  <c r="K100" i="2" s="1"/>
  <c r="I98" i="2"/>
  <c r="H98" i="2"/>
  <c r="H100" i="2" s="1"/>
  <c r="O95" i="2"/>
  <c r="N95" i="2"/>
  <c r="L95" i="2"/>
  <c r="K95" i="2"/>
  <c r="I95" i="2"/>
  <c r="H95" i="2"/>
  <c r="H97" i="2" s="1"/>
  <c r="O92" i="2"/>
  <c r="O94" i="2" s="1"/>
  <c r="N92" i="2"/>
  <c r="N94" i="2" s="1"/>
  <c r="L92" i="2"/>
  <c r="K92" i="2"/>
  <c r="I92" i="2"/>
  <c r="H92" i="2"/>
  <c r="O89" i="2"/>
  <c r="O90" i="2" s="1"/>
  <c r="N89" i="2"/>
  <c r="N90" i="2" s="1"/>
  <c r="L89" i="2"/>
  <c r="L90" i="2" s="1"/>
  <c r="K89" i="2"/>
  <c r="K90" i="2" s="1"/>
  <c r="I89" i="2"/>
  <c r="I90" i="2" s="1"/>
  <c r="H89" i="2"/>
  <c r="H90" i="2" s="1"/>
  <c r="O86" i="2"/>
  <c r="N86" i="2"/>
  <c r="L86" i="2"/>
  <c r="L88" i="2" s="1"/>
  <c r="K86" i="2"/>
  <c r="K87" i="2" s="1"/>
  <c r="I86" i="2"/>
  <c r="H86" i="2"/>
  <c r="O83" i="2"/>
  <c r="N83" i="2"/>
  <c r="N84" i="2" s="1"/>
  <c r="L83" i="2"/>
  <c r="L84" i="2" s="1"/>
  <c r="K83" i="2"/>
  <c r="K84" i="2" s="1"/>
  <c r="I83" i="2"/>
  <c r="I84" i="2" s="1"/>
  <c r="H83" i="2"/>
  <c r="O80" i="2"/>
  <c r="N80" i="2"/>
  <c r="L80" i="2"/>
  <c r="K80" i="2"/>
  <c r="I80" i="2"/>
  <c r="H80" i="2"/>
  <c r="H82" i="2" s="1"/>
  <c r="O77" i="2"/>
  <c r="O78" i="2" s="1"/>
  <c r="N77" i="2"/>
  <c r="N79" i="2" s="1"/>
  <c r="L77" i="2"/>
  <c r="L79" i="2" s="1"/>
  <c r="K77" i="2"/>
  <c r="I77" i="2"/>
  <c r="H77" i="2"/>
  <c r="O74" i="2"/>
  <c r="N74" i="2"/>
  <c r="L74" i="2"/>
  <c r="K74" i="2"/>
  <c r="I74" i="2"/>
  <c r="I76" i="2" s="1"/>
  <c r="H74" i="2"/>
  <c r="H76" i="2" s="1"/>
  <c r="O71" i="2"/>
  <c r="O73" i="2" s="1"/>
  <c r="N71" i="2"/>
  <c r="N73" i="2" s="1"/>
  <c r="L71" i="2"/>
  <c r="L73" i="2" s="1"/>
  <c r="K71" i="2"/>
  <c r="K73" i="2" s="1"/>
  <c r="I71" i="2"/>
  <c r="I73" i="2" s="1"/>
  <c r="H71" i="2"/>
  <c r="H72" i="2" s="1"/>
  <c r="O68" i="2"/>
  <c r="N68" i="2"/>
  <c r="L68" i="2"/>
  <c r="L70" i="2" s="1"/>
  <c r="K68" i="2"/>
  <c r="K70" i="2" s="1"/>
  <c r="I68" i="2"/>
  <c r="I70" i="2" s="1"/>
  <c r="H68" i="2"/>
  <c r="H70" i="2" s="1"/>
  <c r="O65" i="2"/>
  <c r="N65" i="2"/>
  <c r="L65" i="2"/>
  <c r="K65" i="2"/>
  <c r="K66" i="2" s="1"/>
  <c r="I65" i="2"/>
  <c r="I67" i="2" s="1"/>
  <c r="H65" i="2"/>
  <c r="H66" i="2" s="1"/>
  <c r="O62" i="2"/>
  <c r="N62" i="2"/>
  <c r="L62" i="2"/>
  <c r="K62" i="2"/>
  <c r="I62" i="2"/>
  <c r="I64" i="2" s="1"/>
  <c r="H62" i="2"/>
  <c r="H64" i="2" s="1"/>
  <c r="O59" i="2"/>
  <c r="O61" i="2" s="1"/>
  <c r="N59" i="2"/>
  <c r="L59" i="2"/>
  <c r="L60" i="2" s="1"/>
  <c r="K59" i="2"/>
  <c r="K61" i="2" s="1"/>
  <c r="I59" i="2"/>
  <c r="H59" i="2"/>
  <c r="O56" i="2"/>
  <c r="N56" i="2"/>
  <c r="L56" i="2"/>
  <c r="K56" i="2"/>
  <c r="I56" i="2"/>
  <c r="I58" i="2" s="1"/>
  <c r="H56" i="2"/>
  <c r="H57" i="2" s="1"/>
  <c r="O53" i="2"/>
  <c r="N53" i="2"/>
  <c r="L53" i="2"/>
  <c r="K53" i="2"/>
  <c r="I53" i="2"/>
  <c r="H53" i="2"/>
  <c r="O50" i="2"/>
  <c r="O51" i="2" s="1"/>
  <c r="N50" i="2"/>
  <c r="N52" i="2" s="1"/>
  <c r="L50" i="2"/>
  <c r="L52" i="2" s="1"/>
  <c r="K50" i="2"/>
  <c r="K52" i="2" s="1"/>
  <c r="I50" i="2"/>
  <c r="H50" i="2"/>
  <c r="H52" i="2" s="1"/>
  <c r="O47" i="2"/>
  <c r="N47" i="2"/>
  <c r="N49" i="2" s="1"/>
  <c r="L47" i="2"/>
  <c r="L49" i="2" s="1"/>
  <c r="K47" i="2"/>
  <c r="K49" i="2" s="1"/>
  <c r="I47" i="2"/>
  <c r="I49" i="2" s="1"/>
  <c r="H47" i="2"/>
  <c r="O44" i="2"/>
  <c r="N44" i="2"/>
  <c r="N45" i="2" s="1"/>
  <c r="L44" i="2"/>
  <c r="K44" i="2"/>
  <c r="I44" i="2"/>
  <c r="H44" i="2"/>
  <c r="O41" i="2"/>
  <c r="O43" i="2" s="1"/>
  <c r="N41" i="2"/>
  <c r="N42" i="2" s="1"/>
  <c r="L41" i="2"/>
  <c r="L43" i="2" s="1"/>
  <c r="K41" i="2"/>
  <c r="K43" i="2" s="1"/>
  <c r="I41" i="2"/>
  <c r="H41" i="2"/>
  <c r="O38" i="2"/>
  <c r="O39" i="2" s="1"/>
  <c r="N38" i="2"/>
  <c r="L38" i="2"/>
  <c r="K38" i="2"/>
  <c r="I38" i="2"/>
  <c r="H38" i="2"/>
  <c r="O35" i="2"/>
  <c r="O36" i="2" s="1"/>
  <c r="N35" i="2"/>
  <c r="N37" i="2" s="1"/>
  <c r="L35" i="2"/>
  <c r="L37" i="2" s="1"/>
  <c r="K35" i="2"/>
  <c r="K37" i="2" s="1"/>
  <c r="I35" i="2"/>
  <c r="I37" i="2" s="1"/>
  <c r="H35" i="2"/>
  <c r="O32" i="2"/>
  <c r="O33" i="2" s="1"/>
  <c r="N32" i="2"/>
  <c r="N34" i="2" s="1"/>
  <c r="L32" i="2"/>
  <c r="K32" i="2"/>
  <c r="I32" i="2"/>
  <c r="H32" i="2"/>
  <c r="O29" i="2"/>
  <c r="O30" i="2" s="1"/>
  <c r="N29" i="2"/>
  <c r="N30" i="2" s="1"/>
  <c r="L29" i="2"/>
  <c r="L31" i="2" s="1"/>
  <c r="K29" i="2"/>
  <c r="K30" i="2" s="1"/>
  <c r="I29" i="2"/>
  <c r="I31" i="2" s="1"/>
  <c r="H29" i="2"/>
  <c r="H31" i="2" s="1"/>
  <c r="O26" i="2"/>
  <c r="N26" i="2"/>
  <c r="L26" i="2"/>
  <c r="K26" i="2"/>
  <c r="I26" i="2"/>
  <c r="H26" i="2"/>
  <c r="O23" i="2"/>
  <c r="O25" i="2" s="1"/>
  <c r="N23" i="2"/>
  <c r="N25" i="2" s="1"/>
  <c r="L23" i="2"/>
  <c r="L25" i="2" s="1"/>
  <c r="K23" i="2"/>
  <c r="K25" i="2" s="1"/>
  <c r="I23" i="2"/>
  <c r="I25" i="2" s="1"/>
  <c r="H23" i="2"/>
  <c r="O20" i="2"/>
  <c r="N20" i="2"/>
  <c r="L20" i="2"/>
  <c r="K20" i="2"/>
  <c r="K22" i="2" s="1"/>
  <c r="I20" i="2"/>
  <c r="H20" i="2"/>
  <c r="H21" i="2" s="1"/>
  <c r="O17" i="2"/>
  <c r="O19" i="2" s="1"/>
  <c r="N17" i="2"/>
  <c r="L17" i="2"/>
  <c r="K17" i="2"/>
  <c r="K18" i="2" s="1"/>
  <c r="I17" i="2"/>
  <c r="I19" i="2" s="1"/>
  <c r="H17" i="2"/>
  <c r="H18" i="2" s="1"/>
  <c r="O14" i="2"/>
  <c r="N14" i="2"/>
  <c r="L14" i="2"/>
  <c r="K14" i="2"/>
  <c r="K16" i="2" s="1"/>
  <c r="I14" i="2"/>
  <c r="I16" i="2" s="1"/>
  <c r="H14" i="2"/>
  <c r="O11" i="2"/>
  <c r="O13" i="2" s="1"/>
  <c r="N11" i="2"/>
  <c r="L11" i="2"/>
  <c r="K11" i="2"/>
  <c r="I11" i="2"/>
  <c r="H11" i="2"/>
  <c r="H13" i="2" s="1"/>
  <c r="O8" i="2"/>
  <c r="N8" i="2"/>
  <c r="L8" i="2"/>
  <c r="K8" i="2"/>
  <c r="I8" i="2"/>
  <c r="I10" i="2" s="1"/>
  <c r="H8" i="2"/>
  <c r="H10" i="2" s="1"/>
  <c r="O5" i="2"/>
  <c r="N5" i="2"/>
  <c r="L5" i="2"/>
  <c r="L7" i="2" s="1"/>
  <c r="K5" i="2"/>
  <c r="K7" i="2" s="1"/>
  <c r="I5" i="2"/>
  <c r="I7" i="2" s="1"/>
  <c r="H5" i="2"/>
  <c r="H7" i="2" s="1"/>
  <c r="O2" i="2"/>
  <c r="N2" i="2"/>
  <c r="N4" i="2" s="1"/>
  <c r="L2" i="2"/>
  <c r="K2" i="2"/>
  <c r="I2" i="2"/>
  <c r="I4" i="2" s="1"/>
  <c r="H2" i="2"/>
  <c r="H412" i="2" l="1"/>
  <c r="I412" i="2"/>
  <c r="I66" i="2"/>
  <c r="I541" i="2"/>
  <c r="H541" i="2"/>
  <c r="L798" i="2"/>
  <c r="H12" i="2"/>
  <c r="H322" i="2"/>
  <c r="L322" i="2"/>
  <c r="I325" i="2"/>
  <c r="L312" i="2"/>
  <c r="K316" i="2"/>
  <c r="I322" i="2"/>
  <c r="O891" i="2"/>
  <c r="H673" i="2"/>
  <c r="H510" i="2"/>
  <c r="H154" i="2"/>
  <c r="K673" i="2"/>
  <c r="I568" i="2"/>
  <c r="H313" i="2"/>
  <c r="I673" i="2"/>
  <c r="I343" i="2"/>
  <c r="K568" i="2"/>
  <c r="N321" i="2"/>
  <c r="N442" i="2"/>
  <c r="K198" i="2"/>
  <c r="K766" i="2"/>
  <c r="O322" i="2"/>
  <c r="L337" i="2"/>
  <c r="H187" i="2"/>
  <c r="N736" i="2"/>
  <c r="H844" i="2"/>
  <c r="N112" i="2"/>
  <c r="O187" i="2"/>
  <c r="I705" i="2"/>
  <c r="I844" i="2"/>
  <c r="K522" i="2"/>
  <c r="H568" i="2"/>
  <c r="K798" i="2"/>
  <c r="H894" i="2"/>
  <c r="O190" i="2"/>
  <c r="I511" i="2"/>
  <c r="L541" i="2"/>
  <c r="K147" i="2"/>
  <c r="I838" i="2"/>
  <c r="L121" i="2"/>
  <c r="H273" i="2"/>
  <c r="N714" i="2"/>
  <c r="L649" i="2"/>
  <c r="H787" i="2"/>
  <c r="I148" i="2"/>
  <c r="I223" i="2"/>
  <c r="K343" i="2"/>
  <c r="N390" i="2"/>
  <c r="I391" i="2"/>
  <c r="K391" i="2"/>
  <c r="H774" i="2"/>
  <c r="I453" i="2"/>
  <c r="I180" i="2"/>
  <c r="K502" i="2"/>
  <c r="L562" i="2"/>
  <c r="I679" i="2"/>
  <c r="H802" i="2"/>
  <c r="N880" i="2"/>
  <c r="H343" i="2"/>
  <c r="L147" i="2"/>
  <c r="H604" i="2"/>
  <c r="I604" i="2"/>
  <c r="N454" i="2"/>
  <c r="N91" i="2"/>
  <c r="H486" i="2"/>
  <c r="H547" i="2"/>
  <c r="K180" i="2"/>
  <c r="L486" i="2"/>
  <c r="I801" i="2"/>
  <c r="I144" i="2"/>
  <c r="K357" i="2"/>
  <c r="L556" i="2"/>
  <c r="O748" i="2"/>
  <c r="N115" i="2"/>
  <c r="N643" i="2"/>
  <c r="N672" i="2"/>
  <c r="N208" i="2"/>
  <c r="N888" i="2"/>
  <c r="N129" i="2"/>
  <c r="I168" i="2"/>
  <c r="H292" i="2"/>
  <c r="I279" i="2"/>
  <c r="L801" i="2"/>
  <c r="O156" i="2"/>
  <c r="L358" i="2"/>
  <c r="K487" i="2"/>
  <c r="N748" i="2"/>
  <c r="K529" i="2"/>
  <c r="K169" i="2"/>
  <c r="N255" i="2"/>
  <c r="L280" i="2"/>
  <c r="H460" i="2"/>
  <c r="N487" i="2"/>
  <c r="L631" i="2"/>
  <c r="H777" i="2"/>
  <c r="K802" i="2"/>
  <c r="O24" i="2"/>
  <c r="O115" i="2"/>
  <c r="O72" i="2"/>
  <c r="L208" i="2"/>
  <c r="N541" i="2"/>
  <c r="H279" i="2"/>
  <c r="O343" i="2"/>
  <c r="K556" i="2"/>
  <c r="K844" i="2"/>
  <c r="L292" i="2"/>
  <c r="O486" i="2"/>
  <c r="N528" i="2"/>
  <c r="L168" i="2"/>
  <c r="H444" i="2"/>
  <c r="I529" i="2"/>
  <c r="K585" i="2"/>
  <c r="K631" i="2"/>
  <c r="H75" i="2"/>
  <c r="L91" i="2"/>
  <c r="O255" i="2"/>
  <c r="I460" i="2"/>
  <c r="I502" i="2"/>
  <c r="N631" i="2"/>
  <c r="L777" i="2"/>
  <c r="I75" i="2"/>
  <c r="H256" i="2"/>
  <c r="K460" i="2"/>
  <c r="H375" i="2"/>
  <c r="H706" i="2"/>
  <c r="H147" i="2"/>
  <c r="I198" i="2"/>
  <c r="N432" i="2"/>
  <c r="K603" i="2"/>
  <c r="K675" i="2"/>
  <c r="N766" i="2"/>
  <c r="N121" i="2"/>
  <c r="K283" i="2"/>
  <c r="K322" i="2"/>
  <c r="H391" i="2"/>
  <c r="O478" i="2"/>
  <c r="K649" i="2"/>
  <c r="O121" i="2"/>
  <c r="O259" i="2"/>
  <c r="I273" i="2"/>
  <c r="L379" i="2"/>
  <c r="O406" i="2"/>
  <c r="K202" i="2"/>
  <c r="K273" i="2"/>
  <c r="N312" i="2"/>
  <c r="N337" i="2"/>
  <c r="N379" i="2"/>
  <c r="H753" i="2"/>
  <c r="K838" i="2"/>
  <c r="K175" i="2"/>
  <c r="O379" i="2"/>
  <c r="N838" i="2"/>
  <c r="K112" i="2"/>
  <c r="I313" i="2"/>
  <c r="K21" i="2"/>
  <c r="H96" i="2"/>
  <c r="L112" i="2"/>
  <c r="O123" i="2"/>
  <c r="O352" i="2"/>
  <c r="H508" i="2"/>
  <c r="N550" i="2"/>
  <c r="I798" i="2"/>
  <c r="L247" i="2"/>
  <c r="I300" i="2"/>
  <c r="L394" i="2"/>
  <c r="I742" i="2"/>
  <c r="K136" i="2"/>
  <c r="N394" i="2"/>
  <c r="I580" i="2"/>
  <c r="N798" i="2"/>
  <c r="H67" i="2"/>
  <c r="L202" i="2"/>
  <c r="I166" i="2"/>
  <c r="O454" i="2"/>
  <c r="H870" i="2"/>
  <c r="K312" i="2"/>
  <c r="H22" i="2"/>
  <c r="N190" i="2"/>
  <c r="H741" i="2"/>
  <c r="L165" i="2"/>
  <c r="K166" i="2"/>
  <c r="K234" i="2"/>
  <c r="H289" i="2"/>
  <c r="H496" i="2"/>
  <c r="H610" i="2"/>
  <c r="O811" i="2"/>
  <c r="I870" i="2"/>
  <c r="K337" i="2"/>
  <c r="H300" i="2"/>
  <c r="I393" i="2"/>
  <c r="O112" i="2"/>
  <c r="K277" i="2"/>
  <c r="K289" i="2"/>
  <c r="I316" i="2"/>
  <c r="L786" i="2"/>
  <c r="N144" i="2"/>
  <c r="N145" i="2"/>
  <c r="H184" i="2"/>
  <c r="H183" i="2"/>
  <c r="N237" i="2"/>
  <c r="N238" i="2"/>
  <c r="K369" i="2"/>
  <c r="K370" i="2"/>
  <c r="I507" i="2"/>
  <c r="I508" i="2"/>
  <c r="I589" i="2"/>
  <c r="I690" i="2"/>
  <c r="I691" i="2"/>
  <c r="L706" i="2"/>
  <c r="L705" i="2"/>
  <c r="O762" i="2"/>
  <c r="O763" i="2"/>
  <c r="I792" i="2"/>
  <c r="I793" i="2"/>
  <c r="L874" i="2"/>
  <c r="L873" i="2"/>
  <c r="H480" i="2"/>
  <c r="H481" i="2"/>
  <c r="I117" i="2"/>
  <c r="I118" i="2"/>
  <c r="O288" i="2"/>
  <c r="I493" i="2"/>
  <c r="I492" i="2"/>
  <c r="L520" i="2"/>
  <c r="L519" i="2"/>
  <c r="O238" i="2"/>
  <c r="O237" i="2"/>
  <c r="H316" i="2"/>
  <c r="L369" i="2"/>
  <c r="L370" i="2"/>
  <c r="L466" i="2"/>
  <c r="K508" i="2"/>
  <c r="K507" i="2"/>
  <c r="L589" i="2"/>
  <c r="L603" i="2"/>
  <c r="N706" i="2"/>
  <c r="N705" i="2"/>
  <c r="K793" i="2"/>
  <c r="K792" i="2"/>
  <c r="I847" i="2"/>
  <c r="I846" i="2"/>
  <c r="K3" i="2"/>
  <c r="K4" i="2"/>
  <c r="I78" i="2"/>
  <c r="I79" i="2"/>
  <c r="N369" i="2"/>
  <c r="N370" i="2"/>
  <c r="N466" i="2"/>
  <c r="I634" i="2"/>
  <c r="I633" i="2"/>
  <c r="L690" i="2"/>
  <c r="L691" i="2"/>
  <c r="O706" i="2"/>
  <c r="O705" i="2"/>
  <c r="L3" i="2"/>
  <c r="L4" i="2"/>
  <c r="K78" i="2"/>
  <c r="K79" i="2"/>
  <c r="H304" i="2"/>
  <c r="O370" i="2"/>
  <c r="O369" i="2"/>
  <c r="O466" i="2"/>
  <c r="N691" i="2"/>
  <c r="N690" i="2"/>
  <c r="K705" i="2"/>
  <c r="I367" i="2"/>
  <c r="I366" i="2"/>
  <c r="O234" i="2"/>
  <c r="O235" i="2"/>
  <c r="K144" i="2"/>
  <c r="K145" i="2"/>
  <c r="I466" i="2"/>
  <c r="I465" i="2"/>
  <c r="O801" i="2"/>
  <c r="O802" i="2"/>
  <c r="K466" i="2"/>
  <c r="K465" i="2"/>
  <c r="H492" i="2"/>
  <c r="H493" i="2"/>
  <c r="H49" i="2"/>
  <c r="H48" i="2"/>
  <c r="K64" i="2"/>
  <c r="K63" i="2"/>
  <c r="I369" i="2"/>
  <c r="I370" i="2"/>
  <c r="N409" i="2"/>
  <c r="N408" i="2"/>
  <c r="H589" i="2"/>
  <c r="O604" i="2"/>
  <c r="O603" i="2"/>
  <c r="N762" i="2"/>
  <c r="N763" i="2"/>
  <c r="H4" i="2"/>
  <c r="H3" i="2"/>
  <c r="L64" i="2"/>
  <c r="L63" i="2"/>
  <c r="H79" i="2"/>
  <c r="H78" i="2"/>
  <c r="H106" i="2"/>
  <c r="L132" i="2"/>
  <c r="L133" i="2"/>
  <c r="H319" i="2"/>
  <c r="H318" i="2"/>
  <c r="H468" i="2"/>
  <c r="H469" i="2"/>
  <c r="H109" i="2"/>
  <c r="H108" i="2"/>
  <c r="H172" i="2"/>
  <c r="H171" i="2"/>
  <c r="I318" i="2"/>
  <c r="I319" i="2"/>
  <c r="L427" i="2"/>
  <c r="L426" i="2"/>
  <c r="L66" i="2"/>
  <c r="L67" i="2"/>
  <c r="O268" i="2"/>
  <c r="N427" i="2"/>
  <c r="N426" i="2"/>
  <c r="K678" i="2"/>
  <c r="K679" i="2"/>
  <c r="H849" i="2"/>
  <c r="H850" i="2"/>
  <c r="H37" i="2"/>
  <c r="H36" i="2"/>
  <c r="K109" i="2"/>
  <c r="K108" i="2"/>
  <c r="O148" i="2"/>
  <c r="O147" i="2"/>
  <c r="O211" i="2"/>
  <c r="H388" i="2"/>
  <c r="H387" i="2"/>
  <c r="N411" i="2"/>
  <c r="O426" i="2"/>
  <c r="O427" i="2"/>
  <c r="I621" i="2"/>
  <c r="I622" i="2"/>
  <c r="L678" i="2"/>
  <c r="L679" i="2"/>
  <c r="I849" i="2"/>
  <c r="I850" i="2"/>
  <c r="H16" i="2"/>
  <c r="H15" i="2"/>
  <c r="L108" i="2"/>
  <c r="L109" i="2"/>
  <c r="L822" i="2"/>
  <c r="L823" i="2"/>
  <c r="H348" i="2"/>
  <c r="H349" i="2"/>
  <c r="O838" i="2"/>
  <c r="N283" i="2"/>
  <c r="I348" i="2"/>
  <c r="I349" i="2"/>
  <c r="L432" i="2"/>
  <c r="L433" i="2"/>
  <c r="N459" i="2"/>
  <c r="O624" i="2"/>
  <c r="O625" i="2"/>
  <c r="O681" i="2"/>
  <c r="I555" i="2"/>
  <c r="I556" i="2"/>
  <c r="L897" i="2"/>
  <c r="L898" i="2"/>
  <c r="O85" i="2"/>
  <c r="O84" i="2"/>
  <c r="N216" i="2"/>
  <c r="N217" i="2"/>
  <c r="N247" i="2"/>
  <c r="N246" i="2"/>
  <c r="H259" i="2"/>
  <c r="K348" i="2"/>
  <c r="K349" i="2"/>
  <c r="N610" i="2"/>
  <c r="N682" i="2"/>
  <c r="K810" i="2"/>
  <c r="K811" i="2"/>
  <c r="K871" i="2"/>
  <c r="K870" i="2"/>
  <c r="I768" i="2"/>
  <c r="I769" i="2"/>
  <c r="H202" i="2"/>
  <c r="H43" i="2"/>
  <c r="H42" i="2"/>
  <c r="I85" i="2"/>
  <c r="K124" i="2"/>
  <c r="O217" i="2"/>
  <c r="O216" i="2"/>
  <c r="I285" i="2"/>
  <c r="I286" i="2"/>
  <c r="L348" i="2"/>
  <c r="L349" i="2"/>
  <c r="L390" i="2"/>
  <c r="O610" i="2"/>
  <c r="L871" i="2"/>
  <c r="L870" i="2"/>
  <c r="L849" i="2"/>
  <c r="L850" i="2"/>
  <c r="L610" i="2"/>
  <c r="L609" i="2"/>
  <c r="K849" i="2"/>
  <c r="K850" i="2"/>
  <c r="K229" i="2"/>
  <c r="K228" i="2"/>
  <c r="O390" i="2"/>
  <c r="O501" i="2"/>
  <c r="O502" i="2"/>
  <c r="O528" i="2"/>
  <c r="I601" i="2"/>
  <c r="I600" i="2"/>
  <c r="I613" i="2"/>
  <c r="I612" i="2"/>
  <c r="L672" i="2"/>
  <c r="L673" i="2"/>
  <c r="L885" i="2"/>
  <c r="L886" i="2"/>
  <c r="N249" i="2"/>
  <c r="N250" i="2"/>
  <c r="K367" i="2"/>
  <c r="K366" i="2"/>
  <c r="H660" i="2"/>
  <c r="H661" i="2"/>
  <c r="L703" i="2"/>
  <c r="L702" i="2"/>
  <c r="H519" i="2"/>
  <c r="H520" i="2"/>
  <c r="O678" i="2"/>
  <c r="O679" i="2"/>
  <c r="L739" i="2"/>
  <c r="L738" i="2"/>
  <c r="H768" i="2"/>
  <c r="H769" i="2"/>
  <c r="I228" i="2"/>
  <c r="I229" i="2"/>
  <c r="O510" i="2"/>
  <c r="O511" i="2"/>
  <c r="H582" i="2"/>
  <c r="H583" i="2"/>
  <c r="H84" i="2"/>
  <c r="H85" i="2"/>
  <c r="N510" i="2"/>
  <c r="I583" i="2"/>
  <c r="I582" i="2"/>
  <c r="K610" i="2"/>
  <c r="K609" i="2"/>
  <c r="I670" i="2"/>
  <c r="I669" i="2"/>
  <c r="H727" i="2"/>
  <c r="H726" i="2"/>
  <c r="N823" i="2"/>
  <c r="N822" i="2"/>
  <c r="H897" i="2"/>
  <c r="H898" i="2"/>
  <c r="H555" i="2"/>
  <c r="H556" i="2"/>
  <c r="K583" i="2"/>
  <c r="K582" i="2"/>
  <c r="K670" i="2"/>
  <c r="K669" i="2"/>
  <c r="O823" i="2"/>
  <c r="O822" i="2"/>
  <c r="I897" i="2"/>
  <c r="I898" i="2"/>
  <c r="I216" i="2"/>
  <c r="I217" i="2"/>
  <c r="I247" i="2"/>
  <c r="I246" i="2"/>
  <c r="O567" i="2"/>
  <c r="K897" i="2"/>
  <c r="K898" i="2"/>
  <c r="K189" i="2"/>
  <c r="K190" i="2"/>
  <c r="L274" i="2"/>
  <c r="L273" i="2"/>
  <c r="N624" i="2"/>
  <c r="N625" i="2"/>
  <c r="I43" i="2"/>
  <c r="I42" i="2"/>
  <c r="K85" i="2"/>
  <c r="N348" i="2"/>
  <c r="N349" i="2"/>
  <c r="H601" i="2"/>
  <c r="H600" i="2"/>
  <c r="H612" i="2"/>
  <c r="H613" i="2"/>
  <c r="H657" i="2"/>
  <c r="H658" i="2"/>
  <c r="L85" i="2"/>
  <c r="K433" i="2"/>
  <c r="N85" i="2"/>
  <c r="K127" i="2"/>
  <c r="K126" i="2"/>
  <c r="H450" i="2"/>
  <c r="H451" i="2"/>
  <c r="H559" i="2"/>
  <c r="H558" i="2"/>
  <c r="K658" i="2"/>
  <c r="K657" i="2"/>
  <c r="I882" i="2"/>
  <c r="I883" i="2"/>
  <c r="O444" i="2"/>
  <c r="O445" i="2"/>
  <c r="K216" i="2"/>
  <c r="K885" i="2"/>
  <c r="K886" i="2"/>
  <c r="N72" i="2"/>
  <c r="H88" i="2"/>
  <c r="H87" i="2"/>
  <c r="L126" i="2"/>
  <c r="L127" i="2"/>
  <c r="I450" i="2"/>
  <c r="I451" i="2"/>
  <c r="I558" i="2"/>
  <c r="I559" i="2"/>
  <c r="L658" i="2"/>
  <c r="L657" i="2"/>
  <c r="H703" i="2"/>
  <c r="H702" i="2"/>
  <c r="N729" i="2"/>
  <c r="N730" i="2"/>
  <c r="N234" i="2"/>
  <c r="N235" i="2"/>
  <c r="L451" i="2"/>
  <c r="L450" i="2"/>
  <c r="I547" i="2"/>
  <c r="I546" i="2"/>
  <c r="K589" i="2"/>
  <c r="K588" i="2"/>
  <c r="K873" i="2"/>
  <c r="K874" i="2"/>
  <c r="O67" i="2"/>
  <c r="O66" i="2"/>
  <c r="N678" i="2"/>
  <c r="N679" i="2"/>
  <c r="N108" i="2"/>
  <c r="N109" i="2"/>
  <c r="I87" i="2"/>
  <c r="I88" i="2"/>
  <c r="L235" i="2"/>
  <c r="L234" i="2"/>
  <c r="H367" i="2"/>
  <c r="H366" i="2"/>
  <c r="N502" i="2"/>
  <c r="I702" i="2"/>
  <c r="I703" i="2"/>
  <c r="N646" i="2"/>
  <c r="N93" i="2"/>
  <c r="N397" i="2"/>
  <c r="N751" i="2"/>
  <c r="L123" i="2"/>
  <c r="O397" i="2"/>
  <c r="L726" i="2"/>
  <c r="L811" i="2"/>
  <c r="L883" i="2"/>
  <c r="N123" i="2"/>
  <c r="N225" i="2"/>
  <c r="N346" i="2"/>
  <c r="L478" i="2"/>
  <c r="N588" i="2"/>
  <c r="L634" i="2"/>
  <c r="N726" i="2"/>
  <c r="N811" i="2"/>
  <c r="O847" i="2"/>
  <c r="N859" i="2"/>
  <c r="N883" i="2"/>
  <c r="L318" i="2"/>
  <c r="L381" i="2"/>
  <c r="O126" i="2"/>
  <c r="K327" i="2"/>
  <c r="L285" i="2"/>
  <c r="N318" i="2"/>
  <c r="L403" i="2"/>
  <c r="N492" i="2"/>
  <c r="L582" i="2"/>
  <c r="O652" i="2"/>
  <c r="H828" i="2"/>
  <c r="O42" i="2"/>
  <c r="H99" i="2"/>
  <c r="O109" i="2"/>
  <c r="I171" i="2"/>
  <c r="I184" i="2"/>
  <c r="N285" i="2"/>
  <c r="N360" i="2"/>
  <c r="O403" i="2"/>
  <c r="O492" i="2"/>
  <c r="H504" i="2"/>
  <c r="I525" i="2"/>
  <c r="O559" i="2"/>
  <c r="O696" i="2"/>
  <c r="K769" i="2"/>
  <c r="I828" i="2"/>
  <c r="H865" i="2"/>
  <c r="O295" i="2"/>
  <c r="L360" i="2"/>
  <c r="N696" i="2"/>
  <c r="K88" i="2"/>
  <c r="K99" i="2"/>
  <c r="N127" i="2"/>
  <c r="K171" i="2"/>
  <c r="N184" i="2"/>
  <c r="O285" i="2"/>
  <c r="I361" i="2"/>
  <c r="O415" i="2"/>
  <c r="H462" i="2"/>
  <c r="I504" i="2"/>
  <c r="N525" i="2"/>
  <c r="N570" i="2"/>
  <c r="H628" i="2"/>
  <c r="L697" i="2"/>
  <c r="L769" i="2"/>
  <c r="N876" i="2"/>
  <c r="I462" i="2"/>
  <c r="L504" i="2"/>
  <c r="H720" i="2"/>
  <c r="L877" i="2"/>
  <c r="K285" i="2"/>
  <c r="O319" i="2"/>
  <c r="H441" i="2"/>
  <c r="I513" i="2"/>
  <c r="K550" i="2"/>
  <c r="I18" i="2"/>
  <c r="N31" i="2"/>
  <c r="I120" i="2"/>
  <c r="I195" i="2"/>
  <c r="H241" i="2"/>
  <c r="O265" i="2"/>
  <c r="I429" i="2"/>
  <c r="I441" i="2"/>
  <c r="L462" i="2"/>
  <c r="N504" i="2"/>
  <c r="K513" i="2"/>
  <c r="K526" i="2"/>
  <c r="L550" i="2"/>
  <c r="L804" i="2"/>
  <c r="H889" i="2"/>
  <c r="I889" i="2"/>
  <c r="N3" i="2"/>
  <c r="N43" i="2"/>
  <c r="O171" i="2"/>
  <c r="H69" i="2"/>
  <c r="L100" i="2"/>
  <c r="L142" i="2"/>
  <c r="O208" i="2"/>
  <c r="I231" i="2"/>
  <c r="K430" i="2"/>
  <c r="K442" i="2"/>
  <c r="O462" i="2"/>
  <c r="H471" i="2"/>
  <c r="O550" i="2"/>
  <c r="K606" i="2"/>
  <c r="L675" i="2"/>
  <c r="K759" i="2"/>
  <c r="H853" i="2"/>
  <c r="L889" i="2"/>
  <c r="L612" i="2"/>
  <c r="L87" i="2"/>
  <c r="H195" i="2"/>
  <c r="K120" i="2"/>
  <c r="H231" i="2"/>
  <c r="K721" i="2"/>
  <c r="H805" i="2"/>
  <c r="I69" i="2"/>
  <c r="N100" i="2"/>
  <c r="N142" i="2"/>
  <c r="K231" i="2"/>
  <c r="N330" i="2"/>
  <c r="L342" i="2"/>
  <c r="O430" i="2"/>
  <c r="O471" i="2"/>
  <c r="I607" i="2"/>
  <c r="H643" i="2"/>
  <c r="H654" i="2"/>
  <c r="O675" i="2"/>
  <c r="O687" i="2"/>
  <c r="I709" i="2"/>
  <c r="H748" i="2"/>
  <c r="L843" i="2"/>
  <c r="I853" i="2"/>
  <c r="O889" i="2"/>
  <c r="L781" i="2"/>
  <c r="N295" i="2"/>
  <c r="N897" i="2"/>
  <c r="L30" i="2"/>
  <c r="O79" i="2"/>
  <c r="L264" i="2"/>
  <c r="K361" i="2"/>
  <c r="H19" i="2"/>
  <c r="I142" i="2"/>
  <c r="N462" i="2"/>
  <c r="H121" i="2"/>
  <c r="H165" i="2"/>
  <c r="L231" i="2"/>
  <c r="N342" i="2"/>
  <c r="H384" i="2"/>
  <c r="K393" i="2"/>
  <c r="K406" i="2"/>
  <c r="O505" i="2"/>
  <c r="H585" i="2"/>
  <c r="O607" i="2"/>
  <c r="I643" i="2"/>
  <c r="I654" i="2"/>
  <c r="N666" i="2"/>
  <c r="H688" i="2"/>
  <c r="K709" i="2"/>
  <c r="I735" i="2"/>
  <c r="K748" i="2"/>
  <c r="O760" i="2"/>
  <c r="H820" i="2"/>
  <c r="N843" i="2"/>
  <c r="H58" i="2"/>
  <c r="L6" i="2"/>
  <c r="K91" i="2"/>
  <c r="I255" i="2"/>
  <c r="H352" i="2"/>
  <c r="K385" i="2"/>
  <c r="N406" i="2"/>
  <c r="K454" i="2"/>
  <c r="N561" i="2"/>
  <c r="I585" i="2"/>
  <c r="O630" i="2"/>
  <c r="L643" i="2"/>
  <c r="K654" i="2"/>
  <c r="N688" i="2"/>
  <c r="H700" i="2"/>
  <c r="L748" i="2"/>
  <c r="H798" i="2"/>
  <c r="O843" i="2"/>
  <c r="L184" i="2"/>
  <c r="L183" i="2"/>
  <c r="O849" i="2"/>
  <c r="O850" i="2"/>
  <c r="N534" i="2"/>
  <c r="N535" i="2"/>
  <c r="O583" i="2"/>
  <c r="O582" i="2"/>
  <c r="L93" i="2"/>
  <c r="L94" i="2"/>
  <c r="K388" i="2"/>
  <c r="K387" i="2"/>
  <c r="H24" i="2"/>
  <c r="H25" i="2"/>
  <c r="I576" i="2"/>
  <c r="I577" i="2"/>
  <c r="K271" i="2"/>
  <c r="K270" i="2"/>
  <c r="O376" i="2"/>
  <c r="O375" i="2"/>
  <c r="K564" i="2"/>
  <c r="K565" i="2"/>
  <c r="O247" i="2"/>
  <c r="O246" i="2"/>
  <c r="H447" i="2"/>
  <c r="H448" i="2"/>
  <c r="N169" i="2"/>
  <c r="N168" i="2"/>
  <c r="I448" i="2"/>
  <c r="I447" i="2"/>
  <c r="I97" i="2"/>
  <c r="I96" i="2"/>
  <c r="N555" i="2"/>
  <c r="N556" i="2"/>
  <c r="L621" i="2"/>
  <c r="L622" i="2"/>
  <c r="K789" i="2"/>
  <c r="K790" i="2"/>
  <c r="K96" i="2"/>
  <c r="K97" i="2"/>
  <c r="N304" i="2"/>
  <c r="N303" i="2"/>
  <c r="N315" i="2"/>
  <c r="N316" i="2"/>
  <c r="H531" i="2"/>
  <c r="H532" i="2"/>
  <c r="O727" i="2"/>
  <c r="O726" i="2"/>
  <c r="L97" i="2"/>
  <c r="L96" i="2"/>
  <c r="N147" i="2"/>
  <c r="N148" i="2"/>
  <c r="H160" i="2"/>
  <c r="H159" i="2"/>
  <c r="O316" i="2"/>
  <c r="O315" i="2"/>
  <c r="H399" i="2"/>
  <c r="H400" i="2"/>
  <c r="I531" i="2"/>
  <c r="I532" i="2"/>
  <c r="O555" i="2"/>
  <c r="O621" i="2"/>
  <c r="O622" i="2"/>
  <c r="N96" i="2"/>
  <c r="N97" i="2"/>
  <c r="H126" i="2"/>
  <c r="H127" i="2"/>
  <c r="N357" i="2"/>
  <c r="N358" i="2"/>
  <c r="H370" i="2"/>
  <c r="H369" i="2"/>
  <c r="I127" i="2"/>
  <c r="I126" i="2"/>
  <c r="H192" i="2"/>
  <c r="H193" i="2"/>
  <c r="O357" i="2"/>
  <c r="O358" i="2"/>
  <c r="H694" i="2"/>
  <c r="H693" i="2"/>
  <c r="I754" i="2"/>
  <c r="I753" i="2"/>
  <c r="N802" i="2"/>
  <c r="N801" i="2"/>
  <c r="H639" i="2"/>
  <c r="H640" i="2"/>
  <c r="H685" i="2"/>
  <c r="H684" i="2"/>
  <c r="L106" i="2"/>
  <c r="L105" i="2"/>
  <c r="K576" i="2"/>
  <c r="K577" i="2"/>
  <c r="I478" i="2"/>
  <c r="I477" i="2"/>
  <c r="O169" i="2"/>
  <c r="O168" i="2"/>
  <c r="L315" i="2"/>
  <c r="L316" i="2"/>
  <c r="I55" i="2"/>
  <c r="I54" i="2"/>
  <c r="O460" i="2"/>
  <c r="O459" i="2"/>
  <c r="K754" i="2"/>
  <c r="K753" i="2"/>
  <c r="K55" i="2"/>
  <c r="K54" i="2"/>
  <c r="N523" i="2"/>
  <c r="N522" i="2"/>
  <c r="I660" i="2"/>
  <c r="I661" i="2"/>
  <c r="L307" i="2"/>
  <c r="L306" i="2"/>
  <c r="K660" i="2"/>
  <c r="K661" i="2"/>
  <c r="I294" i="2"/>
  <c r="I295" i="2"/>
  <c r="K340" i="2"/>
  <c r="K339" i="2"/>
  <c r="L438" i="2"/>
  <c r="L439" i="2"/>
  <c r="H591" i="2"/>
  <c r="H592" i="2"/>
  <c r="I717" i="2"/>
  <c r="I718" i="2"/>
  <c r="L535" i="2"/>
  <c r="L534" i="2"/>
  <c r="K196" i="2"/>
  <c r="K195" i="2"/>
  <c r="O535" i="2"/>
  <c r="O534" i="2"/>
  <c r="I106" i="2"/>
  <c r="I105" i="2"/>
  <c r="L334" i="2"/>
  <c r="L333" i="2"/>
  <c r="I499" i="2"/>
  <c r="I498" i="2"/>
  <c r="K106" i="2"/>
  <c r="K105" i="2"/>
  <c r="I456" i="2"/>
  <c r="I457" i="2"/>
  <c r="K822" i="2"/>
  <c r="K823" i="2"/>
  <c r="I13" i="2"/>
  <c r="I12" i="2"/>
  <c r="I201" i="2"/>
  <c r="I202" i="2"/>
  <c r="N388" i="2"/>
  <c r="N387" i="2"/>
  <c r="K457" i="2"/>
  <c r="K456" i="2"/>
  <c r="K13" i="2"/>
  <c r="K12" i="2"/>
  <c r="L576" i="2"/>
  <c r="L577" i="2"/>
  <c r="O870" i="2"/>
  <c r="O871" i="2"/>
  <c r="I193" i="2"/>
  <c r="I192" i="2"/>
  <c r="L523" i="2"/>
  <c r="L522" i="2"/>
  <c r="N117" i="2"/>
  <c r="N118" i="2"/>
  <c r="L546" i="2"/>
  <c r="L547" i="2"/>
  <c r="L754" i="2"/>
  <c r="L753" i="2"/>
  <c r="O118" i="2"/>
  <c r="O117" i="2"/>
  <c r="H294" i="2"/>
  <c r="H295" i="2"/>
  <c r="O741" i="2"/>
  <c r="O742" i="2"/>
  <c r="L117" i="2"/>
  <c r="L237" i="2"/>
  <c r="O87" i="2"/>
  <c r="O88" i="2"/>
  <c r="K183" i="2"/>
  <c r="K184" i="2"/>
  <c r="K294" i="2"/>
  <c r="K295" i="2"/>
  <c r="K718" i="2"/>
  <c r="K717" i="2"/>
  <c r="N849" i="2"/>
  <c r="N850" i="2"/>
  <c r="I841" i="2"/>
  <c r="I840" i="2"/>
  <c r="L700" i="2"/>
  <c r="L699" i="2"/>
  <c r="O595" i="2"/>
  <c r="O594" i="2"/>
  <c r="L585" i="2"/>
  <c r="L586" i="2"/>
  <c r="N772" i="2"/>
  <c r="N771" i="2"/>
  <c r="I651" i="2"/>
  <c r="I652" i="2"/>
  <c r="O183" i="2"/>
  <c r="O184" i="2"/>
  <c r="K864" i="2"/>
  <c r="K865" i="2"/>
  <c r="N195" i="2"/>
  <c r="N196" i="2"/>
  <c r="O768" i="2"/>
  <c r="O769" i="2"/>
  <c r="H465" i="2"/>
  <c r="H466" i="2"/>
  <c r="I93" i="2"/>
  <c r="I94" i="2"/>
  <c r="L288" i="2"/>
  <c r="L289" i="2"/>
  <c r="I333" i="2"/>
  <c r="I334" i="2"/>
  <c r="K552" i="2"/>
  <c r="K553" i="2"/>
  <c r="K807" i="2"/>
  <c r="K808" i="2"/>
  <c r="H651" i="2"/>
  <c r="H652" i="2"/>
  <c r="N583" i="2"/>
  <c r="N582" i="2"/>
  <c r="H732" i="2"/>
  <c r="H733" i="2"/>
  <c r="L196" i="2"/>
  <c r="L195" i="2"/>
  <c r="H220" i="2"/>
  <c r="H219" i="2"/>
  <c r="I732" i="2"/>
  <c r="I733" i="2"/>
  <c r="I219" i="2"/>
  <c r="I220" i="2"/>
  <c r="K484" i="2"/>
  <c r="K483" i="2"/>
  <c r="K733" i="2"/>
  <c r="K732" i="2"/>
  <c r="L864" i="2"/>
  <c r="L865" i="2"/>
  <c r="H298" i="2"/>
  <c r="H297" i="2"/>
  <c r="O526" i="2"/>
  <c r="O525" i="2"/>
  <c r="L627" i="2"/>
  <c r="L628" i="2"/>
  <c r="H676" i="2"/>
  <c r="H675" i="2"/>
  <c r="N864" i="2"/>
  <c r="N865" i="2"/>
  <c r="O240" i="2"/>
  <c r="O241" i="2"/>
  <c r="N484" i="2"/>
  <c r="N483" i="2"/>
  <c r="I676" i="2"/>
  <c r="I675" i="2"/>
  <c r="L720" i="2"/>
  <c r="L721" i="2"/>
  <c r="H759" i="2"/>
  <c r="H760" i="2"/>
  <c r="I45" i="2"/>
  <c r="I46" i="2"/>
  <c r="H61" i="2"/>
  <c r="H60" i="2"/>
  <c r="H175" i="2"/>
  <c r="H174" i="2"/>
  <c r="K186" i="2"/>
  <c r="K187" i="2"/>
  <c r="I418" i="2"/>
  <c r="I417" i="2"/>
  <c r="O721" i="2"/>
  <c r="O720" i="2"/>
  <c r="L187" i="2"/>
  <c r="L186" i="2"/>
  <c r="H267" i="2"/>
  <c r="H268" i="2"/>
  <c r="K418" i="2"/>
  <c r="K417" i="2"/>
  <c r="I561" i="2"/>
  <c r="I562" i="2"/>
  <c r="I819" i="2"/>
  <c r="I820" i="2"/>
  <c r="I267" i="2"/>
  <c r="I268" i="2"/>
  <c r="K561" i="2"/>
  <c r="K562" i="2"/>
  <c r="I699" i="2"/>
  <c r="I700" i="2"/>
  <c r="K820" i="2"/>
  <c r="K819" i="2"/>
  <c r="K222" i="2"/>
  <c r="K223" i="2"/>
  <c r="K267" i="2"/>
  <c r="K268" i="2"/>
  <c r="O313" i="2"/>
  <c r="O312" i="2"/>
  <c r="K505" i="2"/>
  <c r="K700" i="2"/>
  <c r="K699" i="2"/>
  <c r="L223" i="2"/>
  <c r="L222" i="2"/>
  <c r="I288" i="2"/>
  <c r="I289" i="2"/>
  <c r="N585" i="2"/>
  <c r="N586" i="2"/>
  <c r="I175" i="2"/>
  <c r="K93" i="2"/>
  <c r="K94" i="2"/>
  <c r="H178" i="2"/>
  <c r="H177" i="2"/>
  <c r="K420" i="2"/>
  <c r="K421" i="2"/>
  <c r="H499" i="2"/>
  <c r="H498" i="2"/>
  <c r="K619" i="2"/>
  <c r="K618" i="2"/>
  <c r="O835" i="2"/>
  <c r="L693" i="2"/>
  <c r="L694" i="2"/>
  <c r="N138" i="2"/>
  <c r="N139" i="2"/>
  <c r="I178" i="2"/>
  <c r="I177" i="2"/>
  <c r="N400" i="2"/>
  <c r="N399" i="2"/>
  <c r="N477" i="2"/>
  <c r="O693" i="2"/>
  <c r="O694" i="2"/>
  <c r="K814" i="2"/>
  <c r="K813" i="2"/>
  <c r="L213" i="2"/>
  <c r="I363" i="2"/>
  <c r="I364" i="2"/>
  <c r="O399" i="2"/>
  <c r="O400" i="2"/>
  <c r="K424" i="2"/>
  <c r="K423" i="2"/>
  <c r="I894" i="2"/>
  <c r="K204" i="2"/>
  <c r="N214" i="2"/>
  <c r="H243" i="2"/>
  <c r="K262" i="2"/>
  <c r="L424" i="2"/>
  <c r="L423" i="2"/>
  <c r="H453" i="2"/>
  <c r="H454" i="2"/>
  <c r="N547" i="2"/>
  <c r="K580" i="2"/>
  <c r="K579" i="2"/>
  <c r="I684" i="2"/>
  <c r="I696" i="2"/>
  <c r="I697" i="2"/>
  <c r="N753" i="2"/>
  <c r="N795" i="2"/>
  <c r="O894" i="2"/>
  <c r="O18" i="2"/>
  <c r="N105" i="2"/>
  <c r="K129" i="2"/>
  <c r="I163" i="2"/>
  <c r="I162" i="2"/>
  <c r="I189" i="2"/>
  <c r="I190" i="2"/>
  <c r="O204" i="2"/>
  <c r="I243" i="2"/>
  <c r="I252" i="2"/>
  <c r="O262" i="2"/>
  <c r="H310" i="2"/>
  <c r="H433" i="2"/>
  <c r="I520" i="2"/>
  <c r="I519" i="2"/>
  <c r="O547" i="2"/>
  <c r="K597" i="2"/>
  <c r="N675" i="2"/>
  <c r="K684" i="2"/>
  <c r="K696" i="2"/>
  <c r="K697" i="2"/>
  <c r="L712" i="2"/>
  <c r="N744" i="2"/>
  <c r="K774" i="2"/>
  <c r="O795" i="2"/>
  <c r="I814" i="2"/>
  <c r="K876" i="2"/>
  <c r="H51" i="2"/>
  <c r="I100" i="2"/>
  <c r="I99" i="2"/>
  <c r="L205" i="2"/>
  <c r="K243" i="2"/>
  <c r="K252" i="2"/>
  <c r="I310" i="2"/>
  <c r="O354" i="2"/>
  <c r="O355" i="2"/>
  <c r="O364" i="2"/>
  <c r="O363" i="2"/>
  <c r="K412" i="2"/>
  <c r="L490" i="2"/>
  <c r="L489" i="2"/>
  <c r="O507" i="2"/>
  <c r="H549" i="2"/>
  <c r="H550" i="2"/>
  <c r="L567" i="2"/>
  <c r="H606" i="2"/>
  <c r="K613" i="2"/>
  <c r="O645" i="2"/>
  <c r="O646" i="2"/>
  <c r="N684" i="2"/>
  <c r="N703" i="2"/>
  <c r="O712" i="2"/>
  <c r="O754" i="2"/>
  <c r="L774" i="2"/>
  <c r="H796" i="2"/>
  <c r="L814" i="2"/>
  <c r="H855" i="2"/>
  <c r="K868" i="2"/>
  <c r="K867" i="2"/>
  <c r="N886" i="2"/>
  <c r="O222" i="2"/>
  <c r="O223" i="2"/>
  <c r="I400" i="2"/>
  <c r="I399" i="2"/>
  <c r="K693" i="2"/>
  <c r="K694" i="2"/>
  <c r="O97" i="2"/>
  <c r="O96" i="2"/>
  <c r="K298" i="2"/>
  <c r="K297" i="2"/>
  <c r="O333" i="2"/>
  <c r="O334" i="2"/>
  <c r="H598" i="2"/>
  <c r="H597" i="2"/>
  <c r="O864" i="2"/>
  <c r="O138" i="2"/>
  <c r="L298" i="2"/>
  <c r="L297" i="2"/>
  <c r="N693" i="2"/>
  <c r="N694" i="2"/>
  <c r="N261" i="2"/>
  <c r="N262" i="2"/>
  <c r="N297" i="2"/>
  <c r="N298" i="2"/>
  <c r="L309" i="2"/>
  <c r="L310" i="2"/>
  <c r="H363" i="2"/>
  <c r="H364" i="2"/>
  <c r="L834" i="2"/>
  <c r="K114" i="2"/>
  <c r="K115" i="2"/>
  <c r="O195" i="2"/>
  <c r="O411" i="2"/>
  <c r="H490" i="2"/>
  <c r="H489" i="2"/>
  <c r="K517" i="2"/>
  <c r="K646" i="2"/>
  <c r="K645" i="2"/>
  <c r="H252" i="2"/>
  <c r="K309" i="2"/>
  <c r="O702" i="2"/>
  <c r="K51" i="2"/>
  <c r="I72" i="2"/>
  <c r="O130" i="2"/>
  <c r="L162" i="2"/>
  <c r="L163" i="2"/>
  <c r="N205" i="2"/>
  <c r="N243" i="2"/>
  <c r="H325" i="2"/>
  <c r="H354" i="2"/>
  <c r="L363" i="2"/>
  <c r="H373" i="2"/>
  <c r="I384" i="2"/>
  <c r="I385" i="2"/>
  <c r="H424" i="2"/>
  <c r="K480" i="2"/>
  <c r="K481" i="2"/>
  <c r="N489" i="2"/>
  <c r="N490" i="2"/>
  <c r="L598" i="2"/>
  <c r="H615" i="2"/>
  <c r="H616" i="2"/>
  <c r="I625" i="2"/>
  <c r="N634" i="2"/>
  <c r="I657" i="2"/>
  <c r="O684" i="2"/>
  <c r="N774" i="2"/>
  <c r="I796" i="2"/>
  <c r="N814" i="2"/>
  <c r="H877" i="2"/>
  <c r="O886" i="2"/>
  <c r="H30" i="2"/>
  <c r="L51" i="2"/>
  <c r="H63" i="2"/>
  <c r="K72" i="2"/>
  <c r="H91" i="2"/>
  <c r="I115" i="2"/>
  <c r="N253" i="2"/>
  <c r="K292" i="2"/>
  <c r="K291" i="2"/>
  <c r="N300" i="2"/>
  <c r="N301" i="2"/>
  <c r="N310" i="2"/>
  <c r="H336" i="2"/>
  <c r="I354" i="2"/>
  <c r="I373" i="2"/>
  <c r="I424" i="2"/>
  <c r="K469" i="2"/>
  <c r="L480" i="2"/>
  <c r="L481" i="2"/>
  <c r="H528" i="2"/>
  <c r="I537" i="2"/>
  <c r="H579" i="2"/>
  <c r="N598" i="2"/>
  <c r="K625" i="2"/>
  <c r="H637" i="2"/>
  <c r="H636" i="2"/>
  <c r="O774" i="2"/>
  <c r="H816" i="2"/>
  <c r="H817" i="2"/>
  <c r="H846" i="2"/>
  <c r="K856" i="2"/>
  <c r="I877" i="2"/>
  <c r="I30" i="2"/>
  <c r="N51" i="2"/>
  <c r="I63" i="2"/>
  <c r="L72" i="2"/>
  <c r="I91" i="2"/>
  <c r="L115" i="2"/>
  <c r="O163" i="2"/>
  <c r="O162" i="2"/>
  <c r="H180" i="2"/>
  <c r="L244" i="2"/>
  <c r="O310" i="2"/>
  <c r="K325" i="2"/>
  <c r="K345" i="2"/>
  <c r="K373" i="2"/>
  <c r="L384" i="2"/>
  <c r="L385" i="2"/>
  <c r="H415" i="2"/>
  <c r="H414" i="2"/>
  <c r="I436" i="2"/>
  <c r="I435" i="2"/>
  <c r="N538" i="2"/>
  <c r="O598" i="2"/>
  <c r="L606" i="2"/>
  <c r="K616" i="2"/>
  <c r="K615" i="2"/>
  <c r="L625" i="2"/>
  <c r="H696" i="2"/>
  <c r="K723" i="2"/>
  <c r="I786" i="2"/>
  <c r="H838" i="2"/>
  <c r="O856" i="2"/>
  <c r="I598" i="2"/>
  <c r="I597" i="2"/>
  <c r="L684" i="2"/>
  <c r="L685" i="2"/>
  <c r="N784" i="2"/>
  <c r="N783" i="2"/>
  <c r="O270" i="2"/>
  <c r="O499" i="2"/>
  <c r="O498" i="2"/>
  <c r="H625" i="2"/>
  <c r="H624" i="2"/>
  <c r="I22" i="2"/>
  <c r="I21" i="2"/>
  <c r="O100" i="2"/>
  <c r="O99" i="2"/>
  <c r="L151" i="2"/>
  <c r="L150" i="2"/>
  <c r="N292" i="2"/>
  <c r="N291" i="2"/>
  <c r="N384" i="2"/>
  <c r="N385" i="2"/>
  <c r="K436" i="2"/>
  <c r="K435" i="2"/>
  <c r="O480" i="2"/>
  <c r="O481" i="2"/>
  <c r="L757" i="2"/>
  <c r="L756" i="2"/>
  <c r="K816" i="2"/>
  <c r="K817" i="2"/>
  <c r="L199" i="2"/>
  <c r="L198" i="2"/>
  <c r="H229" i="2"/>
  <c r="H228" i="2"/>
  <c r="K426" i="2"/>
  <c r="K427" i="2"/>
  <c r="K471" i="2"/>
  <c r="K472" i="2"/>
  <c r="I726" i="2"/>
  <c r="I727" i="2"/>
  <c r="L816" i="2"/>
  <c r="L817" i="2"/>
  <c r="H73" i="2"/>
  <c r="N132" i="2"/>
  <c r="N133" i="2"/>
  <c r="H190" i="2"/>
  <c r="N199" i="2"/>
  <c r="N198" i="2"/>
  <c r="O291" i="2"/>
  <c r="K375" i="2"/>
  <c r="K376" i="2"/>
  <c r="H405" i="2"/>
  <c r="H406" i="2"/>
  <c r="L415" i="2"/>
  <c r="L414" i="2"/>
  <c r="K511" i="2"/>
  <c r="K510" i="2"/>
  <c r="H736" i="2"/>
  <c r="H9" i="2"/>
  <c r="K31" i="2"/>
  <c r="O91" i="2"/>
  <c r="O132" i="2"/>
  <c r="O133" i="2"/>
  <c r="L171" i="2"/>
  <c r="N264" i="2"/>
  <c r="H339" i="2"/>
  <c r="H340" i="2"/>
  <c r="L376" i="2"/>
  <c r="L375" i="2"/>
  <c r="H393" i="2"/>
  <c r="I405" i="2"/>
  <c r="I406" i="2"/>
  <c r="I445" i="2"/>
  <c r="L454" i="2"/>
  <c r="L511" i="2"/>
  <c r="L510" i="2"/>
  <c r="L616" i="2"/>
  <c r="I627" i="2"/>
  <c r="I628" i="2"/>
  <c r="O669" i="2"/>
  <c r="H756" i="2"/>
  <c r="O787" i="2"/>
  <c r="O816" i="2"/>
  <c r="O817" i="2"/>
  <c r="I880" i="2"/>
  <c r="I879" i="2"/>
  <c r="H55" i="2"/>
  <c r="H54" i="2"/>
  <c r="H93" i="2"/>
  <c r="H94" i="2"/>
  <c r="K117" i="2"/>
  <c r="K118" i="2"/>
  <c r="K133" i="2"/>
  <c r="N171" i="2"/>
  <c r="L190" i="2"/>
  <c r="H198" i="2"/>
  <c r="L229" i="2"/>
  <c r="L228" i="2"/>
  <c r="H265" i="2"/>
  <c r="I292" i="2"/>
  <c r="L435" i="2"/>
  <c r="L529" i="2"/>
  <c r="N601" i="2"/>
  <c r="N600" i="2"/>
  <c r="O616" i="2"/>
  <c r="K628" i="2"/>
  <c r="K627" i="2"/>
  <c r="I636" i="2"/>
  <c r="N648" i="2"/>
  <c r="H679" i="2"/>
  <c r="I748" i="2"/>
  <c r="I756" i="2"/>
  <c r="I805" i="2"/>
  <c r="N817" i="2"/>
  <c r="N871" i="2"/>
  <c r="N870" i="2"/>
  <c r="O619" i="2"/>
  <c r="H708" i="2"/>
  <c r="H709" i="2"/>
  <c r="O717" i="2"/>
  <c r="O781" i="2"/>
  <c r="O780" i="2"/>
  <c r="L793" i="2"/>
  <c r="L792" i="2"/>
  <c r="I861" i="2"/>
  <c r="I24" i="2"/>
  <c r="N136" i="2"/>
  <c r="K192" i="2"/>
  <c r="I210" i="2"/>
  <c r="L220" i="2"/>
  <c r="K240" i="2"/>
  <c r="K241" i="2"/>
  <c r="L268" i="2"/>
  <c r="H307" i="2"/>
  <c r="H306" i="2"/>
  <c r="L417" i="2"/>
  <c r="O448" i="2"/>
  <c r="N474" i="2"/>
  <c r="L514" i="2"/>
  <c r="L513" i="2"/>
  <c r="K741" i="2"/>
  <c r="K742" i="2"/>
  <c r="H781" i="2"/>
  <c r="N793" i="2"/>
  <c r="N792" i="2"/>
  <c r="O862" i="2"/>
  <c r="N717" i="2"/>
  <c r="N718" i="2"/>
  <c r="I751" i="2"/>
  <c r="I750" i="2"/>
  <c r="N193" i="2"/>
  <c r="N192" i="2"/>
  <c r="L210" i="2"/>
  <c r="L211" i="2"/>
  <c r="O303" i="2"/>
  <c r="O457" i="2"/>
  <c r="O456" i="2"/>
  <c r="I544" i="2"/>
  <c r="I543" i="2"/>
  <c r="I891" i="2"/>
  <c r="I892" i="2"/>
  <c r="L103" i="2"/>
  <c r="L102" i="2"/>
  <c r="O193" i="2"/>
  <c r="O192" i="2"/>
  <c r="N438" i="2"/>
  <c r="I487" i="2"/>
  <c r="I486" i="2"/>
  <c r="O699" i="2"/>
  <c r="L717" i="2"/>
  <c r="L759" i="2"/>
  <c r="O819" i="2"/>
  <c r="L136" i="2"/>
  <c r="I240" i="2"/>
  <c r="I241" i="2"/>
  <c r="O438" i="2"/>
  <c r="N448" i="2"/>
  <c r="K474" i="2"/>
  <c r="I610" i="2"/>
  <c r="K24" i="2"/>
  <c r="H102" i="2"/>
  <c r="O136" i="2"/>
  <c r="L240" i="2"/>
  <c r="L241" i="2"/>
  <c r="K280" i="2"/>
  <c r="K279" i="2"/>
  <c r="I307" i="2"/>
  <c r="I306" i="2"/>
  <c r="K397" i="2"/>
  <c r="I534" i="2"/>
  <c r="I535" i="2"/>
  <c r="O562" i="2"/>
  <c r="I781" i="2"/>
  <c r="N832" i="2"/>
  <c r="N831" i="2"/>
  <c r="L808" i="2"/>
  <c r="L807" i="2"/>
  <c r="N841" i="2"/>
  <c r="N840" i="2"/>
  <c r="H397" i="2"/>
  <c r="H396" i="2"/>
  <c r="K532" i="2"/>
  <c r="K531" i="2"/>
  <c r="L552" i="2"/>
  <c r="L553" i="2"/>
  <c r="H751" i="2"/>
  <c r="H750" i="2"/>
  <c r="L46" i="2"/>
  <c r="L45" i="2"/>
  <c r="L193" i="2"/>
  <c r="L192" i="2"/>
  <c r="I397" i="2"/>
  <c r="I396" i="2"/>
  <c r="N417" i="2"/>
  <c r="N418" i="2"/>
  <c r="N457" i="2"/>
  <c r="N456" i="2"/>
  <c r="H543" i="2"/>
  <c r="H544" i="2"/>
  <c r="N553" i="2"/>
  <c r="N552" i="2"/>
  <c r="O807" i="2"/>
  <c r="O808" i="2"/>
  <c r="L862" i="2"/>
  <c r="L861" i="2"/>
  <c r="H891" i="2"/>
  <c r="H892" i="2"/>
  <c r="K103" i="2"/>
  <c r="K102" i="2"/>
  <c r="O417" i="2"/>
  <c r="O418" i="2"/>
  <c r="O552" i="2"/>
  <c r="O553" i="2"/>
  <c r="O739" i="2"/>
  <c r="N210" i="2"/>
  <c r="N211" i="2"/>
  <c r="L294" i="2"/>
  <c r="N618" i="2"/>
  <c r="O640" i="2"/>
  <c r="I832" i="2"/>
  <c r="I831" i="2"/>
  <c r="I901" i="2"/>
  <c r="I900" i="2"/>
  <c r="N46" i="2"/>
  <c r="I3" i="2"/>
  <c r="N24" i="2"/>
  <c r="I102" i="2"/>
  <c r="N201" i="2"/>
  <c r="K211" i="2"/>
  <c r="N240" i="2"/>
  <c r="N241" i="2"/>
  <c r="H271" i="2"/>
  <c r="H270" i="2"/>
  <c r="K379" i="2"/>
  <c r="L397" i="2"/>
  <c r="L459" i="2"/>
  <c r="L460" i="2"/>
  <c r="O514" i="2"/>
  <c r="O513" i="2"/>
  <c r="H565" i="2"/>
  <c r="H564" i="2"/>
  <c r="H577" i="2"/>
  <c r="H576" i="2"/>
  <c r="N603" i="2"/>
  <c r="L681" i="2"/>
  <c r="N741" i="2"/>
  <c r="N742" i="2"/>
  <c r="K772" i="2"/>
  <c r="K771" i="2"/>
  <c r="K781" i="2"/>
  <c r="H792" i="2"/>
  <c r="O882" i="2"/>
  <c r="N891" i="2"/>
  <c r="L852" i="2"/>
  <c r="L708" i="2"/>
  <c r="N790" i="2"/>
  <c r="N186" i="2"/>
  <c r="K208" i="2"/>
  <c r="L258" i="2"/>
  <c r="N415" i="2"/>
  <c r="K762" i="2"/>
  <c r="O790" i="2"/>
  <c r="O813" i="2"/>
  <c r="H40" i="2"/>
  <c r="H39" i="2"/>
  <c r="L55" i="2"/>
  <c r="L54" i="2"/>
  <c r="K220" i="2"/>
  <c r="K219" i="2"/>
  <c r="O436" i="2"/>
  <c r="O435" i="2"/>
  <c r="K574" i="2"/>
  <c r="K573" i="2"/>
  <c r="O637" i="2"/>
  <c r="O636" i="2"/>
  <c r="H403" i="2"/>
  <c r="H402" i="2"/>
  <c r="N445" i="2"/>
  <c r="N444" i="2"/>
  <c r="L574" i="2"/>
  <c r="L573" i="2"/>
  <c r="L340" i="2"/>
  <c r="L339" i="2"/>
  <c r="I564" i="2"/>
  <c r="I565" i="2"/>
  <c r="L40" i="2"/>
  <c r="L39" i="2"/>
  <c r="I205" i="2"/>
  <c r="I204" i="2"/>
  <c r="I421" i="2"/>
  <c r="I420" i="2"/>
  <c r="L474" i="2"/>
  <c r="L430" i="2"/>
  <c r="L429" i="2"/>
  <c r="H631" i="2"/>
  <c r="H630" i="2"/>
  <c r="K888" i="2"/>
  <c r="K889" i="2"/>
  <c r="H214" i="2"/>
  <c r="H213" i="2"/>
  <c r="I387" i="2"/>
  <c r="L501" i="2"/>
  <c r="L502" i="2"/>
  <c r="O540" i="2"/>
  <c r="N621" i="2"/>
  <c r="N622" i="2"/>
  <c r="O654" i="2"/>
  <c r="I772" i="2"/>
  <c r="I771" i="2"/>
  <c r="L795" i="2"/>
  <c r="L847" i="2"/>
  <c r="L846" i="2"/>
  <c r="L82" i="2"/>
  <c r="L81" i="2"/>
  <c r="H358" i="2"/>
  <c r="H357" i="2"/>
  <c r="I439" i="2"/>
  <c r="I438" i="2"/>
  <c r="H534" i="2"/>
  <c r="H535" i="2"/>
  <c r="I592" i="2"/>
  <c r="I591" i="2"/>
  <c r="K58" i="2"/>
  <c r="K57" i="2"/>
  <c r="N82" i="2"/>
  <c r="N81" i="2"/>
  <c r="H246" i="2"/>
  <c r="H247" i="2"/>
  <c r="K439" i="2"/>
  <c r="K438" i="2"/>
  <c r="H739" i="2"/>
  <c r="H738" i="2"/>
  <c r="I763" i="2"/>
  <c r="I762" i="2"/>
  <c r="N16" i="2"/>
  <c r="N15" i="2"/>
  <c r="K48" i="2"/>
  <c r="L58" i="2"/>
  <c r="L57" i="2"/>
  <c r="H204" i="2"/>
  <c r="N363" i="2"/>
  <c r="L420" i="2"/>
  <c r="H478" i="2"/>
  <c r="H477" i="2"/>
  <c r="H501" i="2"/>
  <c r="K534" i="2"/>
  <c r="K535" i="2"/>
  <c r="I550" i="2"/>
  <c r="K559" i="2"/>
  <c r="K558" i="2"/>
  <c r="L592" i="2"/>
  <c r="L591" i="2"/>
  <c r="O601" i="2"/>
  <c r="O600" i="2"/>
  <c r="N606" i="2"/>
  <c r="H711" i="2"/>
  <c r="H712" i="2"/>
  <c r="I720" i="2"/>
  <c r="I721" i="2"/>
  <c r="I730" i="2"/>
  <c r="I729" i="2"/>
  <c r="L828" i="2"/>
  <c r="O16" i="2"/>
  <c r="O15" i="2"/>
  <c r="O31" i="2"/>
  <c r="L48" i="2"/>
  <c r="N58" i="2"/>
  <c r="N57" i="2"/>
  <c r="H81" i="2"/>
  <c r="O103" i="2"/>
  <c r="O102" i="2"/>
  <c r="H129" i="2"/>
  <c r="I154" i="2"/>
  <c r="O177" i="2"/>
  <c r="O178" i="2"/>
  <c r="I238" i="2"/>
  <c r="K246" i="2"/>
  <c r="K247" i="2"/>
  <c r="N429" i="2"/>
  <c r="I615" i="2"/>
  <c r="I616" i="2"/>
  <c r="K730" i="2"/>
  <c r="K729" i="2"/>
  <c r="L762" i="2"/>
  <c r="L763" i="2"/>
  <c r="H34" i="2"/>
  <c r="H33" i="2"/>
  <c r="N48" i="2"/>
  <c r="O58" i="2"/>
  <c r="O57" i="2"/>
  <c r="I123" i="2"/>
  <c r="I129" i="2"/>
  <c r="K154" i="2"/>
  <c r="K238" i="2"/>
  <c r="N373" i="2"/>
  <c r="N372" i="2"/>
  <c r="H382" i="2"/>
  <c r="H381" i="2"/>
  <c r="L448" i="2"/>
  <c r="L447" i="2"/>
  <c r="O576" i="2"/>
  <c r="N639" i="2"/>
  <c r="K667" i="2"/>
  <c r="K666" i="2"/>
  <c r="L729" i="2"/>
  <c r="L730" i="2"/>
  <c r="H840" i="2"/>
  <c r="H841" i="2"/>
  <c r="K846" i="2"/>
  <c r="I874" i="2"/>
  <c r="I873" i="2"/>
  <c r="O879" i="2"/>
  <c r="K829" i="2"/>
  <c r="K828" i="2"/>
  <c r="O22" i="2"/>
  <c r="O21" i="2"/>
  <c r="L445" i="2"/>
  <c r="L444" i="2"/>
  <c r="L655" i="2"/>
  <c r="L654" i="2"/>
  <c r="H162" i="2"/>
  <c r="H163" i="2"/>
  <c r="N655" i="2"/>
  <c r="N654" i="2"/>
  <c r="I331" i="2"/>
  <c r="I330" i="2"/>
  <c r="I811" i="2"/>
  <c r="I810" i="2"/>
  <c r="H421" i="2"/>
  <c r="H420" i="2"/>
  <c r="L507" i="2"/>
  <c r="L508" i="2"/>
  <c r="O252" i="2"/>
  <c r="O253" i="2"/>
  <c r="O306" i="2"/>
  <c r="I81" i="2"/>
  <c r="I82" i="2"/>
  <c r="H139" i="2"/>
  <c r="H138" i="2"/>
  <c r="N162" i="2"/>
  <c r="N163" i="2"/>
  <c r="N828" i="2"/>
  <c r="N829" i="2"/>
  <c r="K82" i="2"/>
  <c r="K81" i="2"/>
  <c r="O154" i="2"/>
  <c r="O153" i="2"/>
  <c r="O330" i="2"/>
  <c r="O331" i="2"/>
  <c r="H517" i="2"/>
  <c r="H516" i="2"/>
  <c r="L663" i="2"/>
  <c r="H789" i="2"/>
  <c r="H790" i="2"/>
  <c r="O828" i="2"/>
  <c r="O829" i="2"/>
  <c r="N507" i="2"/>
  <c r="K640" i="2"/>
  <c r="K639" i="2"/>
  <c r="N847" i="2"/>
  <c r="N846" i="2"/>
  <c r="I48" i="2"/>
  <c r="N66" i="2"/>
  <c r="N67" i="2"/>
  <c r="O475" i="2"/>
  <c r="N576" i="2"/>
  <c r="N577" i="2"/>
  <c r="H730" i="2"/>
  <c r="H729" i="2"/>
  <c r="I15" i="2"/>
  <c r="K139" i="2"/>
  <c r="O199" i="2"/>
  <c r="O198" i="2"/>
  <c r="O300" i="2"/>
  <c r="I382" i="2"/>
  <c r="I381" i="2"/>
  <c r="L405" i="2"/>
  <c r="L406" i="2"/>
  <c r="N469" i="2"/>
  <c r="N468" i="2"/>
  <c r="K600" i="2"/>
  <c r="H648" i="2"/>
  <c r="L667" i="2"/>
  <c r="L666" i="2"/>
  <c r="O7" i="2"/>
  <c r="O6" i="2"/>
  <c r="K15" i="2"/>
  <c r="L24" i="2"/>
  <c r="K34" i="2"/>
  <c r="K33" i="2"/>
  <c r="I57" i="2"/>
  <c r="L139" i="2"/>
  <c r="N154" i="2"/>
  <c r="N177" i="2"/>
  <c r="K214" i="2"/>
  <c r="N232" i="2"/>
  <c r="N231" i="2"/>
  <c r="O279" i="2"/>
  <c r="I357" i="2"/>
  <c r="K382" i="2"/>
  <c r="K381" i="2"/>
  <c r="K415" i="2"/>
  <c r="K414" i="2"/>
  <c r="O469" i="2"/>
  <c r="O468" i="2"/>
  <c r="K493" i="2"/>
  <c r="N592" i="2"/>
  <c r="L600" i="2"/>
  <c r="I648" i="2"/>
  <c r="O657" i="2"/>
  <c r="O658" i="2"/>
  <c r="N712" i="2"/>
  <c r="N711" i="2"/>
  <c r="O730" i="2"/>
  <c r="O729" i="2"/>
  <c r="H823" i="2"/>
  <c r="H822" i="2"/>
  <c r="K841" i="2"/>
  <c r="K840" i="2"/>
  <c r="H882" i="2"/>
  <c r="H883" i="2"/>
  <c r="H6" i="2"/>
  <c r="L34" i="2"/>
  <c r="L33" i="2"/>
  <c r="K42" i="2"/>
  <c r="K67" i="2"/>
  <c r="K76" i="2"/>
  <c r="K75" i="2"/>
  <c r="H157" i="2"/>
  <c r="H156" i="2"/>
  <c r="O232" i="2"/>
  <c r="O231" i="2"/>
  <c r="K544" i="2"/>
  <c r="K543" i="2"/>
  <c r="H595" i="2"/>
  <c r="H594" i="2"/>
  <c r="I774" i="2"/>
  <c r="I775" i="2"/>
  <c r="I823" i="2"/>
  <c r="I822" i="2"/>
  <c r="L841" i="2"/>
  <c r="L840" i="2"/>
  <c r="L252" i="2"/>
  <c r="L253" i="2"/>
  <c r="L387" i="2"/>
  <c r="L388" i="2"/>
  <c r="L261" i="2"/>
  <c r="L262" i="2"/>
  <c r="K330" i="2"/>
  <c r="K331" i="2"/>
  <c r="O574" i="2"/>
  <c r="O573" i="2"/>
  <c r="O613" i="2"/>
  <c r="O612" i="2"/>
  <c r="O388" i="2"/>
  <c r="O387" i="2"/>
  <c r="O484" i="2"/>
  <c r="O483" i="2"/>
  <c r="O735" i="2"/>
  <c r="H772" i="2"/>
  <c r="H771" i="2"/>
  <c r="K795" i="2"/>
  <c r="O49" i="2"/>
  <c r="O48" i="2"/>
  <c r="I139" i="2"/>
  <c r="I138" i="2"/>
  <c r="H438" i="2"/>
  <c r="H439" i="2"/>
  <c r="I631" i="2"/>
  <c r="I630" i="2"/>
  <c r="O672" i="2"/>
  <c r="K178" i="2"/>
  <c r="K177" i="2"/>
  <c r="I214" i="2"/>
  <c r="I213" i="2"/>
  <c r="N280" i="2"/>
  <c r="N279" i="2"/>
  <c r="L301" i="2"/>
  <c r="L300" i="2"/>
  <c r="L330" i="2"/>
  <c r="K363" i="2"/>
  <c r="I517" i="2"/>
  <c r="I516" i="2"/>
  <c r="H664" i="2"/>
  <c r="H763" i="2"/>
  <c r="H762" i="2"/>
  <c r="I790" i="2"/>
  <c r="I789" i="2"/>
  <c r="L16" i="2"/>
  <c r="L15" i="2"/>
  <c r="L178" i="2"/>
  <c r="L177" i="2"/>
  <c r="O421" i="2"/>
  <c r="O420" i="2"/>
  <c r="K621" i="2"/>
  <c r="N895" i="2"/>
  <c r="O81" i="2"/>
  <c r="O82" i="2"/>
  <c r="N7" i="2"/>
  <c r="N6" i="2"/>
  <c r="I34" i="2"/>
  <c r="I33" i="2"/>
  <c r="L154" i="2"/>
  <c r="N223" i="2"/>
  <c r="N222" i="2"/>
  <c r="K265" i="2"/>
  <c r="K264" i="2"/>
  <c r="O373" i="2"/>
  <c r="O372" i="2"/>
  <c r="I415" i="2"/>
  <c r="I414" i="2"/>
  <c r="N657" i="2"/>
  <c r="N658" i="2"/>
  <c r="I6" i="2"/>
  <c r="L42" i="2"/>
  <c r="I52" i="2"/>
  <c r="I51" i="2"/>
  <c r="L76" i="2"/>
  <c r="L75" i="2"/>
  <c r="N102" i="2"/>
  <c r="I157" i="2"/>
  <c r="I156" i="2"/>
  <c r="I186" i="2"/>
  <c r="H208" i="2"/>
  <c r="H207" i="2"/>
  <c r="K301" i="2"/>
  <c r="L372" i="2"/>
  <c r="N424" i="2"/>
  <c r="N423" i="2"/>
  <c r="K520" i="2"/>
  <c r="K519" i="2"/>
  <c r="L544" i="2"/>
  <c r="L543" i="2"/>
  <c r="I595" i="2"/>
  <c r="I594" i="2"/>
  <c r="I711" i="2"/>
  <c r="L832" i="2"/>
  <c r="L831" i="2"/>
  <c r="O874" i="2"/>
  <c r="O873" i="2"/>
  <c r="K6" i="2"/>
  <c r="I61" i="2"/>
  <c r="I60" i="2"/>
  <c r="N76" i="2"/>
  <c r="N75" i="2"/>
  <c r="H118" i="2"/>
  <c r="H124" i="2"/>
  <c r="H133" i="2"/>
  <c r="H132" i="2"/>
  <c r="H141" i="2"/>
  <c r="H142" i="2"/>
  <c r="K157" i="2"/>
  <c r="K156" i="2"/>
  <c r="I208" i="2"/>
  <c r="I207" i="2"/>
  <c r="H216" i="2"/>
  <c r="H217" i="2"/>
  <c r="I264" i="2"/>
  <c r="O423" i="2"/>
  <c r="O424" i="2"/>
  <c r="I469" i="2"/>
  <c r="N543" i="2"/>
  <c r="N544" i="2"/>
  <c r="K595" i="2"/>
  <c r="K594" i="2"/>
  <c r="K691" i="2"/>
  <c r="K690" i="2"/>
  <c r="K711" i="2"/>
  <c r="H873" i="2"/>
  <c r="N55" i="2"/>
  <c r="N54" i="2"/>
  <c r="I724" i="2"/>
  <c r="I723" i="2"/>
  <c r="N757" i="2"/>
  <c r="N756" i="2"/>
  <c r="L10" i="2"/>
  <c r="L9" i="2"/>
  <c r="H28" i="2"/>
  <c r="H27" i="2"/>
  <c r="N70" i="2"/>
  <c r="N69" i="2"/>
  <c r="H112" i="2"/>
  <c r="H226" i="2"/>
  <c r="H225" i="2"/>
  <c r="H418" i="2"/>
  <c r="H417" i="2"/>
  <c r="L442" i="2"/>
  <c r="L441" i="2"/>
  <c r="L471" i="2"/>
  <c r="L472" i="2"/>
  <c r="I480" i="2"/>
  <c r="I481" i="2"/>
  <c r="H571" i="2"/>
  <c r="H570" i="2"/>
  <c r="O580" i="2"/>
  <c r="O579" i="2"/>
  <c r="K652" i="2"/>
  <c r="K651" i="2"/>
  <c r="O690" i="2"/>
  <c r="O757" i="2"/>
  <c r="O756" i="2"/>
  <c r="O765" i="2"/>
  <c r="O766" i="2"/>
  <c r="O832" i="2"/>
  <c r="K859" i="2"/>
  <c r="K858" i="2"/>
  <c r="N10" i="2"/>
  <c r="N9" i="2"/>
  <c r="I28" i="2"/>
  <c r="I27" i="2"/>
  <c r="H45" i="2"/>
  <c r="H46" i="2"/>
  <c r="K60" i="2"/>
  <c r="O70" i="2"/>
  <c r="O69" i="2"/>
  <c r="I112" i="2"/>
  <c r="I133" i="2"/>
  <c r="N165" i="2"/>
  <c r="I226" i="2"/>
  <c r="I225" i="2"/>
  <c r="I250" i="2"/>
  <c r="I249" i="2"/>
  <c r="H409" i="2"/>
  <c r="H408" i="2"/>
  <c r="L456" i="2"/>
  <c r="K538" i="2"/>
  <c r="K537" i="2"/>
  <c r="O585" i="2"/>
  <c r="H619" i="2"/>
  <c r="H618" i="2"/>
  <c r="L652" i="2"/>
  <c r="L651" i="2"/>
  <c r="H691" i="2"/>
  <c r="L715" i="2"/>
  <c r="L714" i="2"/>
  <c r="L765" i="2"/>
  <c r="O868" i="2"/>
  <c r="O867" i="2"/>
  <c r="K891" i="2"/>
  <c r="L837" i="2"/>
  <c r="L838" i="2"/>
  <c r="O12" i="2"/>
  <c r="N18" i="2"/>
  <c r="N19" i="2"/>
  <c r="I715" i="2"/>
  <c r="I714" i="2"/>
  <c r="L891" i="2"/>
  <c r="I351" i="2"/>
  <c r="O361" i="2"/>
  <c r="O360" i="2"/>
  <c r="O384" i="2"/>
  <c r="O385" i="2"/>
  <c r="K408" i="2"/>
  <c r="K409" i="2"/>
  <c r="N732" i="2"/>
  <c r="O798" i="2"/>
  <c r="L868" i="2"/>
  <c r="I9" i="2"/>
  <c r="K19" i="2"/>
  <c r="N28" i="2"/>
  <c r="N27" i="2"/>
  <c r="K36" i="2"/>
  <c r="K69" i="2"/>
  <c r="K142" i="2"/>
  <c r="O180" i="2"/>
  <c r="H210" i="2"/>
  <c r="H211" i="2"/>
  <c r="K259" i="2"/>
  <c r="K258" i="2"/>
  <c r="L282" i="2"/>
  <c r="H328" i="2"/>
  <c r="H327" i="2"/>
  <c r="H360" i="2"/>
  <c r="L408" i="2"/>
  <c r="L409" i="2"/>
  <c r="H457" i="2"/>
  <c r="K499" i="2"/>
  <c r="K498" i="2"/>
  <c r="H514" i="2"/>
  <c r="H513" i="2"/>
  <c r="L579" i="2"/>
  <c r="L669" i="2"/>
  <c r="O751" i="2"/>
  <c r="O750" i="2"/>
  <c r="L858" i="2"/>
  <c r="H886" i="2"/>
  <c r="H885" i="2"/>
  <c r="H715" i="2"/>
  <c r="H714" i="2"/>
  <c r="I39" i="2"/>
  <c r="I40" i="2"/>
  <c r="K10" i="2"/>
  <c r="K9" i="2"/>
  <c r="I259" i="2"/>
  <c r="I258" i="2"/>
  <c r="H826" i="2"/>
  <c r="H825" i="2"/>
  <c r="I859" i="2"/>
  <c r="I858" i="2"/>
  <c r="O274" i="2"/>
  <c r="L174" i="2"/>
  <c r="L175" i="2"/>
  <c r="K249" i="2"/>
  <c r="L327" i="2"/>
  <c r="L328" i="2"/>
  <c r="L346" i="2"/>
  <c r="L345" i="2"/>
  <c r="I408" i="2"/>
  <c r="O522" i="2"/>
  <c r="O523" i="2"/>
  <c r="L571" i="2"/>
  <c r="N699" i="2"/>
  <c r="K727" i="2"/>
  <c r="K726" i="2"/>
  <c r="K750" i="2"/>
  <c r="I826" i="2"/>
  <c r="I825" i="2"/>
  <c r="N229" i="2"/>
  <c r="N228" i="2"/>
  <c r="H262" i="2"/>
  <c r="H261" i="2"/>
  <c r="I340" i="2"/>
  <c r="I339" i="2"/>
  <c r="I484" i="2"/>
  <c r="I483" i="2"/>
  <c r="O628" i="2"/>
  <c r="O627" i="2"/>
  <c r="L745" i="2"/>
  <c r="L744" i="2"/>
  <c r="O229" i="2"/>
  <c r="O228" i="2"/>
  <c r="I262" i="2"/>
  <c r="I261" i="2"/>
  <c r="H331" i="2"/>
  <c r="H330" i="2"/>
  <c r="K39" i="2"/>
  <c r="K40" i="2"/>
  <c r="L483" i="2"/>
  <c r="L484" i="2"/>
  <c r="L565" i="2"/>
  <c r="L564" i="2"/>
  <c r="O76" i="2"/>
  <c r="O75" i="2"/>
  <c r="L156" i="2"/>
  <c r="L157" i="2"/>
  <c r="L367" i="2"/>
  <c r="L366" i="2"/>
  <c r="L595" i="2"/>
  <c r="L594" i="2"/>
  <c r="H868" i="2"/>
  <c r="H867" i="2"/>
  <c r="I304" i="2"/>
  <c r="I303" i="2"/>
  <c r="N367" i="2"/>
  <c r="N366" i="2"/>
  <c r="O520" i="2"/>
  <c r="O519" i="2"/>
  <c r="N60" i="2"/>
  <c r="N61" i="2"/>
  <c r="O367" i="2"/>
  <c r="O366" i="2"/>
  <c r="I471" i="2"/>
  <c r="I472" i="2"/>
  <c r="H724" i="2"/>
  <c r="H723" i="2"/>
  <c r="L741" i="2"/>
  <c r="L742" i="2"/>
  <c r="H859" i="2"/>
  <c r="H858" i="2"/>
  <c r="I336" i="2"/>
  <c r="I337" i="2"/>
  <c r="N580" i="2"/>
  <c r="N579" i="2"/>
  <c r="K633" i="2"/>
  <c r="K634" i="2"/>
  <c r="O10" i="2"/>
  <c r="O9" i="2"/>
  <c r="K28" i="2"/>
  <c r="K27" i="2"/>
  <c r="O60" i="2"/>
  <c r="O105" i="2"/>
  <c r="O106" i="2"/>
  <c r="O165" i="2"/>
  <c r="K226" i="2"/>
  <c r="K225" i="2"/>
  <c r="O282" i="2"/>
  <c r="O283" i="2"/>
  <c r="O442" i="2"/>
  <c r="O441" i="2"/>
  <c r="L538" i="2"/>
  <c r="L537" i="2"/>
  <c r="K571" i="2"/>
  <c r="K570" i="2"/>
  <c r="I619" i="2"/>
  <c r="I618" i="2"/>
  <c r="O642" i="2"/>
  <c r="L751" i="2"/>
  <c r="L750" i="2"/>
  <c r="L28" i="2"/>
  <c r="L27" i="2"/>
  <c r="I36" i="2"/>
  <c r="K45" i="2"/>
  <c r="K46" i="2"/>
  <c r="L61" i="2"/>
  <c r="N180" i="2"/>
  <c r="L226" i="2"/>
  <c r="L225" i="2"/>
  <c r="O28" i="2"/>
  <c r="O27" i="2"/>
  <c r="L36" i="2"/>
  <c r="L69" i="2"/>
  <c r="O250" i="2"/>
  <c r="O249" i="2"/>
  <c r="I327" i="2"/>
  <c r="I328" i="2"/>
  <c r="I346" i="2"/>
  <c r="I345" i="2"/>
  <c r="O661" i="2"/>
  <c r="O660" i="2"/>
  <c r="N669" i="2"/>
  <c r="O792" i="2"/>
  <c r="N808" i="2"/>
  <c r="N807" i="2"/>
  <c r="I886" i="2"/>
  <c r="I885" i="2"/>
  <c r="N36" i="2"/>
  <c r="O46" i="2"/>
  <c r="O45" i="2"/>
  <c r="H136" i="2"/>
  <c r="H135" i="2"/>
  <c r="L217" i="2"/>
  <c r="H249" i="2"/>
  <c r="O408" i="2"/>
  <c r="O409" i="2"/>
  <c r="H436" i="2"/>
  <c r="H435" i="2"/>
  <c r="N499" i="2"/>
  <c r="N498" i="2"/>
  <c r="I693" i="2"/>
  <c r="I694" i="2"/>
  <c r="O733" i="2"/>
  <c r="O52" i="2"/>
  <c r="I135" i="2"/>
  <c r="I136" i="2"/>
  <c r="O142" i="2"/>
  <c r="K159" i="2"/>
  <c r="H277" i="2"/>
  <c r="H276" i="2"/>
  <c r="N64" i="2"/>
  <c r="N63" i="2"/>
  <c r="L78" i="2"/>
  <c r="H145" i="2"/>
  <c r="H144" i="2"/>
  <c r="L159" i="2"/>
  <c r="N175" i="2"/>
  <c r="N174" i="2"/>
  <c r="L249" i="2"/>
  <c r="N267" i="2"/>
  <c r="I277" i="2"/>
  <c r="I276" i="2"/>
  <c r="K307" i="2"/>
  <c r="K306" i="2"/>
  <c r="N450" i="2"/>
  <c r="L618" i="2"/>
  <c r="K636" i="2"/>
  <c r="K637" i="2"/>
  <c r="H744" i="2"/>
  <c r="H745" i="2"/>
  <c r="I778" i="2"/>
  <c r="I777" i="2"/>
  <c r="H808" i="2"/>
  <c r="K826" i="2"/>
  <c r="K825" i="2"/>
  <c r="K862" i="2"/>
  <c r="K861" i="2"/>
  <c r="O876" i="2"/>
  <c r="O64" i="2"/>
  <c r="O63" i="2"/>
  <c r="N78" i="2"/>
  <c r="N159" i="2"/>
  <c r="O175" i="2"/>
  <c r="O174" i="2"/>
  <c r="O327" i="2"/>
  <c r="O328" i="2"/>
  <c r="O337" i="2"/>
  <c r="O450" i="2"/>
  <c r="K540" i="2"/>
  <c r="K541" i="2"/>
  <c r="L637" i="2"/>
  <c r="L636" i="2"/>
  <c r="I745" i="2"/>
  <c r="I744" i="2"/>
  <c r="K778" i="2"/>
  <c r="K777" i="2"/>
  <c r="N787" i="2"/>
  <c r="N786" i="2"/>
  <c r="I808" i="2"/>
  <c r="O55" i="2"/>
  <c r="O54" i="2"/>
  <c r="N574" i="2"/>
  <c r="N573" i="2"/>
  <c r="H622" i="2"/>
  <c r="H621" i="2"/>
  <c r="N853" i="2"/>
  <c r="N852" i="2"/>
  <c r="K162" i="2"/>
  <c r="K163" i="2"/>
  <c r="L493" i="2"/>
  <c r="L492" i="2"/>
  <c r="N39" i="2"/>
  <c r="N40" i="2"/>
  <c r="I432" i="2"/>
  <c r="I433" i="2"/>
  <c r="O544" i="2"/>
  <c r="O543" i="2"/>
  <c r="I766" i="2"/>
  <c r="I765" i="2"/>
  <c r="L18" i="2"/>
  <c r="L19" i="2"/>
  <c r="L181" i="2"/>
  <c r="L180" i="2"/>
  <c r="N595" i="2"/>
  <c r="N594" i="2"/>
  <c r="H634" i="2"/>
  <c r="H633" i="2"/>
  <c r="I868" i="2"/>
  <c r="I867" i="2"/>
  <c r="H538" i="2"/>
  <c r="H537" i="2"/>
  <c r="L12" i="2"/>
  <c r="L13" i="2"/>
  <c r="L22" i="2"/>
  <c r="L21" i="2"/>
  <c r="O4" i="2"/>
  <c r="O3" i="2"/>
  <c r="N12" i="2"/>
  <c r="N13" i="2"/>
  <c r="N22" i="2"/>
  <c r="N21" i="2"/>
  <c r="O37" i="2"/>
  <c r="N87" i="2"/>
  <c r="N88" i="2"/>
  <c r="O93" i="2"/>
  <c r="H151" i="2"/>
  <c r="O159" i="2"/>
  <c r="N306" i="2"/>
  <c r="N307" i="2"/>
  <c r="H345" i="2"/>
  <c r="L355" i="2"/>
  <c r="L354" i="2"/>
  <c r="O394" i="2"/>
  <c r="O393" i="2"/>
  <c r="N436" i="2"/>
  <c r="N435" i="2"/>
  <c r="K445" i="2"/>
  <c r="K444" i="2"/>
  <c r="H484" i="2"/>
  <c r="H483" i="2"/>
  <c r="L498" i="2"/>
  <c r="I574" i="2"/>
  <c r="I573" i="2"/>
  <c r="N637" i="2"/>
  <c r="N636" i="2"/>
  <c r="K745" i="2"/>
  <c r="K744" i="2"/>
  <c r="N862" i="2"/>
  <c r="N861" i="2"/>
  <c r="H238" i="2"/>
  <c r="H237" i="2"/>
  <c r="N274" i="2"/>
  <c r="N273" i="2"/>
  <c r="I571" i="2"/>
  <c r="I570" i="2"/>
  <c r="K592" i="2"/>
  <c r="K591" i="2"/>
  <c r="N868" i="2"/>
  <c r="N867" i="2"/>
  <c r="K883" i="2"/>
  <c r="K882" i="2"/>
  <c r="O772" i="2"/>
  <c r="O771" i="2"/>
  <c r="K352" i="2"/>
  <c r="K351" i="2"/>
  <c r="N514" i="2"/>
  <c r="N513" i="2"/>
  <c r="N664" i="2"/>
  <c r="N663" i="2"/>
  <c r="L130" i="2"/>
  <c r="L129" i="2"/>
  <c r="N259" i="2"/>
  <c r="N258" i="2"/>
  <c r="L352" i="2"/>
  <c r="L351" i="2"/>
  <c r="K400" i="2"/>
  <c r="K399" i="2"/>
  <c r="K478" i="2"/>
  <c r="K477" i="2"/>
  <c r="H523" i="2"/>
  <c r="H522" i="2"/>
  <c r="O570" i="2"/>
  <c r="O571" i="2"/>
  <c r="K643" i="2"/>
  <c r="K642" i="2"/>
  <c r="O664" i="2"/>
  <c r="O663" i="2"/>
  <c r="N721" i="2"/>
  <c r="N720" i="2"/>
  <c r="K736" i="2"/>
  <c r="K735" i="2"/>
  <c r="I816" i="2"/>
  <c r="I817" i="2"/>
  <c r="H283" i="2"/>
  <c r="H282" i="2"/>
  <c r="N352" i="2"/>
  <c r="N351" i="2"/>
  <c r="K451" i="2"/>
  <c r="K450" i="2"/>
  <c r="L468" i="2"/>
  <c r="L736" i="2"/>
  <c r="L735" i="2"/>
  <c r="N781" i="2"/>
  <c r="N780" i="2"/>
  <c r="H862" i="2"/>
  <c r="H861" i="2"/>
  <c r="O243" i="2"/>
  <c r="I283" i="2"/>
  <c r="I282" i="2"/>
  <c r="N288" i="2"/>
  <c r="K462" i="2"/>
  <c r="O591" i="2"/>
  <c r="O648" i="2"/>
  <c r="I663" i="2"/>
  <c r="H766" i="2"/>
  <c r="H765" i="2"/>
  <c r="L772" i="2"/>
  <c r="K832" i="2"/>
  <c r="K831" i="2"/>
  <c r="O340" i="2"/>
  <c r="O339" i="2"/>
  <c r="K403" i="2"/>
  <c r="K402" i="2"/>
  <c r="K739" i="2"/>
  <c r="K738" i="2"/>
  <c r="K835" i="2"/>
  <c r="K834" i="2"/>
  <c r="H169" i="2"/>
  <c r="O277" i="2"/>
  <c r="O276" i="2"/>
  <c r="N481" i="2"/>
  <c r="N480" i="2"/>
  <c r="K496" i="2"/>
  <c r="K495" i="2"/>
  <c r="N517" i="2"/>
  <c r="N516" i="2"/>
  <c r="H526" i="2"/>
  <c r="H525" i="2"/>
  <c r="N616" i="2"/>
  <c r="N615" i="2"/>
  <c r="I646" i="2"/>
  <c r="I645" i="2"/>
  <c r="K688" i="2"/>
  <c r="K687" i="2"/>
  <c r="O715" i="2"/>
  <c r="N760" i="2"/>
  <c r="N759" i="2"/>
  <c r="I864" i="2"/>
  <c r="I865" i="2"/>
  <c r="O898" i="2"/>
  <c r="H334" i="2"/>
  <c r="H333" i="2"/>
  <c r="O517" i="2"/>
  <c r="O516" i="2"/>
  <c r="N651" i="2"/>
  <c r="L688" i="2"/>
  <c r="L687" i="2"/>
  <c r="H718" i="2"/>
  <c r="H717" i="2"/>
  <c r="N739" i="2"/>
  <c r="N738" i="2"/>
  <c r="I784" i="2"/>
  <c r="I783" i="2"/>
  <c r="N835" i="2"/>
  <c r="N834" i="2"/>
  <c r="H901" i="2"/>
  <c r="H900" i="2"/>
  <c r="K784" i="2"/>
  <c r="K783" i="2"/>
  <c r="L825" i="2"/>
  <c r="O537" i="2"/>
  <c r="L723" i="2"/>
  <c r="L784" i="2"/>
  <c r="L783" i="2"/>
  <c r="O825" i="2"/>
  <c r="H834" i="2"/>
  <c r="I150" i="2"/>
  <c r="O225" i="2"/>
  <c r="I297" i="2"/>
  <c r="N325" i="2"/>
  <c r="N324" i="2"/>
  <c r="N402" i="2"/>
  <c r="L412" i="2"/>
  <c r="L411" i="2"/>
  <c r="O432" i="2"/>
  <c r="I495" i="2"/>
  <c r="L516" i="2"/>
  <c r="N568" i="2"/>
  <c r="N567" i="2"/>
  <c r="I687" i="2"/>
  <c r="K703" i="2"/>
  <c r="K702" i="2"/>
  <c r="N709" i="2"/>
  <c r="N708" i="2"/>
  <c r="O723" i="2"/>
  <c r="I738" i="2"/>
  <c r="N769" i="2"/>
  <c r="N768" i="2"/>
  <c r="H814" i="2"/>
  <c r="H813" i="2"/>
  <c r="I834" i="2"/>
  <c r="L277" i="2"/>
  <c r="L276" i="2"/>
  <c r="I403" i="2"/>
  <c r="I402" i="2"/>
  <c r="O666" i="2"/>
  <c r="O667" i="2"/>
  <c r="N724" i="2"/>
  <c r="N723" i="2"/>
  <c r="O151" i="2"/>
  <c r="O150" i="2"/>
  <c r="L645" i="2"/>
  <c r="L646" i="2"/>
  <c r="I109" i="2"/>
  <c r="I108" i="2"/>
  <c r="I271" i="2"/>
  <c r="I270" i="2"/>
  <c r="I427" i="2"/>
  <c r="I426" i="2"/>
  <c r="L144" i="2"/>
  <c r="N157" i="2"/>
  <c r="O40" i="2"/>
  <c r="K150" i="2"/>
  <c r="O202" i="2"/>
  <c r="O201" i="2"/>
  <c r="O213" i="2"/>
  <c r="N219" i="2"/>
  <c r="K256" i="2"/>
  <c r="K255" i="2"/>
  <c r="L271" i="2"/>
  <c r="L270" i="2"/>
  <c r="O325" i="2"/>
  <c r="O324" i="2"/>
  <c r="N334" i="2"/>
  <c r="N333" i="2"/>
  <c r="O349" i="2"/>
  <c r="O348" i="2"/>
  <c r="H475" i="2"/>
  <c r="H474" i="2"/>
  <c r="L531" i="2"/>
  <c r="K547" i="2"/>
  <c r="K546" i="2"/>
  <c r="N559" i="2"/>
  <c r="O589" i="2"/>
  <c r="O588" i="2"/>
  <c r="H645" i="2"/>
  <c r="H670" i="2"/>
  <c r="H669" i="2"/>
  <c r="H681" i="2"/>
  <c r="N805" i="2"/>
  <c r="N804" i="2"/>
  <c r="I856" i="2"/>
  <c r="K880" i="2"/>
  <c r="K879" i="2"/>
  <c r="N901" i="2"/>
  <c r="N900" i="2"/>
  <c r="K334" i="2"/>
  <c r="K333" i="2"/>
  <c r="N354" i="2"/>
  <c r="N376" i="2"/>
  <c r="N375" i="2"/>
  <c r="N33" i="2"/>
  <c r="O34" i="2"/>
  <c r="O144" i="2"/>
  <c r="O219" i="2"/>
  <c r="L256" i="2"/>
  <c r="L255" i="2"/>
  <c r="N271" i="2"/>
  <c r="N270" i="2"/>
  <c r="I375" i="2"/>
  <c r="I475" i="2"/>
  <c r="I474" i="2"/>
  <c r="I490" i="2"/>
  <c r="I489" i="2"/>
  <c r="N531" i="2"/>
  <c r="H553" i="2"/>
  <c r="L661" i="2"/>
  <c r="L660" i="2"/>
  <c r="I681" i="2"/>
  <c r="I760" i="2"/>
  <c r="O805" i="2"/>
  <c r="O804" i="2"/>
  <c r="L819" i="2"/>
  <c r="L880" i="2"/>
  <c r="L879" i="2"/>
  <c r="K895" i="2"/>
  <c r="K894" i="2"/>
  <c r="N340" i="2"/>
  <c r="N339" i="2"/>
  <c r="N496" i="2"/>
  <c r="N495" i="2"/>
  <c r="L325" i="2"/>
  <c r="L324" i="2"/>
  <c r="O381" i="2"/>
  <c r="H115" i="2"/>
  <c r="N150" i="2"/>
  <c r="I160" i="2"/>
  <c r="I159" i="2"/>
  <c r="O297" i="2"/>
  <c r="K318" i="2"/>
  <c r="N382" i="2"/>
  <c r="K490" i="2"/>
  <c r="K489" i="2"/>
  <c r="L525" i="2"/>
  <c r="O531" i="2"/>
  <c r="I553" i="2"/>
  <c r="H562" i="2"/>
  <c r="H561" i="2"/>
  <c r="N661" i="2"/>
  <c r="N660" i="2"/>
  <c r="K681" i="2"/>
  <c r="L733" i="2"/>
  <c r="L732" i="2"/>
  <c r="O784" i="2"/>
  <c r="N819" i="2"/>
  <c r="L856" i="2"/>
  <c r="L400" i="2"/>
  <c r="L399" i="2"/>
  <c r="H427" i="2"/>
  <c r="H426" i="2"/>
  <c r="N520" i="2"/>
  <c r="N519" i="2"/>
  <c r="N613" i="2"/>
  <c r="N612" i="2"/>
  <c r="O853" i="2"/>
  <c r="O852" i="2"/>
  <c r="O859" i="2"/>
  <c r="N277" i="2"/>
  <c r="N276" i="2"/>
  <c r="L496" i="2"/>
  <c r="L495" i="2"/>
  <c r="K663" i="2"/>
  <c r="O744" i="2"/>
  <c r="O840" i="2"/>
  <c r="N328" i="2"/>
  <c r="N327" i="2"/>
  <c r="N421" i="2"/>
  <c r="N420" i="2"/>
  <c r="L640" i="2"/>
  <c r="L639" i="2"/>
  <c r="L790" i="2"/>
  <c r="H811" i="2"/>
  <c r="H810" i="2"/>
  <c r="H235" i="2"/>
  <c r="H234" i="2"/>
  <c r="H379" i="2"/>
  <c r="H378" i="2"/>
  <c r="N472" i="2"/>
  <c r="N471" i="2"/>
  <c r="N565" i="2"/>
  <c r="N564" i="2"/>
  <c r="K714" i="2"/>
  <c r="N856" i="2"/>
  <c r="N855" i="2"/>
  <c r="O901" i="2"/>
  <c r="O900" i="2"/>
  <c r="I235" i="2"/>
  <c r="I234" i="2"/>
  <c r="H286" i="2"/>
  <c r="H285" i="2"/>
  <c r="O345" i="2"/>
  <c r="I379" i="2"/>
  <c r="I378" i="2"/>
  <c r="O495" i="2"/>
  <c r="O565" i="2"/>
  <c r="O564" i="2"/>
  <c r="I639" i="2"/>
  <c r="K304" i="2"/>
  <c r="K303" i="2"/>
  <c r="H430" i="2"/>
  <c r="H429" i="2"/>
  <c r="O489" i="2"/>
  <c r="I523" i="2"/>
  <c r="I522" i="2"/>
  <c r="O709" i="2"/>
  <c r="O708" i="2"/>
  <c r="O777" i="2"/>
  <c r="L900" i="2"/>
  <c r="L304" i="2"/>
  <c r="L303" i="2"/>
  <c r="L558" i="2"/>
  <c r="N627" i="2"/>
  <c r="H667" i="2"/>
  <c r="H666" i="2"/>
  <c r="L894" i="2"/>
  <c r="K355" i="2"/>
  <c r="K354" i="2"/>
  <c r="K448" i="2"/>
  <c r="K447" i="2"/>
  <c r="H574" i="2"/>
  <c r="H573" i="2"/>
  <c r="O633" i="2"/>
  <c r="I667" i="2"/>
  <c r="I666" i="2"/>
  <c r="K787" i="2"/>
  <c r="K786" i="2"/>
  <c r="H222" i="2"/>
  <c r="K756" i="2"/>
  <c r="N777" i="2"/>
  <c r="H783" i="2"/>
  <c r="K804" i="2"/>
  <c r="N825" i="2"/>
  <c r="H831" i="2"/>
  <c r="K852" i="2"/>
  <c r="N873" i="2"/>
  <c r="H879" i="2"/>
  <c r="K900" i="2"/>
</calcChain>
</file>

<file path=xl/sharedStrings.xml><?xml version="1.0" encoding="utf-8"?>
<sst xmlns="http://schemas.openxmlformats.org/spreadsheetml/2006/main" count="12746" uniqueCount="542">
  <si>
    <t>Place of origin</t>
  </si>
  <si>
    <t>Visual Genetic Cluster</t>
  </si>
  <si>
    <t>Genotype</t>
  </si>
  <si>
    <t>Treatment</t>
  </si>
  <si>
    <t>Rep</t>
  </si>
  <si>
    <t>DtF</t>
  </si>
  <si>
    <t>Plant Height (cm)</t>
  </si>
  <si>
    <t xml:space="preserve">plt/m2 </t>
  </si>
  <si>
    <t>1000 seed Protein</t>
  </si>
  <si>
    <t>1000 seed Fat</t>
  </si>
  <si>
    <t>Sri Lanka</t>
  </si>
  <si>
    <t>Fm104</t>
  </si>
  <si>
    <t>None</t>
  </si>
  <si>
    <t>n/a</t>
  </si>
  <si>
    <t>India</t>
  </si>
  <si>
    <t>Fm112</t>
  </si>
  <si>
    <t>Fm113</t>
  </si>
  <si>
    <t>Fm119</t>
  </si>
  <si>
    <t>Fm12</t>
  </si>
  <si>
    <t>Fm13</t>
  </si>
  <si>
    <t>*</t>
  </si>
  <si>
    <t>Fm131</t>
  </si>
  <si>
    <t>Malawi</t>
  </si>
  <si>
    <t>Fm132</t>
  </si>
  <si>
    <t>Cameroon</t>
  </si>
  <si>
    <t>Fm134</t>
  </si>
  <si>
    <t>Fm135</t>
  </si>
  <si>
    <t>Fm136</t>
  </si>
  <si>
    <t>Fm138</t>
  </si>
  <si>
    <t>Fm139</t>
  </si>
  <si>
    <t>Fm141</t>
  </si>
  <si>
    <t>Fm142</t>
  </si>
  <si>
    <t>Fm145</t>
  </si>
  <si>
    <t>Fm146</t>
  </si>
  <si>
    <t>Pakistan</t>
  </si>
  <si>
    <t>Fm150</t>
  </si>
  <si>
    <t>Fm157</t>
  </si>
  <si>
    <t>Fm161</t>
  </si>
  <si>
    <t>Fm170</t>
  </si>
  <si>
    <t>Fm172</t>
  </si>
  <si>
    <t>Fm173</t>
  </si>
  <si>
    <t>Fm174</t>
  </si>
  <si>
    <t>Fm175</t>
  </si>
  <si>
    <t>Fm176</t>
  </si>
  <si>
    <t>Fm177</t>
  </si>
  <si>
    <t>Fm180</t>
  </si>
  <si>
    <t>Fm181</t>
  </si>
  <si>
    <t>Fm184</t>
  </si>
  <si>
    <t>Fm185</t>
  </si>
  <si>
    <t>RUSSIAN FEDERATION</t>
  </si>
  <si>
    <t>Fm190</t>
  </si>
  <si>
    <t>Fm191</t>
  </si>
  <si>
    <t>China</t>
  </si>
  <si>
    <t>Fm193</t>
  </si>
  <si>
    <t>Fm194</t>
  </si>
  <si>
    <t>Greece</t>
  </si>
  <si>
    <t>Fm195</t>
  </si>
  <si>
    <t>Fm203</t>
  </si>
  <si>
    <t>Georgia</t>
  </si>
  <si>
    <t>Fm205</t>
  </si>
  <si>
    <t>Fm206</t>
  </si>
  <si>
    <t>Fm207</t>
  </si>
  <si>
    <t>Fm208</t>
  </si>
  <si>
    <t>Fm214</t>
  </si>
  <si>
    <t>Germany</t>
  </si>
  <si>
    <t>Fm215</t>
  </si>
  <si>
    <t>Bulgaria</t>
  </si>
  <si>
    <t>Fm216</t>
  </si>
  <si>
    <t>Fm219</t>
  </si>
  <si>
    <t>Hungary</t>
  </si>
  <si>
    <t>Fm220</t>
  </si>
  <si>
    <t>Fm221</t>
  </si>
  <si>
    <t>Fm225</t>
  </si>
  <si>
    <t>Fm227</t>
  </si>
  <si>
    <t>Fm228</t>
  </si>
  <si>
    <t>KOREA, SOUTH</t>
  </si>
  <si>
    <t>Fm232</t>
  </si>
  <si>
    <t>Fm233</t>
  </si>
  <si>
    <t>Fm234</t>
  </si>
  <si>
    <t>Fm235</t>
  </si>
  <si>
    <t>Fm236</t>
  </si>
  <si>
    <t>Italy</t>
  </si>
  <si>
    <t>Fm238</t>
  </si>
  <si>
    <t>Fm245</t>
  </si>
  <si>
    <t>Fm246</t>
  </si>
  <si>
    <t>Fm249</t>
  </si>
  <si>
    <t>Fm250</t>
  </si>
  <si>
    <t>Fm251</t>
  </si>
  <si>
    <t>Fm255</t>
  </si>
  <si>
    <t>Fm28</t>
  </si>
  <si>
    <t>Fm3</t>
  </si>
  <si>
    <t>Fm30</t>
  </si>
  <si>
    <t>Fm31</t>
  </si>
  <si>
    <t>Fm321</t>
  </si>
  <si>
    <t>CHINA</t>
  </si>
  <si>
    <t>Fm322</t>
  </si>
  <si>
    <t>Fm324</t>
  </si>
  <si>
    <t>Fm325</t>
  </si>
  <si>
    <t>Fm328</t>
  </si>
  <si>
    <t>Fm332</t>
  </si>
  <si>
    <t>Fm334</t>
  </si>
  <si>
    <t>Fm336</t>
  </si>
  <si>
    <t>Fm337</t>
  </si>
  <si>
    <t>Fm341</t>
  </si>
  <si>
    <t>Fm343</t>
  </si>
  <si>
    <t>Fm344</t>
  </si>
  <si>
    <t>Fm345</t>
  </si>
  <si>
    <t>Fm346</t>
  </si>
  <si>
    <t>Fm347</t>
  </si>
  <si>
    <t>Fm349</t>
  </si>
  <si>
    <t>Fm351</t>
  </si>
  <si>
    <t>Fm352</t>
  </si>
  <si>
    <t>Fm354</t>
  </si>
  <si>
    <t>Fm355</t>
  </si>
  <si>
    <t>Fm356</t>
  </si>
  <si>
    <t>Fm357</t>
  </si>
  <si>
    <t>Fm358</t>
  </si>
  <si>
    <t>Fm359</t>
  </si>
  <si>
    <t>Fm36</t>
  </si>
  <si>
    <t>Fm361</t>
  </si>
  <si>
    <t>Fm362</t>
  </si>
  <si>
    <t>Fm363</t>
  </si>
  <si>
    <t>Fm364</t>
  </si>
  <si>
    <t>Fm365</t>
  </si>
  <si>
    <t>Fm366</t>
  </si>
  <si>
    <t>Fm368</t>
  </si>
  <si>
    <t>Fm369</t>
  </si>
  <si>
    <t>Fm370</t>
  </si>
  <si>
    <t>Fm372</t>
  </si>
  <si>
    <t>Fm375</t>
  </si>
  <si>
    <t>Fm376</t>
  </si>
  <si>
    <t>Fm377</t>
  </si>
  <si>
    <t>Fm378</t>
  </si>
  <si>
    <t>Fm379</t>
  </si>
  <si>
    <t>Fm380</t>
  </si>
  <si>
    <t>Fm381</t>
  </si>
  <si>
    <t>Fm382</t>
  </si>
  <si>
    <t>Fm383</t>
  </si>
  <si>
    <t>Fm384</t>
  </si>
  <si>
    <t>Fm387</t>
  </si>
  <si>
    <t>Fm388</t>
  </si>
  <si>
    <t>Fm389</t>
  </si>
  <si>
    <t>Fm39</t>
  </si>
  <si>
    <t>Fm390</t>
  </si>
  <si>
    <t>Fm391</t>
  </si>
  <si>
    <t>Fm392</t>
  </si>
  <si>
    <t>Fm394</t>
  </si>
  <si>
    <t>Fm395</t>
  </si>
  <si>
    <t>Fm396</t>
  </si>
  <si>
    <t>Fm398</t>
  </si>
  <si>
    <t>Fm400</t>
  </si>
  <si>
    <t>Fm401</t>
  </si>
  <si>
    <t>Fm402</t>
  </si>
  <si>
    <t>Fm403</t>
  </si>
  <si>
    <t>Fm404</t>
  </si>
  <si>
    <t>Fm405</t>
  </si>
  <si>
    <t>Fm406</t>
  </si>
  <si>
    <t>Fm407</t>
  </si>
  <si>
    <t>Fm409</t>
  </si>
  <si>
    <t>Fm41</t>
  </si>
  <si>
    <t>Fm410</t>
  </si>
  <si>
    <t>Fm411</t>
  </si>
  <si>
    <t>Fm412</t>
  </si>
  <si>
    <t>Fm413</t>
  </si>
  <si>
    <t>Fm414</t>
  </si>
  <si>
    <t>Fm415</t>
  </si>
  <si>
    <t>Fm416</t>
  </si>
  <si>
    <t>Fm417</t>
  </si>
  <si>
    <t>Fm418</t>
  </si>
  <si>
    <t>Fm419</t>
  </si>
  <si>
    <t>Fm420</t>
  </si>
  <si>
    <t>Fm421</t>
  </si>
  <si>
    <t>KAZAKHSTAN</t>
  </si>
  <si>
    <t>Fm428</t>
  </si>
  <si>
    <t>Fm429</t>
  </si>
  <si>
    <t>Fm43</t>
  </si>
  <si>
    <t>Fm44</t>
  </si>
  <si>
    <t>Fm442</t>
  </si>
  <si>
    <t>Fm443</t>
  </si>
  <si>
    <t>Fm444</t>
  </si>
  <si>
    <t>Fm446</t>
  </si>
  <si>
    <t>Fm45</t>
  </si>
  <si>
    <t>GEORGIA</t>
  </si>
  <si>
    <t>Fm458</t>
  </si>
  <si>
    <t>Fm46</t>
  </si>
  <si>
    <t>Fm461</t>
  </si>
  <si>
    <t>Fm463</t>
  </si>
  <si>
    <t>Fm464</t>
  </si>
  <si>
    <t>Fm468</t>
  </si>
  <si>
    <t>UKRAINE</t>
  </si>
  <si>
    <t>Fm474</t>
  </si>
  <si>
    <t>Fm475</t>
  </si>
  <si>
    <t>Fm476</t>
  </si>
  <si>
    <t>Fm477</t>
  </si>
  <si>
    <t>Fm478</t>
  </si>
  <si>
    <t>Fm480</t>
  </si>
  <si>
    <t>Fm482</t>
  </si>
  <si>
    <t>Fm484</t>
  </si>
  <si>
    <t>Fm489</t>
  </si>
  <si>
    <t>Fm491</t>
  </si>
  <si>
    <t>Fm492</t>
  </si>
  <si>
    <t>Fm496</t>
  </si>
  <si>
    <t>Fm505</t>
  </si>
  <si>
    <t>Fm507</t>
  </si>
  <si>
    <t>Fm510</t>
  </si>
  <si>
    <t>Fm518</t>
  </si>
  <si>
    <t>Fm519</t>
  </si>
  <si>
    <t>Fm522</t>
  </si>
  <si>
    <t>Fm523</t>
  </si>
  <si>
    <t>UZBEKISTAN</t>
  </si>
  <si>
    <t>Fm524</t>
  </si>
  <si>
    <t>Fm537</t>
  </si>
  <si>
    <t>Fm54</t>
  </si>
  <si>
    <t>Fm55</t>
  </si>
  <si>
    <t>TURKEY</t>
  </si>
  <si>
    <t>Fm552</t>
  </si>
  <si>
    <t>SOUTH AFRICA</t>
  </si>
  <si>
    <t>Fm559</t>
  </si>
  <si>
    <t>Fm56</t>
  </si>
  <si>
    <t>AFGHANISTAN</t>
  </si>
  <si>
    <t>Fm560</t>
  </si>
  <si>
    <t>Fm566</t>
  </si>
  <si>
    <t>Fm569</t>
  </si>
  <si>
    <t>Fm57</t>
  </si>
  <si>
    <t>KENYA</t>
  </si>
  <si>
    <t>Fm573</t>
  </si>
  <si>
    <t>SPAIN</t>
  </si>
  <si>
    <t>Fm585</t>
  </si>
  <si>
    <t>BELGIUM</t>
  </si>
  <si>
    <t>Fm589</t>
  </si>
  <si>
    <t>LEBANON</t>
  </si>
  <si>
    <t>Fm590</t>
  </si>
  <si>
    <t>Fm592</t>
  </si>
  <si>
    <t>ETHIOPIA</t>
  </si>
  <si>
    <t>Fm595</t>
  </si>
  <si>
    <t>Fm597</t>
  </si>
  <si>
    <t>Fm599</t>
  </si>
  <si>
    <t>Fm60</t>
  </si>
  <si>
    <t>Fm600</t>
  </si>
  <si>
    <t>Fm601</t>
  </si>
  <si>
    <t>Fm603</t>
  </si>
  <si>
    <t>Fm609</t>
  </si>
  <si>
    <t>Fm610</t>
  </si>
  <si>
    <t>Fm611</t>
  </si>
  <si>
    <t>Fm612</t>
  </si>
  <si>
    <t>MOROCCO</t>
  </si>
  <si>
    <t>Fm614</t>
  </si>
  <si>
    <t>FRANCE</t>
  </si>
  <si>
    <t>Fm615</t>
  </si>
  <si>
    <t>Fm616</t>
  </si>
  <si>
    <t>Fm620</t>
  </si>
  <si>
    <t>Fm621</t>
  </si>
  <si>
    <t>Fm63</t>
  </si>
  <si>
    <t>Fm65</t>
  </si>
  <si>
    <t>Fm74</t>
  </si>
  <si>
    <t>Fm78</t>
  </si>
  <si>
    <t>Fm79</t>
  </si>
  <si>
    <t>Fm81</t>
  </si>
  <si>
    <t>Fm83</t>
  </si>
  <si>
    <t>Fm84</t>
  </si>
  <si>
    <t>Fm86</t>
  </si>
  <si>
    <t>Fm87</t>
  </si>
  <si>
    <t>Fm88</t>
  </si>
  <si>
    <t>Fm91</t>
  </si>
  <si>
    <t>Fm96</t>
  </si>
  <si>
    <t>Fm97</t>
  </si>
  <si>
    <t>Geno</t>
  </si>
  <si>
    <t>Block</t>
  </si>
  <si>
    <t>Plants/m2</t>
  </si>
  <si>
    <t>Ave</t>
  </si>
  <si>
    <t>Std</t>
  </si>
  <si>
    <t>Tillers</t>
  </si>
  <si>
    <t>Height</t>
  </si>
  <si>
    <t>Days to Harvest</t>
  </si>
  <si>
    <t>NVDI</t>
  </si>
  <si>
    <t>NVDI transformed</t>
  </si>
  <si>
    <t>Flourescence</t>
  </si>
  <si>
    <t>Flourescence transformed</t>
  </si>
  <si>
    <t>M 134</t>
  </si>
  <si>
    <t>Source</t>
  </si>
  <si>
    <t>d.f.</t>
  </si>
  <si>
    <t>s.s.</t>
  </si>
  <si>
    <t>m.s.</t>
  </si>
  <si>
    <t>v.r.</t>
  </si>
  <si>
    <t>F pr.</t>
  </si>
  <si>
    <t>ANOVA table</t>
  </si>
  <si>
    <t>SS (Type III)</t>
  </si>
  <si>
    <t>DF</t>
  </si>
  <si>
    <t>MS</t>
  </si>
  <si>
    <t>F (DFn, DFd)</t>
  </si>
  <si>
    <t>P value</t>
  </si>
  <si>
    <t>    Interaction</t>
  </si>
  <si>
    <t>F (149, 586) = 0.8745</t>
  </si>
  <si>
    <t>P=0.8396</t>
  </si>
  <si>
    <t>M 156</t>
  </si>
  <si>
    <t>Geno ignoring Treatment</t>
  </si>
  <si>
    <t xml:space="preserve"> &lt; 0.001</t>
  </si>
  <si>
    <t>    Genotype</t>
  </si>
  <si>
    <t>F (149, 586) = 125.1</t>
  </si>
  <si>
    <t>P&lt;0.0001</t>
  </si>
  <si>
    <t>Geno eliminating Treatment</t>
  </si>
  <si>
    <t>    Treatment</t>
  </si>
  <si>
    <t>F (1, 586) = 6.952</t>
  </si>
  <si>
    <t>P=0.0086</t>
  </si>
  <si>
    <t>Treatment ignoring Geno</t>
  </si>
  <si>
    <t>    Residual</t>
  </si>
  <si>
    <t>M 161</t>
  </si>
  <si>
    <t>Treatment eliminating Geno</t>
  </si>
  <si>
    <t>Geno.Treatment</t>
  </si>
  <si>
    <t>Residual</t>
  </si>
  <si>
    <t xml:space="preserve">  </t>
  </si>
  <si>
    <t>M 168</t>
  </si>
  <si>
    <t>Total</t>
  </si>
  <si>
    <t xml:space="preserve"> </t>
  </si>
  <si>
    <t>M 170</t>
  </si>
  <si>
    <t>M 173</t>
  </si>
  <si>
    <t>M 174</t>
  </si>
  <si>
    <t>M 176</t>
  </si>
  <si>
    <t>M 181</t>
  </si>
  <si>
    <t>M 185</t>
  </si>
  <si>
    <t>M 190</t>
  </si>
  <si>
    <t>M 193</t>
  </si>
  <si>
    <t>Green seek</t>
  </si>
  <si>
    <t>M 194</t>
  </si>
  <si>
    <t>M 195</t>
  </si>
  <si>
    <t>M 20</t>
  </si>
  <si>
    <t>M 203</t>
  </si>
  <si>
    <t>Fluo</t>
  </si>
  <si>
    <t>M 208</t>
  </si>
  <si>
    <t>M 214</t>
  </si>
  <si>
    <t>M 215</t>
  </si>
  <si>
    <t>M 216</t>
  </si>
  <si>
    <t>M 219</t>
  </si>
  <si>
    <t>M 221</t>
  </si>
  <si>
    <t>Correlations</t>
  </si>
  <si>
    <t>M 225</t>
  </si>
  <si>
    <t xml:space="preserve"> -</t>
  </si>
  <si>
    <t>Flouresc</t>
  </si>
  <si>
    <t>M 227</t>
  </si>
  <si>
    <t>Green</t>
  </si>
  <si>
    <t>M 233</t>
  </si>
  <si>
    <t>Number of observations: 882</t>
  </si>
  <si>
    <t>M 235</t>
  </si>
  <si>
    <t>Two-sided test of correlations different from zero</t>
  </si>
  <si>
    <t>M 236</t>
  </si>
  <si>
    <t>M 238</t>
  </si>
  <si>
    <t xml:space="preserve"> &lt;0.001</t>
  </si>
  <si>
    <t>M 249</t>
  </si>
  <si>
    <t>M 250</t>
  </si>
  <si>
    <t>M 3</t>
  </si>
  <si>
    <t>M 321</t>
  </si>
  <si>
    <t>M 322</t>
  </si>
  <si>
    <t>M 337</t>
  </si>
  <si>
    <t>M 341</t>
  </si>
  <si>
    <t>M 343</t>
  </si>
  <si>
    <t>M 344</t>
  </si>
  <si>
    <t>M 345</t>
  </si>
  <si>
    <t>M 346</t>
  </si>
  <si>
    <t>M 347</t>
  </si>
  <si>
    <t>M 349</t>
  </si>
  <si>
    <t>M 351</t>
  </si>
  <si>
    <t>M 352</t>
  </si>
  <si>
    <t>M 354</t>
  </si>
  <si>
    <t>M 355</t>
  </si>
  <si>
    <t>M 356</t>
  </si>
  <si>
    <t>M 358</t>
  </si>
  <si>
    <t>M 359</t>
  </si>
  <si>
    <t>M 36</t>
  </si>
  <si>
    <t>M 361</t>
  </si>
  <si>
    <t>M 363</t>
  </si>
  <si>
    <t>M 364</t>
  </si>
  <si>
    <t>M 365</t>
  </si>
  <si>
    <t>M 366</t>
  </si>
  <si>
    <t>M 368</t>
  </si>
  <si>
    <t>M 369</t>
  </si>
  <si>
    <t>M 370</t>
  </si>
  <si>
    <t>M 372</t>
  </si>
  <si>
    <t>M 375</t>
  </si>
  <si>
    <t>M 376</t>
  </si>
  <si>
    <t>M 377</t>
  </si>
  <si>
    <t>M 378</t>
  </si>
  <si>
    <t>M 379</t>
  </si>
  <si>
    <t>M 380</t>
  </si>
  <si>
    <t>M 381</t>
  </si>
  <si>
    <t>M 382</t>
  </si>
  <si>
    <t>M 384</t>
  </si>
  <si>
    <t>M 387</t>
  </si>
  <si>
    <t>M 388</t>
  </si>
  <si>
    <t>M 389</t>
  </si>
  <si>
    <t>M 391</t>
  </si>
  <si>
    <t>M 392</t>
  </si>
  <si>
    <t>M 394</t>
  </si>
  <si>
    <t>M 395</t>
  </si>
  <si>
    <t>M 396</t>
  </si>
  <si>
    <t>M 398</t>
  </si>
  <si>
    <t>M 400</t>
  </si>
  <si>
    <t>M 401</t>
  </si>
  <si>
    <t>M 402</t>
  </si>
  <si>
    <t>M 404</t>
  </si>
  <si>
    <t>M 405</t>
  </si>
  <si>
    <t>M 406</t>
  </si>
  <si>
    <t>M 407</t>
  </si>
  <si>
    <t>M 41</t>
  </si>
  <si>
    <t>M 410</t>
  </si>
  <si>
    <t>M 411</t>
  </si>
  <si>
    <t>M 412</t>
  </si>
  <si>
    <t>M 413</t>
  </si>
  <si>
    <t>M 414</t>
  </si>
  <si>
    <t>M 415</t>
  </si>
  <si>
    <t>M 416</t>
  </si>
  <si>
    <t>M 417</t>
  </si>
  <si>
    <t>M 418</t>
  </si>
  <si>
    <t>M 419</t>
  </si>
  <si>
    <t>M 420</t>
  </si>
  <si>
    <t>M 421</t>
  </si>
  <si>
    <t>M 428</t>
  </si>
  <si>
    <t>M 429</t>
  </si>
  <si>
    <t>M 43</t>
  </si>
  <si>
    <t>M 44</t>
  </si>
  <si>
    <t>M 442</t>
  </si>
  <si>
    <t>M 443</t>
  </si>
  <si>
    <t>M 444</t>
  </si>
  <si>
    <t>M 446</t>
  </si>
  <si>
    <t>M 458</t>
  </si>
  <si>
    <t>M 464</t>
  </si>
  <si>
    <t>M 474</t>
  </si>
  <si>
    <t>M 475</t>
  </si>
  <si>
    <t>M 477</t>
  </si>
  <si>
    <t>M 478</t>
  </si>
  <si>
    <t>M 480</t>
  </si>
  <si>
    <t>M 482</t>
  </si>
  <si>
    <t>M 484</t>
  </si>
  <si>
    <t>M 489</t>
  </si>
  <si>
    <t>M 491</t>
  </si>
  <si>
    <t>M 492</t>
  </si>
  <si>
    <t>M 496</t>
  </si>
  <si>
    <t>M 505</t>
  </si>
  <si>
    <t>M 507</t>
  </si>
  <si>
    <t>M 510</t>
  </si>
  <si>
    <t>M 518</t>
  </si>
  <si>
    <t>M 519</t>
  </si>
  <si>
    <t>M 522</t>
  </si>
  <si>
    <t>M 523</t>
  </si>
  <si>
    <t>M 524</t>
  </si>
  <si>
    <t>M 537</t>
  </si>
  <si>
    <t>M 552</t>
  </si>
  <si>
    <t>M 56</t>
  </si>
  <si>
    <t>M 560</t>
  </si>
  <si>
    <t>M 566</t>
  </si>
  <si>
    <t>M 569</t>
  </si>
  <si>
    <t>M 585</t>
  </si>
  <si>
    <t>M 589</t>
  </si>
  <si>
    <t>M 590</t>
  </si>
  <si>
    <t>M 592</t>
  </si>
  <si>
    <t>M 600</t>
  </si>
  <si>
    <t>M 601</t>
  </si>
  <si>
    <t>M 610</t>
  </si>
  <si>
    <t>M 611</t>
  </si>
  <si>
    <t>M 612</t>
  </si>
  <si>
    <t>M 614</t>
  </si>
  <si>
    <t>M 615</t>
  </si>
  <si>
    <t>M 616</t>
  </si>
  <si>
    <t>M 620</t>
  </si>
  <si>
    <t>M 621</t>
  </si>
  <si>
    <t>M 65</t>
  </si>
  <si>
    <t>M 78</t>
  </si>
  <si>
    <t>M 79</t>
  </si>
  <si>
    <t>M 86</t>
  </si>
  <si>
    <t>M 9</t>
  </si>
  <si>
    <t>Year</t>
  </si>
  <si>
    <t>1000 seed weight (gr) (Agnes)</t>
  </si>
  <si>
    <t>plt/m2 (Agnes)</t>
  </si>
  <si>
    <t>% Protein (Charlotte)</t>
  </si>
  <si>
    <t>fat (%) (Louise)</t>
  </si>
  <si>
    <t>Panicle length cm (Luis and Millie)</t>
  </si>
  <si>
    <t>Pedecile length cm (Luis and Millie)</t>
  </si>
  <si>
    <t>Fm197</t>
  </si>
  <si>
    <t>Qu8</t>
  </si>
  <si>
    <t>Qu 9</t>
  </si>
  <si>
    <t>Qu 8</t>
  </si>
  <si>
    <t>Qu9</t>
  </si>
  <si>
    <t>Qu 5</t>
  </si>
  <si>
    <t>Fm408</t>
  </si>
  <si>
    <t>Qu 4</t>
  </si>
  <si>
    <t>Qu5</t>
  </si>
  <si>
    <t>Qu1</t>
  </si>
  <si>
    <t>Qu7</t>
  </si>
  <si>
    <t>Fm179</t>
  </si>
  <si>
    <t>Qu 7</t>
  </si>
  <si>
    <t>Fm371</t>
  </si>
  <si>
    <t>Qu 2</t>
  </si>
  <si>
    <t>Qu3</t>
  </si>
  <si>
    <t>Qu 3</t>
  </si>
  <si>
    <t>Qu 1</t>
  </si>
  <si>
    <t>Qu10</t>
  </si>
  <si>
    <t>Fm399</t>
  </si>
  <si>
    <t>Qu4</t>
  </si>
  <si>
    <t>Qu 6</t>
  </si>
  <si>
    <t>Qu 10</t>
  </si>
  <si>
    <t>Qu6</t>
  </si>
  <si>
    <t>Qu2</t>
  </si>
  <si>
    <t>Foxtail millet, 166 genotypes, 2 nitrogen levels, 3 rows per rep (half plot), 3 reps</t>
  </si>
  <si>
    <t>Seedbed</t>
  </si>
  <si>
    <t>GS: 31</t>
  </si>
  <si>
    <t>N1</t>
  </si>
  <si>
    <t>N2</t>
  </si>
  <si>
    <t>Q 1</t>
  </si>
  <si>
    <t>Q 6</t>
  </si>
  <si>
    <t>Q 10</t>
  </si>
  <si>
    <t>Q 4</t>
  </si>
  <si>
    <t>Q 11</t>
  </si>
  <si>
    <t>Q 3</t>
  </si>
  <si>
    <t>Q 9</t>
  </si>
  <si>
    <t>Q 5</t>
  </si>
  <si>
    <t>Q 14</t>
  </si>
  <si>
    <t>Q 12</t>
  </si>
  <si>
    <t>Q 13</t>
  </si>
  <si>
    <t>Q 16</t>
  </si>
  <si>
    <t>Q 2</t>
  </si>
  <si>
    <t>Q 8</t>
  </si>
  <si>
    <t>Q 7</t>
  </si>
  <si>
    <t>Q 15</t>
  </si>
  <si>
    <t>Barley</t>
  </si>
  <si>
    <t>Trait</t>
  </si>
  <si>
    <t>Method</t>
  </si>
  <si>
    <t>Days to first or 50% flowering</t>
  </si>
  <si>
    <t>Visual examination to observe the resproductive organs of the crop.</t>
  </si>
  <si>
    <t>With ruller or measurement tape, a height measurement was taken from ground to the highest point of the crop (panicle) after flowering</t>
  </si>
  <si>
    <t>Seed establishment (Agnes)</t>
  </si>
  <si>
    <t>Seed establishment Luis</t>
  </si>
  <si>
    <t>Per block, all the seedlings where visually counted at 40 days after sowing.</t>
  </si>
  <si>
    <t>1000 seed weight (Agnes)</t>
  </si>
  <si>
    <t>% Protein content (Charlotte)</t>
  </si>
  <si>
    <t xml:space="preserve">% Fat content (Louise) </t>
  </si>
  <si>
    <t>Panicle and pedicle length</t>
  </si>
  <si>
    <t>Using Fiji software, images of the millet panicles where measured based on number of pixels compared to a ruller in the picture.</t>
  </si>
  <si>
    <t>No of Tillers</t>
  </si>
  <si>
    <t>All tillers in a block were visually counted for and the average per block calculated.</t>
  </si>
  <si>
    <t>Using greenseeker, a measurement was done prior to harvest, per the manual instructions of the device.</t>
  </si>
  <si>
    <t>Chlorophyll Fluorescence</t>
  </si>
  <si>
    <t>Using a dark adapting clip, 1 clip per plant (3 plants per block) were clipped in a random flag leaf prior to harvest. Dark adaptation took 30 min and subsequently a measurement of QY using the fluorpen was perform as per the equipment instructions.</t>
  </si>
  <si>
    <t xml:space="preserve"> %Protein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</si>
</sst>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9"/>
      <name val="Arial"/>
      <family val="2"/>
    </font>
    <font>
      <sz val="9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42"/>
      <color theme="1"/>
      <name val="Aptos Narrow"/>
      <family val="2"/>
      <scheme val="minor"/>
    </font>
    <font>
      <sz val="12"/>
      <name val="Verdana"/>
      <family val="2"/>
    </font>
    <font>
      <b/>
      <sz val="36"/>
      <name val="Verdana"/>
      <family val="2"/>
    </font>
    <font>
      <sz val="36"/>
      <name val="Verdana"/>
      <family val="2"/>
    </font>
    <font>
      <sz val="24"/>
      <color theme="1"/>
      <name val="Aptos Narrow"/>
      <family val="2"/>
      <scheme val="minor"/>
    </font>
    <font>
      <sz val="2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9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6" fillId="3" borderId="3" xfId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3" borderId="4" xfId="1" applyFont="1" applyFill="1" applyBorder="1" applyAlignment="1">
      <alignment horizontal="center" vertical="center"/>
    </xf>
    <xf numFmtId="0" fontId="5" fillId="0" borderId="0" xfId="0" applyFont="1"/>
    <xf numFmtId="0" fontId="5" fillId="0" borderId="3" xfId="0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2" applyFont="1"/>
    <xf numFmtId="0" fontId="0" fillId="4" borderId="13" xfId="0" applyFill="1" applyBorder="1"/>
    <xf numFmtId="0" fontId="0" fillId="4" borderId="14" xfId="0" applyFill="1" applyBorder="1"/>
    <xf numFmtId="0" fontId="0" fillId="4" borderId="0" xfId="0" applyFill="1"/>
    <xf numFmtId="0" fontId="0" fillId="4" borderId="17" xfId="0" applyFill="1" applyBorder="1"/>
    <xf numFmtId="0" fontId="0" fillId="4" borderId="19" xfId="0" applyFill="1" applyBorder="1"/>
    <xf numFmtId="0" fontId="0" fillId="4" borderId="2" xfId="0" applyFill="1" applyBorder="1"/>
    <xf numFmtId="0" fontId="0" fillId="4" borderId="20" xfId="0" applyFill="1" applyBorder="1"/>
    <xf numFmtId="0" fontId="0" fillId="0" borderId="20" xfId="0" applyBorder="1"/>
    <xf numFmtId="0" fontId="0" fillId="0" borderId="19" xfId="0" applyBorder="1"/>
    <xf numFmtId="0" fontId="0" fillId="3" borderId="17" xfId="0" applyFill="1" applyBorder="1"/>
    <xf numFmtId="0" fontId="0" fillId="3" borderId="0" xfId="0" applyFill="1"/>
    <xf numFmtId="0" fontId="0" fillId="0" borderId="25" xfId="0" applyBorder="1"/>
    <xf numFmtId="0" fontId="0" fillId="3" borderId="2" xfId="0" applyFill="1" applyBorder="1"/>
    <xf numFmtId="0" fontId="0" fillId="3" borderId="20" xfId="0" applyFill="1" applyBorder="1"/>
    <xf numFmtId="0" fontId="0" fillId="3" borderId="19" xfId="0" applyFill="1" applyBorder="1"/>
    <xf numFmtId="0" fontId="0" fillId="3" borderId="30" xfId="0" applyFill="1" applyBorder="1"/>
    <xf numFmtId="0" fontId="0" fillId="3" borderId="31" xfId="0" applyFill="1" applyBorder="1"/>
    <xf numFmtId="0" fontId="0" fillId="3" borderId="13" xfId="0" applyFill="1" applyBorder="1"/>
    <xf numFmtId="0" fontId="0" fillId="3" borderId="14" xfId="0" applyFill="1" applyBorder="1"/>
    <xf numFmtId="0" fontId="0" fillId="0" borderId="17" xfId="0" applyBorder="1"/>
    <xf numFmtId="0" fontId="0" fillId="0" borderId="0" xfId="0" applyAlignment="1">
      <alignment horizontal="center"/>
    </xf>
    <xf numFmtId="0" fontId="0" fillId="0" borderId="30" xfId="0" applyBorder="1"/>
    <xf numFmtId="0" fontId="0" fillId="0" borderId="31" xfId="0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6" xfId="2" applyFont="1" applyBorder="1" applyAlignment="1">
      <alignment horizontal="center"/>
    </xf>
    <xf numFmtId="0" fontId="12" fillId="0" borderId="7" xfId="2" applyFont="1" applyBorder="1" applyAlignment="1">
      <alignment horizontal="center"/>
    </xf>
    <xf numFmtId="0" fontId="13" fillId="4" borderId="3" xfId="2" applyFont="1" applyFill="1" applyBorder="1" applyAlignment="1">
      <alignment horizontal="center" vertical="center"/>
    </xf>
    <xf numFmtId="0" fontId="13" fillId="0" borderId="8" xfId="2" applyFont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3" fillId="0" borderId="9" xfId="2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3" fillId="3" borderId="3" xfId="2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29" xfId="0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</cellXfs>
  <cellStyles count="3">
    <cellStyle name="Normal" xfId="0" builtinId="0"/>
    <cellStyle name="Normal 2 2" xfId="1" xr:uid="{7F1D8110-F50F-459C-94B3-C4BEE547178D}"/>
    <cellStyle name="Normal 4" xfId="2" xr:uid="{488648B9-6B4E-4307-BAC3-8ECA616A0D8D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311150</xdr:colOff>
      <xdr:row>61</xdr:row>
      <xdr:rowOff>114300</xdr:rowOff>
    </xdr:from>
    <xdr:to>
      <xdr:col>43</xdr:col>
      <xdr:colOff>31112</xdr:colOff>
      <xdr:row>92</xdr:row>
      <xdr:rowOff>119936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47C026-8A99-4CC4-BB6F-4178420C9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8750" y="11734800"/>
          <a:ext cx="4911087" cy="59111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234860</xdr:colOff>
      <xdr:row>0</xdr:row>
      <xdr:rowOff>81330</xdr:rowOff>
    </xdr:from>
    <xdr:ext cx="674434" cy="502269"/>
    <xdr:pic>
      <xdr:nvPicPr>
        <xdr:cNvPr id="2" name="Picture 1">
          <a:extLst>
            <a:ext uri="{FF2B5EF4-FFF2-40B4-BE49-F238E27FC236}">
              <a16:creationId xmlns:a16="http://schemas.microsoft.com/office/drawing/2014/main" id="{6C1440FD-5D9B-4CB2-B5AD-5F3BE9473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5265362">
          <a:off x="7483742" y="-4752"/>
          <a:ext cx="502269" cy="674434"/>
        </a:xfrm>
        <a:prstGeom prst="rect">
          <a:avLst/>
        </a:prstGeom>
      </xdr:spPr>
    </xdr:pic>
    <xdr:clientData/>
  </xdr:oneCellAnchor>
  <xdr:oneCellAnchor>
    <xdr:from>
      <xdr:col>30</xdr:col>
      <xdr:colOff>224117</xdr:colOff>
      <xdr:row>0</xdr:row>
      <xdr:rowOff>126154</xdr:rowOff>
    </xdr:from>
    <xdr:ext cx="674434" cy="502269"/>
    <xdr:pic>
      <xdr:nvPicPr>
        <xdr:cNvPr id="3" name="Picture 2">
          <a:extLst>
            <a:ext uri="{FF2B5EF4-FFF2-40B4-BE49-F238E27FC236}">
              <a16:creationId xmlns:a16="http://schemas.microsoft.com/office/drawing/2014/main" id="{C83E7C8A-DF9B-45F9-AA83-C93FD4F6E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5265362">
          <a:off x="15397799" y="40072"/>
          <a:ext cx="502269" cy="674434"/>
        </a:xfrm>
        <a:prstGeom prst="rect">
          <a:avLst/>
        </a:prstGeom>
      </xdr:spPr>
    </xdr:pic>
    <xdr:clientData/>
  </xdr:oneCellAnchor>
  <xdr:oneCellAnchor>
    <xdr:from>
      <xdr:col>46</xdr:col>
      <xdr:colOff>224117</xdr:colOff>
      <xdr:row>0</xdr:row>
      <xdr:rowOff>168089</xdr:rowOff>
    </xdr:from>
    <xdr:ext cx="674434" cy="502269"/>
    <xdr:pic>
      <xdr:nvPicPr>
        <xdr:cNvPr id="4" name="Picture 3">
          <a:extLst>
            <a:ext uri="{FF2B5EF4-FFF2-40B4-BE49-F238E27FC236}">
              <a16:creationId xmlns:a16="http://schemas.microsoft.com/office/drawing/2014/main" id="{CBD97B83-DA44-4368-BEE4-997ED10CB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5265362">
          <a:off x="23322599" y="82007"/>
          <a:ext cx="502269" cy="674434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luis_salazarlicea1_nottingham_ac_uk/Documents/Postdoc/Millets/Field%202024/2024%20-%20GM,%20Luis,%20Millet%20and%20Vetch.xlsx" TargetMode="External"/><Relationship Id="rId2" Type="http://schemas.openxmlformats.org/officeDocument/2006/relationships/externalLinkPath" Target="https://uniofnottm-my.sharepoint.com/personal/luis_salazarlicea1_nottingham_ac_uk/Documents/Postdoc/Millets/Field%202024/2024%20-%20GM,%20Luis,%20Millet%20and%20Vetch.xlsx" TargetMode="External"/><Relationship Id="rId1" Type="http://schemas.openxmlformats.org/officeDocument/2006/relationships/externalLinkPath" Target="/personal/luis_salazarlicea1_nottingham_ac_uk/Documents/Postdoc/Millets/Field%202024/2024%20-%20GM,%20Luis,%20Millet%20and%20Vet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gronomy"/>
      <sheetName val="Vetch - Trial Plan"/>
      <sheetName val="Vetch - Plot Contents"/>
      <sheetName val="Vetch - Sowing"/>
      <sheetName val="List of Millet"/>
      <sheetName val="Millet - Plot Contents"/>
      <sheetName val="Millet seed stablishment1"/>
      <sheetName val="Seed stablishment initial stats"/>
      <sheetName val="Millet - Trial Plan"/>
      <sheetName val="Rack Plan"/>
      <sheetName val="Millet - Large Plan"/>
      <sheetName val="Millet - Sowing Racks"/>
    </sheetNames>
    <sheetDataSet>
      <sheetData sheetId="0"/>
      <sheetData sheetId="1"/>
      <sheetData sheetId="2"/>
      <sheetData sheetId="3"/>
      <sheetData sheetId="4"/>
      <sheetData sheetId="5">
        <row r="2">
          <cell r="A2">
            <v>1</v>
          </cell>
          <cell r="B2" t="str">
            <v>M 417</v>
          </cell>
        </row>
        <row r="3">
          <cell r="A3">
            <v>2</v>
          </cell>
          <cell r="B3" t="str">
            <v>M 389</v>
          </cell>
        </row>
        <row r="4">
          <cell r="A4">
            <v>3</v>
          </cell>
          <cell r="B4" t="str">
            <v>M 428</v>
          </cell>
        </row>
        <row r="5">
          <cell r="A5">
            <v>4</v>
          </cell>
          <cell r="B5" t="str">
            <v>M 337</v>
          </cell>
        </row>
        <row r="6">
          <cell r="A6">
            <v>5</v>
          </cell>
          <cell r="B6" t="str">
            <v>M 372</v>
          </cell>
        </row>
        <row r="7">
          <cell r="A7">
            <v>6</v>
          </cell>
          <cell r="B7" t="str">
            <v>M 482</v>
          </cell>
        </row>
        <row r="8">
          <cell r="A8">
            <v>7</v>
          </cell>
          <cell r="B8" t="str">
            <v>M 235</v>
          </cell>
        </row>
        <row r="9">
          <cell r="A9">
            <v>8</v>
          </cell>
          <cell r="B9" t="str">
            <v>Q 1</v>
          </cell>
        </row>
        <row r="10">
          <cell r="A10">
            <v>9</v>
          </cell>
          <cell r="B10" t="str">
            <v>M 615</v>
          </cell>
        </row>
        <row r="11">
          <cell r="A11">
            <v>10</v>
          </cell>
          <cell r="B11" t="str">
            <v>M 585</v>
          </cell>
        </row>
        <row r="12">
          <cell r="A12">
            <v>11</v>
          </cell>
          <cell r="B12" t="str">
            <v>M 79</v>
          </cell>
        </row>
        <row r="13">
          <cell r="A13">
            <v>12</v>
          </cell>
          <cell r="B13" t="str">
            <v>M 44</v>
          </cell>
        </row>
        <row r="14">
          <cell r="A14">
            <v>13</v>
          </cell>
          <cell r="B14" t="str">
            <v>M 552</v>
          </cell>
        </row>
        <row r="15">
          <cell r="A15">
            <v>14</v>
          </cell>
          <cell r="B15" t="str">
            <v>M 352</v>
          </cell>
        </row>
        <row r="16">
          <cell r="A16">
            <v>15</v>
          </cell>
          <cell r="B16" t="str">
            <v>M 458</v>
          </cell>
        </row>
        <row r="17">
          <cell r="A17">
            <v>16</v>
          </cell>
          <cell r="B17" t="str">
            <v>M 238</v>
          </cell>
        </row>
        <row r="18">
          <cell r="A18">
            <v>17</v>
          </cell>
          <cell r="B18" t="str">
            <v>M 214</v>
          </cell>
        </row>
        <row r="19">
          <cell r="A19">
            <v>18</v>
          </cell>
          <cell r="B19" t="str">
            <v>M 614</v>
          </cell>
        </row>
        <row r="20">
          <cell r="A20">
            <v>19</v>
          </cell>
          <cell r="B20" t="str">
            <v>M 250</v>
          </cell>
        </row>
        <row r="21">
          <cell r="A21">
            <v>20</v>
          </cell>
          <cell r="B21" t="str">
            <v>M 370</v>
          </cell>
        </row>
        <row r="22">
          <cell r="A22">
            <v>21</v>
          </cell>
          <cell r="B22" t="str">
            <v>M 361</v>
          </cell>
        </row>
        <row r="23">
          <cell r="A23">
            <v>22</v>
          </cell>
          <cell r="B23" t="str">
            <v>M 429</v>
          </cell>
        </row>
        <row r="24">
          <cell r="A24">
            <v>23</v>
          </cell>
          <cell r="B24" t="str">
            <v>M 65</v>
          </cell>
        </row>
        <row r="25">
          <cell r="A25">
            <v>24</v>
          </cell>
          <cell r="B25" t="str">
            <v>M 193</v>
          </cell>
        </row>
        <row r="26">
          <cell r="A26">
            <v>25</v>
          </cell>
          <cell r="B26" t="str">
            <v>M 134</v>
          </cell>
        </row>
        <row r="27">
          <cell r="A27">
            <v>26</v>
          </cell>
          <cell r="B27" t="str">
            <v>M 464</v>
          </cell>
        </row>
        <row r="28">
          <cell r="A28">
            <v>27</v>
          </cell>
          <cell r="B28" t="str">
            <v>M 181</v>
          </cell>
        </row>
        <row r="29">
          <cell r="A29">
            <v>28</v>
          </cell>
          <cell r="B29" t="str">
            <v>M 518</v>
          </cell>
        </row>
        <row r="30">
          <cell r="A30">
            <v>29</v>
          </cell>
          <cell r="B30" t="str">
            <v>Q 6</v>
          </cell>
        </row>
        <row r="31">
          <cell r="A31">
            <v>30</v>
          </cell>
          <cell r="B31" t="str">
            <v>Q 10</v>
          </cell>
        </row>
        <row r="32">
          <cell r="A32">
            <v>31</v>
          </cell>
          <cell r="B32" t="str">
            <v>M 322</v>
          </cell>
        </row>
        <row r="33">
          <cell r="A33">
            <v>32</v>
          </cell>
          <cell r="B33" t="str">
            <v>Q 4</v>
          </cell>
        </row>
        <row r="34">
          <cell r="A34">
            <v>33</v>
          </cell>
          <cell r="B34" t="str">
            <v>M 387</v>
          </cell>
        </row>
        <row r="35">
          <cell r="A35">
            <v>34</v>
          </cell>
          <cell r="B35" t="str">
            <v>M 592</v>
          </cell>
        </row>
        <row r="36">
          <cell r="A36">
            <v>35</v>
          </cell>
          <cell r="B36" t="str">
            <v>M 404</v>
          </cell>
        </row>
        <row r="37">
          <cell r="A37">
            <v>36</v>
          </cell>
          <cell r="B37" t="str">
            <v>M 401</v>
          </cell>
        </row>
        <row r="38">
          <cell r="A38">
            <v>37</v>
          </cell>
          <cell r="B38" t="str">
            <v>M 388</v>
          </cell>
        </row>
        <row r="39">
          <cell r="A39">
            <v>38</v>
          </cell>
          <cell r="B39" t="str">
            <v>M 156</v>
          </cell>
        </row>
        <row r="40">
          <cell r="A40">
            <v>39</v>
          </cell>
          <cell r="B40" t="str">
            <v>M 420</v>
          </cell>
        </row>
        <row r="41">
          <cell r="A41">
            <v>40</v>
          </cell>
          <cell r="B41" t="str">
            <v>M 522</v>
          </cell>
        </row>
        <row r="42">
          <cell r="A42">
            <v>41</v>
          </cell>
          <cell r="B42" t="str">
            <v>M 170</v>
          </cell>
        </row>
        <row r="43">
          <cell r="A43">
            <v>42</v>
          </cell>
          <cell r="B43" t="str">
            <v>M 396</v>
          </cell>
        </row>
        <row r="44">
          <cell r="A44">
            <v>43</v>
          </cell>
          <cell r="B44" t="str">
            <v>M 346</v>
          </cell>
        </row>
        <row r="45">
          <cell r="A45">
            <v>44</v>
          </cell>
          <cell r="B45" t="str">
            <v>M 359</v>
          </cell>
        </row>
        <row r="46">
          <cell r="A46">
            <v>45</v>
          </cell>
          <cell r="B46" t="str">
            <v>M 216</v>
          </cell>
        </row>
        <row r="47">
          <cell r="A47">
            <v>46</v>
          </cell>
          <cell r="B47" t="str">
            <v>M 375</v>
          </cell>
        </row>
        <row r="48">
          <cell r="A48">
            <v>47</v>
          </cell>
          <cell r="B48" t="str">
            <v>M 611</v>
          </cell>
        </row>
        <row r="49">
          <cell r="A49">
            <v>48</v>
          </cell>
          <cell r="B49" t="str">
            <v>M 368</v>
          </cell>
        </row>
        <row r="50">
          <cell r="A50">
            <v>49</v>
          </cell>
          <cell r="B50" t="str">
            <v>M 369</v>
          </cell>
        </row>
        <row r="51">
          <cell r="A51">
            <v>50</v>
          </cell>
          <cell r="B51" t="str">
            <v>M 161</v>
          </cell>
        </row>
        <row r="52">
          <cell r="A52">
            <v>51</v>
          </cell>
          <cell r="B52" t="str">
            <v>M 341</v>
          </cell>
        </row>
        <row r="53">
          <cell r="A53">
            <v>52</v>
          </cell>
          <cell r="B53" t="str">
            <v>M 484</v>
          </cell>
        </row>
        <row r="54">
          <cell r="A54">
            <v>53</v>
          </cell>
          <cell r="B54" t="str">
            <v>M 366</v>
          </cell>
        </row>
        <row r="55">
          <cell r="A55">
            <v>54</v>
          </cell>
          <cell r="B55" t="str">
            <v>M 173</v>
          </cell>
        </row>
        <row r="56">
          <cell r="A56">
            <v>55</v>
          </cell>
          <cell r="B56" t="str">
            <v>M 56</v>
          </cell>
        </row>
        <row r="57">
          <cell r="A57">
            <v>56</v>
          </cell>
          <cell r="B57" t="str">
            <v>M 190</v>
          </cell>
        </row>
        <row r="58">
          <cell r="A58">
            <v>57</v>
          </cell>
          <cell r="B58" t="str">
            <v>Q 11</v>
          </cell>
        </row>
        <row r="59">
          <cell r="A59">
            <v>58</v>
          </cell>
          <cell r="B59" t="str">
            <v>M 381</v>
          </cell>
        </row>
        <row r="60">
          <cell r="A60">
            <v>59</v>
          </cell>
          <cell r="B60" t="str">
            <v>M 418</v>
          </cell>
        </row>
        <row r="61">
          <cell r="A61">
            <v>60</v>
          </cell>
          <cell r="B61" t="str">
            <v>M 349</v>
          </cell>
        </row>
        <row r="62">
          <cell r="A62">
            <v>61</v>
          </cell>
          <cell r="B62" t="str">
            <v>M 415</v>
          </cell>
        </row>
        <row r="63">
          <cell r="A63">
            <v>62</v>
          </cell>
          <cell r="B63" t="str">
            <v>M 478</v>
          </cell>
        </row>
        <row r="64">
          <cell r="A64">
            <v>63</v>
          </cell>
          <cell r="B64" t="str">
            <v>Q 3</v>
          </cell>
        </row>
        <row r="65">
          <cell r="A65">
            <v>64</v>
          </cell>
          <cell r="B65" t="str">
            <v>M 600</v>
          </cell>
        </row>
        <row r="66">
          <cell r="A66">
            <v>65</v>
          </cell>
          <cell r="B66" t="str">
            <v>M 410</v>
          </cell>
        </row>
        <row r="67">
          <cell r="A67">
            <v>66</v>
          </cell>
          <cell r="B67" t="str">
            <v>Q 9</v>
          </cell>
        </row>
        <row r="68">
          <cell r="A68">
            <v>67</v>
          </cell>
          <cell r="B68" t="str">
            <v>Q 5</v>
          </cell>
        </row>
        <row r="69">
          <cell r="A69">
            <v>68</v>
          </cell>
          <cell r="B69" t="str">
            <v>Q 14</v>
          </cell>
        </row>
        <row r="70">
          <cell r="A70">
            <v>69</v>
          </cell>
          <cell r="B70" t="str">
            <v>M 413</v>
          </cell>
        </row>
        <row r="71">
          <cell r="A71">
            <v>70</v>
          </cell>
          <cell r="B71" t="str">
            <v>M 510</v>
          </cell>
        </row>
        <row r="72">
          <cell r="A72">
            <v>71</v>
          </cell>
          <cell r="B72" t="str">
            <v>M 225</v>
          </cell>
        </row>
        <row r="73">
          <cell r="A73">
            <v>72</v>
          </cell>
          <cell r="B73" t="str">
            <v>M 227</v>
          </cell>
        </row>
        <row r="74">
          <cell r="A74">
            <v>73</v>
          </cell>
          <cell r="B74" t="str">
            <v>Q 12</v>
          </cell>
        </row>
        <row r="75">
          <cell r="A75">
            <v>74</v>
          </cell>
          <cell r="B75" t="str">
            <v>Q 13</v>
          </cell>
        </row>
        <row r="76">
          <cell r="A76">
            <v>75</v>
          </cell>
          <cell r="B76" t="str">
            <v>M 378</v>
          </cell>
        </row>
        <row r="77">
          <cell r="A77">
            <v>76</v>
          </cell>
          <cell r="B77" t="str">
            <v>M 480</v>
          </cell>
        </row>
        <row r="78">
          <cell r="A78">
            <v>77</v>
          </cell>
          <cell r="B78" t="str">
            <v>M 610</v>
          </cell>
        </row>
        <row r="79">
          <cell r="A79">
            <v>78</v>
          </cell>
          <cell r="B79" t="str">
            <v>M 590</v>
          </cell>
        </row>
        <row r="80">
          <cell r="A80">
            <v>79</v>
          </cell>
          <cell r="B80" t="str">
            <v>M 236</v>
          </cell>
        </row>
        <row r="81">
          <cell r="A81">
            <v>80</v>
          </cell>
          <cell r="B81" t="str">
            <v>Q 16</v>
          </cell>
        </row>
        <row r="82">
          <cell r="A82">
            <v>81</v>
          </cell>
          <cell r="B82" t="str">
            <v>M 358</v>
          </cell>
        </row>
        <row r="83">
          <cell r="A83">
            <v>82</v>
          </cell>
          <cell r="B83" t="str">
            <v>Q 2</v>
          </cell>
        </row>
        <row r="84">
          <cell r="A84">
            <v>83</v>
          </cell>
          <cell r="B84" t="str">
            <v>M 492</v>
          </cell>
        </row>
        <row r="85">
          <cell r="A85">
            <v>84</v>
          </cell>
          <cell r="B85" t="str">
            <v>M 364</v>
          </cell>
        </row>
        <row r="86">
          <cell r="A86">
            <v>85</v>
          </cell>
          <cell r="B86" t="str">
            <v>M 343</v>
          </cell>
        </row>
        <row r="87">
          <cell r="A87">
            <v>86</v>
          </cell>
          <cell r="B87" t="str">
            <v>Q 8</v>
          </cell>
        </row>
        <row r="88">
          <cell r="A88">
            <v>87</v>
          </cell>
          <cell r="B88" t="str">
            <v>M 507</v>
          </cell>
        </row>
        <row r="89">
          <cell r="A89">
            <v>88</v>
          </cell>
          <cell r="B89" t="str">
            <v>M 377</v>
          </cell>
        </row>
        <row r="90">
          <cell r="A90">
            <v>89</v>
          </cell>
          <cell r="B90" t="str">
            <v>M 569</v>
          </cell>
        </row>
        <row r="91">
          <cell r="A91">
            <v>90</v>
          </cell>
          <cell r="B91" t="str">
            <v>M 355</v>
          </cell>
        </row>
        <row r="92">
          <cell r="A92">
            <v>91</v>
          </cell>
          <cell r="B92" t="str">
            <v>M 168</v>
          </cell>
        </row>
        <row r="93">
          <cell r="A93">
            <v>92</v>
          </cell>
          <cell r="B93" t="str">
            <v>M 219</v>
          </cell>
        </row>
        <row r="94">
          <cell r="A94">
            <v>93</v>
          </cell>
          <cell r="B94" t="str">
            <v>M 376</v>
          </cell>
        </row>
        <row r="95">
          <cell r="A95">
            <v>94</v>
          </cell>
          <cell r="B95" t="str">
            <v>M 344</v>
          </cell>
        </row>
        <row r="96">
          <cell r="A96">
            <v>95</v>
          </cell>
          <cell r="B96" t="str">
            <v>M 185</v>
          </cell>
        </row>
        <row r="97">
          <cell r="A97">
            <v>96</v>
          </cell>
          <cell r="B97" t="str">
            <v>M 524</v>
          </cell>
        </row>
        <row r="98">
          <cell r="A98">
            <v>97</v>
          </cell>
          <cell r="B98" t="str">
            <v>M 208</v>
          </cell>
        </row>
        <row r="99">
          <cell r="A99">
            <v>98</v>
          </cell>
          <cell r="B99" t="str">
            <v>M 405</v>
          </cell>
        </row>
        <row r="100">
          <cell r="A100">
            <v>99</v>
          </cell>
          <cell r="B100" t="str">
            <v>M 215</v>
          </cell>
        </row>
        <row r="101">
          <cell r="A101">
            <v>100</v>
          </cell>
          <cell r="B101" t="str">
            <v>M 616</v>
          </cell>
        </row>
        <row r="102">
          <cell r="A102">
            <v>101</v>
          </cell>
          <cell r="B102" t="str">
            <v>M 601</v>
          </cell>
        </row>
        <row r="103">
          <cell r="A103">
            <v>102</v>
          </cell>
          <cell r="B103" t="str">
            <v>M 398</v>
          </cell>
        </row>
        <row r="104">
          <cell r="A104">
            <v>103</v>
          </cell>
          <cell r="B104" t="str">
            <v>M 195</v>
          </cell>
        </row>
        <row r="105">
          <cell r="A105">
            <v>104</v>
          </cell>
          <cell r="B105" t="str">
            <v>M 489</v>
          </cell>
        </row>
        <row r="106">
          <cell r="A106">
            <v>105</v>
          </cell>
          <cell r="B106" t="str">
            <v>M 194</v>
          </cell>
        </row>
        <row r="107">
          <cell r="A107">
            <v>106</v>
          </cell>
          <cell r="B107" t="str">
            <v>M 421</v>
          </cell>
        </row>
        <row r="108">
          <cell r="A108">
            <v>107</v>
          </cell>
          <cell r="B108" t="str">
            <v>M 391</v>
          </cell>
        </row>
        <row r="109">
          <cell r="A109">
            <v>108</v>
          </cell>
          <cell r="B109" t="str">
            <v>M 505</v>
          </cell>
        </row>
        <row r="110">
          <cell r="A110">
            <v>109</v>
          </cell>
          <cell r="B110" t="str">
            <v>M 537</v>
          </cell>
        </row>
        <row r="111">
          <cell r="A111">
            <v>110</v>
          </cell>
          <cell r="B111" t="str">
            <v>M 496</v>
          </cell>
        </row>
        <row r="112">
          <cell r="A112">
            <v>111</v>
          </cell>
          <cell r="B112" t="str">
            <v>M 589</v>
          </cell>
        </row>
        <row r="113">
          <cell r="A113">
            <v>112</v>
          </cell>
          <cell r="B113" t="str">
            <v>M 176</v>
          </cell>
        </row>
        <row r="114">
          <cell r="A114">
            <v>113</v>
          </cell>
          <cell r="B114" t="str">
            <v>M 221</v>
          </cell>
        </row>
        <row r="115">
          <cell r="A115">
            <v>114</v>
          </cell>
          <cell r="B115" t="str">
            <v>M 384</v>
          </cell>
        </row>
        <row r="116">
          <cell r="A116">
            <v>115</v>
          </cell>
          <cell r="B116" t="str">
            <v>M 354</v>
          </cell>
        </row>
        <row r="117">
          <cell r="A117">
            <v>116</v>
          </cell>
          <cell r="B117" t="str">
            <v>M 621</v>
          </cell>
        </row>
        <row r="118">
          <cell r="A118">
            <v>117</v>
          </cell>
          <cell r="B118" t="str">
            <v>M 416</v>
          </cell>
        </row>
        <row r="119">
          <cell r="A119">
            <v>118</v>
          </cell>
          <cell r="B119" t="str">
            <v>M 474</v>
          </cell>
        </row>
        <row r="120">
          <cell r="A120">
            <v>119</v>
          </cell>
          <cell r="B120" t="str">
            <v>M 444</v>
          </cell>
        </row>
        <row r="121">
          <cell r="A121">
            <v>120</v>
          </cell>
          <cell r="B121" t="str">
            <v>M 560</v>
          </cell>
        </row>
        <row r="122">
          <cell r="A122">
            <v>121</v>
          </cell>
          <cell r="B122" t="str">
            <v>M 3</v>
          </cell>
        </row>
        <row r="123">
          <cell r="A123">
            <v>122</v>
          </cell>
          <cell r="B123" t="str">
            <v>M 406</v>
          </cell>
        </row>
        <row r="124">
          <cell r="A124">
            <v>123</v>
          </cell>
          <cell r="B124" t="str">
            <v>M 43</v>
          </cell>
        </row>
        <row r="125">
          <cell r="A125">
            <v>124</v>
          </cell>
          <cell r="B125" t="str">
            <v>M 363</v>
          </cell>
        </row>
        <row r="126">
          <cell r="A126">
            <v>125</v>
          </cell>
          <cell r="B126" t="str">
            <v>M 475</v>
          </cell>
        </row>
        <row r="127">
          <cell r="A127">
            <v>126</v>
          </cell>
          <cell r="B127" t="str">
            <v>M 9</v>
          </cell>
        </row>
        <row r="128">
          <cell r="A128">
            <v>127</v>
          </cell>
          <cell r="B128" t="str">
            <v>M 414</v>
          </cell>
        </row>
        <row r="129">
          <cell r="A129">
            <v>128</v>
          </cell>
          <cell r="B129" t="str">
            <v>M 400</v>
          </cell>
        </row>
        <row r="130">
          <cell r="A130">
            <v>129</v>
          </cell>
          <cell r="B130" t="str">
            <v>M 233</v>
          </cell>
        </row>
        <row r="131">
          <cell r="A131">
            <v>130</v>
          </cell>
          <cell r="B131" t="str">
            <v>M 321</v>
          </cell>
        </row>
        <row r="132">
          <cell r="A132">
            <v>131</v>
          </cell>
          <cell r="B132" t="str">
            <v>M 382</v>
          </cell>
        </row>
        <row r="133">
          <cell r="A133">
            <v>132</v>
          </cell>
          <cell r="B133" t="str">
            <v>M 203</v>
          </cell>
        </row>
        <row r="134">
          <cell r="A134">
            <v>133</v>
          </cell>
          <cell r="B134" t="str">
            <v>M 380</v>
          </cell>
        </row>
        <row r="135">
          <cell r="A135">
            <v>134</v>
          </cell>
          <cell r="B135" t="str">
            <v>M 20</v>
          </cell>
        </row>
        <row r="136">
          <cell r="A136">
            <v>135</v>
          </cell>
          <cell r="B136" t="str">
            <v>M 365</v>
          </cell>
        </row>
        <row r="137">
          <cell r="A137">
            <v>136</v>
          </cell>
          <cell r="B137" t="str">
            <v>Q 7</v>
          </cell>
        </row>
        <row r="138">
          <cell r="A138">
            <v>137</v>
          </cell>
          <cell r="B138" t="str">
            <v>M 419</v>
          </cell>
        </row>
        <row r="139">
          <cell r="A139">
            <v>138</v>
          </cell>
          <cell r="B139" t="str">
            <v>M 446</v>
          </cell>
        </row>
        <row r="140">
          <cell r="A140">
            <v>139</v>
          </cell>
          <cell r="B140" t="str">
            <v>M 411</v>
          </cell>
        </row>
        <row r="141">
          <cell r="A141">
            <v>140</v>
          </cell>
          <cell r="B141" t="str">
            <v>M 477</v>
          </cell>
        </row>
        <row r="142">
          <cell r="A142">
            <v>141</v>
          </cell>
          <cell r="B142" t="str">
            <v>M 86</v>
          </cell>
        </row>
        <row r="143">
          <cell r="A143">
            <v>142</v>
          </cell>
          <cell r="B143" t="str">
            <v>M 412</v>
          </cell>
        </row>
        <row r="144">
          <cell r="A144">
            <v>143</v>
          </cell>
          <cell r="B144" t="str">
            <v>M 78</v>
          </cell>
        </row>
        <row r="145">
          <cell r="A145">
            <v>144</v>
          </cell>
          <cell r="B145" t="str">
            <v>Q 15</v>
          </cell>
        </row>
        <row r="146">
          <cell r="A146">
            <v>145</v>
          </cell>
          <cell r="B146" t="str">
            <v>M 612</v>
          </cell>
        </row>
        <row r="147">
          <cell r="A147">
            <v>146</v>
          </cell>
          <cell r="B147" t="str">
            <v>M 345</v>
          </cell>
        </row>
        <row r="148">
          <cell r="A148">
            <v>147</v>
          </cell>
          <cell r="B148" t="str">
            <v>M 351</v>
          </cell>
        </row>
        <row r="149">
          <cell r="A149">
            <v>148</v>
          </cell>
          <cell r="B149" t="str">
            <v>M 36</v>
          </cell>
        </row>
        <row r="150">
          <cell r="A150">
            <v>149</v>
          </cell>
          <cell r="B150" t="str">
            <v>M 392</v>
          </cell>
        </row>
        <row r="151">
          <cell r="A151">
            <v>150</v>
          </cell>
          <cell r="B151" t="str">
            <v>M 442</v>
          </cell>
        </row>
        <row r="152">
          <cell r="A152">
            <v>151</v>
          </cell>
          <cell r="B152" t="str">
            <v>M 491</v>
          </cell>
        </row>
        <row r="153">
          <cell r="A153">
            <v>152</v>
          </cell>
          <cell r="B153" t="str">
            <v>M 402</v>
          </cell>
        </row>
        <row r="154">
          <cell r="A154">
            <v>153</v>
          </cell>
          <cell r="B154" t="str">
            <v>M 379</v>
          </cell>
        </row>
        <row r="155">
          <cell r="A155">
            <v>154</v>
          </cell>
          <cell r="B155" t="str">
            <v>M 356</v>
          </cell>
        </row>
        <row r="156">
          <cell r="A156">
            <v>155</v>
          </cell>
          <cell r="B156" t="str">
            <v>M 249</v>
          </cell>
        </row>
        <row r="157">
          <cell r="A157">
            <v>156</v>
          </cell>
          <cell r="B157" t="str">
            <v>M 394</v>
          </cell>
        </row>
        <row r="158">
          <cell r="A158">
            <v>157</v>
          </cell>
          <cell r="B158" t="str">
            <v>M 407</v>
          </cell>
        </row>
        <row r="159">
          <cell r="A159">
            <v>158</v>
          </cell>
          <cell r="B159" t="str">
            <v>M 41</v>
          </cell>
        </row>
        <row r="160">
          <cell r="A160">
            <v>159</v>
          </cell>
          <cell r="B160" t="str">
            <v>M 523</v>
          </cell>
        </row>
        <row r="161">
          <cell r="A161">
            <v>160</v>
          </cell>
          <cell r="B161" t="str">
            <v>M 395</v>
          </cell>
        </row>
        <row r="162">
          <cell r="A162">
            <v>161</v>
          </cell>
          <cell r="B162" t="str">
            <v>M 566</v>
          </cell>
        </row>
        <row r="163">
          <cell r="A163">
            <v>162</v>
          </cell>
          <cell r="B163" t="str">
            <v>M 519</v>
          </cell>
        </row>
        <row r="164">
          <cell r="A164">
            <v>163</v>
          </cell>
          <cell r="B164" t="str">
            <v>M 174</v>
          </cell>
        </row>
        <row r="165">
          <cell r="A165">
            <v>164</v>
          </cell>
          <cell r="B165" t="str">
            <v>M 347</v>
          </cell>
        </row>
        <row r="166">
          <cell r="A166">
            <v>165</v>
          </cell>
          <cell r="B166" t="str">
            <v>M 620</v>
          </cell>
        </row>
        <row r="167">
          <cell r="A167">
            <v>166</v>
          </cell>
          <cell r="B167" t="str">
            <v>M 443</v>
          </cell>
        </row>
        <row r="168">
          <cell r="A168">
            <v>167</v>
          </cell>
          <cell r="B168" t="str">
            <v>M 161</v>
          </cell>
        </row>
        <row r="169">
          <cell r="A169">
            <v>168</v>
          </cell>
          <cell r="B169" t="str">
            <v>M 381</v>
          </cell>
        </row>
        <row r="170">
          <cell r="A170">
            <v>169</v>
          </cell>
          <cell r="B170" t="str">
            <v>M 428</v>
          </cell>
        </row>
        <row r="171">
          <cell r="A171">
            <v>170</v>
          </cell>
          <cell r="B171" t="str">
            <v>M 415</v>
          </cell>
        </row>
        <row r="172">
          <cell r="A172">
            <v>171</v>
          </cell>
          <cell r="B172" t="str">
            <v>Q 7</v>
          </cell>
        </row>
        <row r="173">
          <cell r="A173">
            <v>172</v>
          </cell>
          <cell r="B173" t="str">
            <v>M 387</v>
          </cell>
        </row>
        <row r="174">
          <cell r="A174">
            <v>173</v>
          </cell>
          <cell r="B174" t="str">
            <v>M 235</v>
          </cell>
        </row>
        <row r="175">
          <cell r="A175">
            <v>174</v>
          </cell>
          <cell r="B175" t="str">
            <v>M 507</v>
          </cell>
        </row>
        <row r="176">
          <cell r="A176">
            <v>175</v>
          </cell>
          <cell r="B176" t="str">
            <v>M 411</v>
          </cell>
        </row>
        <row r="177">
          <cell r="A177">
            <v>176</v>
          </cell>
          <cell r="B177" t="str">
            <v>Q 8</v>
          </cell>
        </row>
        <row r="178">
          <cell r="A178">
            <v>177</v>
          </cell>
          <cell r="B178" t="str">
            <v>M 355</v>
          </cell>
        </row>
        <row r="179">
          <cell r="A179">
            <v>178</v>
          </cell>
          <cell r="B179" t="str">
            <v>M 337</v>
          </cell>
        </row>
        <row r="180">
          <cell r="A180">
            <v>179</v>
          </cell>
          <cell r="B180" t="str">
            <v>M 590</v>
          </cell>
        </row>
        <row r="181">
          <cell r="A181">
            <v>180</v>
          </cell>
          <cell r="B181" t="str">
            <v>M 474</v>
          </cell>
        </row>
        <row r="182">
          <cell r="A182">
            <v>181</v>
          </cell>
          <cell r="B182" t="str">
            <v>M 214</v>
          </cell>
        </row>
        <row r="183">
          <cell r="A183">
            <v>182</v>
          </cell>
          <cell r="B183" t="str">
            <v>M 341</v>
          </cell>
        </row>
        <row r="184">
          <cell r="A184">
            <v>183</v>
          </cell>
          <cell r="B184" t="str">
            <v>M 522</v>
          </cell>
        </row>
        <row r="185">
          <cell r="A185">
            <v>184</v>
          </cell>
          <cell r="B185" t="str">
            <v>M 345</v>
          </cell>
        </row>
        <row r="186">
          <cell r="A186">
            <v>185</v>
          </cell>
          <cell r="B186" t="str">
            <v>Q 15</v>
          </cell>
        </row>
        <row r="187">
          <cell r="A187">
            <v>186</v>
          </cell>
          <cell r="B187" t="str">
            <v>M 421</v>
          </cell>
        </row>
        <row r="188">
          <cell r="A188">
            <v>187</v>
          </cell>
          <cell r="B188" t="str">
            <v>M 492</v>
          </cell>
        </row>
        <row r="189">
          <cell r="A189">
            <v>188</v>
          </cell>
          <cell r="B189" t="str">
            <v>M 65</v>
          </cell>
        </row>
        <row r="190">
          <cell r="A190">
            <v>189</v>
          </cell>
          <cell r="B190" t="str">
            <v>M 589</v>
          </cell>
        </row>
        <row r="191">
          <cell r="A191">
            <v>190</v>
          </cell>
          <cell r="B191" t="str">
            <v>M 190</v>
          </cell>
        </row>
        <row r="192">
          <cell r="A192">
            <v>191</v>
          </cell>
          <cell r="B192" t="str">
            <v>M 396</v>
          </cell>
        </row>
        <row r="193">
          <cell r="A193">
            <v>192</v>
          </cell>
          <cell r="B193" t="str">
            <v>M 363</v>
          </cell>
        </row>
        <row r="194">
          <cell r="A194">
            <v>193</v>
          </cell>
          <cell r="B194" t="str">
            <v>M 614</v>
          </cell>
        </row>
        <row r="195">
          <cell r="A195">
            <v>194</v>
          </cell>
          <cell r="B195" t="str">
            <v>Q 10</v>
          </cell>
        </row>
        <row r="196">
          <cell r="A196">
            <v>195</v>
          </cell>
          <cell r="B196" t="str">
            <v>M 346</v>
          </cell>
        </row>
        <row r="197">
          <cell r="A197">
            <v>196</v>
          </cell>
          <cell r="B197" t="str">
            <v>M 523</v>
          </cell>
        </row>
        <row r="198">
          <cell r="A198">
            <v>197</v>
          </cell>
          <cell r="B198" t="str">
            <v>M 380</v>
          </cell>
        </row>
        <row r="199">
          <cell r="A199">
            <v>198</v>
          </cell>
          <cell r="B199" t="str">
            <v>M 233</v>
          </cell>
        </row>
        <row r="200">
          <cell r="A200">
            <v>199</v>
          </cell>
          <cell r="B200" t="str">
            <v>M 395</v>
          </cell>
        </row>
        <row r="201">
          <cell r="A201">
            <v>200</v>
          </cell>
          <cell r="B201" t="str">
            <v>M 79</v>
          </cell>
        </row>
        <row r="202">
          <cell r="A202">
            <v>201</v>
          </cell>
          <cell r="B202" t="str">
            <v>M 208</v>
          </cell>
        </row>
        <row r="203">
          <cell r="A203">
            <v>202</v>
          </cell>
          <cell r="B203" t="str">
            <v>M 78</v>
          </cell>
        </row>
        <row r="204">
          <cell r="A204">
            <v>203</v>
          </cell>
          <cell r="B204" t="str">
            <v>Q 1</v>
          </cell>
        </row>
        <row r="205">
          <cell r="A205">
            <v>204</v>
          </cell>
          <cell r="B205" t="str">
            <v>M 359</v>
          </cell>
        </row>
        <row r="206">
          <cell r="A206">
            <v>205</v>
          </cell>
          <cell r="B206" t="str">
            <v>M 621</v>
          </cell>
        </row>
        <row r="207">
          <cell r="A207">
            <v>206</v>
          </cell>
          <cell r="B207" t="str">
            <v>M 56</v>
          </cell>
        </row>
        <row r="208">
          <cell r="A208">
            <v>207</v>
          </cell>
          <cell r="B208" t="str">
            <v>M 176</v>
          </cell>
        </row>
        <row r="209">
          <cell r="A209">
            <v>208</v>
          </cell>
          <cell r="B209" t="str">
            <v>Q 2</v>
          </cell>
        </row>
        <row r="210">
          <cell r="A210">
            <v>209</v>
          </cell>
          <cell r="B210" t="str">
            <v>M 195</v>
          </cell>
        </row>
        <row r="211">
          <cell r="A211">
            <v>210</v>
          </cell>
          <cell r="B211" t="str">
            <v>M 600</v>
          </cell>
        </row>
        <row r="212">
          <cell r="A212">
            <v>211</v>
          </cell>
          <cell r="B212" t="str">
            <v>M 344</v>
          </cell>
        </row>
        <row r="213">
          <cell r="A213">
            <v>212</v>
          </cell>
          <cell r="B213" t="str">
            <v>M 9</v>
          </cell>
        </row>
        <row r="214">
          <cell r="A214">
            <v>213</v>
          </cell>
          <cell r="B214" t="str">
            <v>M 347</v>
          </cell>
        </row>
        <row r="215">
          <cell r="A215">
            <v>214</v>
          </cell>
          <cell r="B215" t="str">
            <v>M 134</v>
          </cell>
        </row>
        <row r="216">
          <cell r="A216">
            <v>215</v>
          </cell>
          <cell r="B216" t="str">
            <v>M 413</v>
          </cell>
        </row>
        <row r="217">
          <cell r="A217">
            <v>216</v>
          </cell>
          <cell r="B217" t="str">
            <v>Q 9</v>
          </cell>
        </row>
        <row r="218">
          <cell r="A218">
            <v>217</v>
          </cell>
          <cell r="B218" t="str">
            <v>M 361</v>
          </cell>
        </row>
        <row r="219">
          <cell r="A219">
            <v>218</v>
          </cell>
          <cell r="B219" t="str">
            <v>Q 14</v>
          </cell>
        </row>
        <row r="220">
          <cell r="A220">
            <v>219</v>
          </cell>
          <cell r="B220" t="str">
            <v>M 615</v>
          </cell>
        </row>
        <row r="221">
          <cell r="A221">
            <v>220</v>
          </cell>
          <cell r="B221" t="str">
            <v>M 601</v>
          </cell>
        </row>
        <row r="222">
          <cell r="A222">
            <v>221</v>
          </cell>
          <cell r="B222" t="str">
            <v>M 238</v>
          </cell>
        </row>
        <row r="223">
          <cell r="A223">
            <v>222</v>
          </cell>
          <cell r="B223" t="str">
            <v>M 3</v>
          </cell>
        </row>
        <row r="224">
          <cell r="A224">
            <v>223</v>
          </cell>
          <cell r="B224" t="str">
            <v>M 620</v>
          </cell>
        </row>
        <row r="225">
          <cell r="A225">
            <v>224</v>
          </cell>
          <cell r="B225" t="str">
            <v>M 394</v>
          </cell>
        </row>
        <row r="226">
          <cell r="A226">
            <v>225</v>
          </cell>
          <cell r="B226" t="str">
            <v>M 482</v>
          </cell>
        </row>
        <row r="227">
          <cell r="A227">
            <v>226</v>
          </cell>
          <cell r="B227" t="str">
            <v>M 391</v>
          </cell>
        </row>
        <row r="228">
          <cell r="A228">
            <v>227</v>
          </cell>
          <cell r="B228" t="str">
            <v>M 321</v>
          </cell>
        </row>
        <row r="229">
          <cell r="A229">
            <v>228</v>
          </cell>
          <cell r="B229" t="str">
            <v>M 372</v>
          </cell>
        </row>
        <row r="230">
          <cell r="A230">
            <v>229</v>
          </cell>
          <cell r="B230" t="str">
            <v>M 480</v>
          </cell>
        </row>
        <row r="231">
          <cell r="A231">
            <v>230</v>
          </cell>
          <cell r="B231" t="str">
            <v>M 227</v>
          </cell>
        </row>
        <row r="232">
          <cell r="A232">
            <v>231</v>
          </cell>
          <cell r="B232" t="str">
            <v>M 86</v>
          </cell>
        </row>
        <row r="233">
          <cell r="A233">
            <v>232</v>
          </cell>
          <cell r="B233" t="str">
            <v>M 379</v>
          </cell>
        </row>
        <row r="234">
          <cell r="A234">
            <v>233</v>
          </cell>
          <cell r="B234" t="str">
            <v>M 352</v>
          </cell>
        </row>
        <row r="235">
          <cell r="A235">
            <v>234</v>
          </cell>
          <cell r="B235" t="str">
            <v>M 221</v>
          </cell>
        </row>
        <row r="236">
          <cell r="A236">
            <v>235</v>
          </cell>
          <cell r="B236" t="str">
            <v>M 249</v>
          </cell>
        </row>
        <row r="237">
          <cell r="A237">
            <v>236</v>
          </cell>
          <cell r="B237" t="str">
            <v>M 366</v>
          </cell>
        </row>
        <row r="238">
          <cell r="A238">
            <v>237</v>
          </cell>
          <cell r="B238" t="str">
            <v>M 443</v>
          </cell>
        </row>
        <row r="239">
          <cell r="A239">
            <v>238</v>
          </cell>
          <cell r="B239" t="str">
            <v>M 464</v>
          </cell>
        </row>
        <row r="240">
          <cell r="A240">
            <v>239</v>
          </cell>
          <cell r="B240" t="str">
            <v>M 382</v>
          </cell>
        </row>
        <row r="241">
          <cell r="A241">
            <v>240</v>
          </cell>
          <cell r="B241" t="str">
            <v>M 484</v>
          </cell>
        </row>
        <row r="242">
          <cell r="A242">
            <v>241</v>
          </cell>
          <cell r="B242" t="str">
            <v>M 412</v>
          </cell>
        </row>
        <row r="243">
          <cell r="A243">
            <v>242</v>
          </cell>
          <cell r="B243" t="str">
            <v>M 458</v>
          </cell>
        </row>
        <row r="244">
          <cell r="A244">
            <v>243</v>
          </cell>
          <cell r="B244" t="str">
            <v>M 416</v>
          </cell>
        </row>
        <row r="245">
          <cell r="A245">
            <v>244</v>
          </cell>
          <cell r="B245" t="str">
            <v>M 354</v>
          </cell>
        </row>
        <row r="246">
          <cell r="A246">
            <v>245</v>
          </cell>
          <cell r="B246" t="str">
            <v>Q 3</v>
          </cell>
        </row>
        <row r="247">
          <cell r="A247">
            <v>246</v>
          </cell>
          <cell r="B247" t="str">
            <v>M 414</v>
          </cell>
        </row>
        <row r="248">
          <cell r="A248">
            <v>247</v>
          </cell>
          <cell r="B248" t="str">
            <v>M 168</v>
          </cell>
        </row>
        <row r="249">
          <cell r="A249">
            <v>248</v>
          </cell>
          <cell r="B249" t="str">
            <v>M 518</v>
          </cell>
        </row>
        <row r="250">
          <cell r="A250">
            <v>249</v>
          </cell>
          <cell r="B250" t="str">
            <v>M 410</v>
          </cell>
        </row>
        <row r="251">
          <cell r="A251">
            <v>250</v>
          </cell>
          <cell r="B251" t="str">
            <v>M 402</v>
          </cell>
        </row>
        <row r="252">
          <cell r="A252">
            <v>251</v>
          </cell>
          <cell r="B252" t="str">
            <v>Q 11</v>
          </cell>
        </row>
        <row r="253">
          <cell r="A253">
            <v>252</v>
          </cell>
          <cell r="B253" t="str">
            <v>Q 6</v>
          </cell>
        </row>
        <row r="254">
          <cell r="A254">
            <v>253</v>
          </cell>
          <cell r="B254" t="str">
            <v>M 185</v>
          </cell>
        </row>
        <row r="255">
          <cell r="A255">
            <v>254</v>
          </cell>
          <cell r="B255" t="str">
            <v>M 446</v>
          </cell>
        </row>
        <row r="256">
          <cell r="A256">
            <v>255</v>
          </cell>
          <cell r="B256" t="str">
            <v>M 236</v>
          </cell>
        </row>
        <row r="257">
          <cell r="A257">
            <v>256</v>
          </cell>
          <cell r="B257" t="str">
            <v>M 369</v>
          </cell>
        </row>
        <row r="258">
          <cell r="A258">
            <v>257</v>
          </cell>
          <cell r="B258" t="str">
            <v>M 405</v>
          </cell>
        </row>
        <row r="259">
          <cell r="A259">
            <v>258</v>
          </cell>
          <cell r="B259" t="str">
            <v>M 203</v>
          </cell>
        </row>
        <row r="260">
          <cell r="A260">
            <v>259</v>
          </cell>
          <cell r="B260" t="str">
            <v>M 419</v>
          </cell>
        </row>
        <row r="261">
          <cell r="A261">
            <v>260</v>
          </cell>
          <cell r="B261" t="str">
            <v>M 407</v>
          </cell>
        </row>
        <row r="262">
          <cell r="A262">
            <v>261</v>
          </cell>
          <cell r="B262" t="str">
            <v>M 174</v>
          </cell>
        </row>
        <row r="263">
          <cell r="A263">
            <v>262</v>
          </cell>
          <cell r="B263" t="str">
            <v>M 365</v>
          </cell>
        </row>
        <row r="264">
          <cell r="A264">
            <v>263</v>
          </cell>
          <cell r="B264" t="str">
            <v>M 537</v>
          </cell>
        </row>
        <row r="265">
          <cell r="A265">
            <v>264</v>
          </cell>
          <cell r="B265" t="str">
            <v>M 356</v>
          </cell>
        </row>
        <row r="266">
          <cell r="A266">
            <v>265</v>
          </cell>
          <cell r="B266" t="str">
            <v>M 36</v>
          </cell>
        </row>
        <row r="267">
          <cell r="A267">
            <v>266</v>
          </cell>
          <cell r="B267" t="str">
            <v>M 429</v>
          </cell>
        </row>
        <row r="268">
          <cell r="A268">
            <v>267</v>
          </cell>
          <cell r="B268" t="str">
            <v>M 358</v>
          </cell>
        </row>
        <row r="269">
          <cell r="A269">
            <v>268</v>
          </cell>
          <cell r="B269" t="str">
            <v>M 478</v>
          </cell>
        </row>
        <row r="270">
          <cell r="A270">
            <v>269</v>
          </cell>
          <cell r="B270" t="str">
            <v>M 505</v>
          </cell>
        </row>
        <row r="271">
          <cell r="A271">
            <v>270</v>
          </cell>
          <cell r="B271" t="str">
            <v>M 401</v>
          </cell>
        </row>
        <row r="272">
          <cell r="A272">
            <v>271</v>
          </cell>
          <cell r="B272" t="str">
            <v>M 375</v>
          </cell>
        </row>
        <row r="273">
          <cell r="A273">
            <v>272</v>
          </cell>
          <cell r="B273" t="str">
            <v>M 400</v>
          </cell>
        </row>
        <row r="274">
          <cell r="A274">
            <v>273</v>
          </cell>
          <cell r="B274" t="str">
            <v>M 343</v>
          </cell>
        </row>
        <row r="275">
          <cell r="A275">
            <v>274</v>
          </cell>
          <cell r="B275" t="str">
            <v>M 389</v>
          </cell>
        </row>
        <row r="276">
          <cell r="A276">
            <v>275</v>
          </cell>
          <cell r="B276" t="str">
            <v>M 477</v>
          </cell>
        </row>
        <row r="277">
          <cell r="A277">
            <v>276</v>
          </cell>
          <cell r="B277" t="str">
            <v>M 193</v>
          </cell>
        </row>
        <row r="278">
          <cell r="A278">
            <v>277</v>
          </cell>
          <cell r="B278" t="str">
            <v>M 349</v>
          </cell>
        </row>
        <row r="279">
          <cell r="A279">
            <v>278</v>
          </cell>
          <cell r="B279" t="str">
            <v>M 475</v>
          </cell>
        </row>
        <row r="280">
          <cell r="A280">
            <v>279</v>
          </cell>
          <cell r="B280" t="str">
            <v>M 560</v>
          </cell>
        </row>
        <row r="281">
          <cell r="A281">
            <v>280</v>
          </cell>
          <cell r="B281" t="str">
            <v>M 592</v>
          </cell>
        </row>
        <row r="282">
          <cell r="A282">
            <v>281</v>
          </cell>
          <cell r="B282" t="str">
            <v>M 377</v>
          </cell>
        </row>
        <row r="283">
          <cell r="A283">
            <v>282</v>
          </cell>
          <cell r="B283" t="str">
            <v>M 519</v>
          </cell>
        </row>
        <row r="284">
          <cell r="A284">
            <v>283</v>
          </cell>
          <cell r="B284" t="str">
            <v>M 616</v>
          </cell>
        </row>
        <row r="285">
          <cell r="A285">
            <v>284</v>
          </cell>
          <cell r="B285" t="str">
            <v>M 417</v>
          </cell>
        </row>
        <row r="286">
          <cell r="A286">
            <v>285</v>
          </cell>
          <cell r="B286" t="str">
            <v>M 388</v>
          </cell>
        </row>
        <row r="287">
          <cell r="A287">
            <v>286</v>
          </cell>
          <cell r="B287" t="str">
            <v>M 156</v>
          </cell>
        </row>
        <row r="288">
          <cell r="A288">
            <v>287</v>
          </cell>
          <cell r="B288" t="str">
            <v>Q 13</v>
          </cell>
        </row>
        <row r="289">
          <cell r="A289">
            <v>288</v>
          </cell>
          <cell r="B289" t="str">
            <v>M 612</v>
          </cell>
        </row>
        <row r="290">
          <cell r="A290">
            <v>289</v>
          </cell>
          <cell r="B290" t="str">
            <v>M 225</v>
          </cell>
        </row>
        <row r="291">
          <cell r="A291">
            <v>290</v>
          </cell>
          <cell r="B291" t="str">
            <v>M 44</v>
          </cell>
        </row>
        <row r="292">
          <cell r="A292">
            <v>291</v>
          </cell>
          <cell r="B292" t="str">
            <v>M 215</v>
          </cell>
        </row>
        <row r="293">
          <cell r="A293">
            <v>292</v>
          </cell>
          <cell r="B293" t="str">
            <v>M 406</v>
          </cell>
        </row>
        <row r="294">
          <cell r="A294">
            <v>293</v>
          </cell>
          <cell r="B294" t="str">
            <v>M 194</v>
          </cell>
        </row>
        <row r="295">
          <cell r="A295">
            <v>294</v>
          </cell>
          <cell r="B295" t="str">
            <v>M 510</v>
          </cell>
        </row>
        <row r="296">
          <cell r="A296">
            <v>295</v>
          </cell>
          <cell r="B296" t="str">
            <v>M 420</v>
          </cell>
        </row>
        <row r="297">
          <cell r="A297">
            <v>296</v>
          </cell>
          <cell r="B297" t="str">
            <v>M 489</v>
          </cell>
        </row>
        <row r="298">
          <cell r="A298">
            <v>297</v>
          </cell>
          <cell r="B298" t="str">
            <v>M 181</v>
          </cell>
        </row>
        <row r="299">
          <cell r="A299">
            <v>298</v>
          </cell>
          <cell r="B299" t="str">
            <v>M 351</v>
          </cell>
        </row>
        <row r="300">
          <cell r="A300">
            <v>299</v>
          </cell>
          <cell r="B300" t="str">
            <v>M 392</v>
          </cell>
        </row>
        <row r="301">
          <cell r="A301">
            <v>300</v>
          </cell>
          <cell r="B301" t="str">
            <v>Q 5</v>
          </cell>
        </row>
        <row r="302">
          <cell r="A302">
            <v>301</v>
          </cell>
          <cell r="B302" t="str">
            <v>M 370</v>
          </cell>
        </row>
        <row r="303">
          <cell r="A303">
            <v>302</v>
          </cell>
          <cell r="B303" t="str">
            <v>M 585</v>
          </cell>
        </row>
        <row r="304">
          <cell r="A304">
            <v>303</v>
          </cell>
          <cell r="B304" t="str">
            <v>M 491</v>
          </cell>
        </row>
        <row r="305">
          <cell r="A305">
            <v>304</v>
          </cell>
          <cell r="B305" t="str">
            <v>M 552</v>
          </cell>
        </row>
        <row r="306">
          <cell r="A306">
            <v>305</v>
          </cell>
          <cell r="B306" t="str">
            <v>M 496</v>
          </cell>
        </row>
        <row r="307">
          <cell r="A307">
            <v>306</v>
          </cell>
          <cell r="B307" t="str">
            <v>M 378</v>
          </cell>
        </row>
        <row r="308">
          <cell r="A308">
            <v>307</v>
          </cell>
          <cell r="B308" t="str">
            <v>M 418</v>
          </cell>
        </row>
        <row r="309">
          <cell r="A309">
            <v>308</v>
          </cell>
          <cell r="B309" t="str">
            <v>M 216</v>
          </cell>
        </row>
        <row r="310">
          <cell r="A310">
            <v>309</v>
          </cell>
          <cell r="B310" t="str">
            <v>M 20</v>
          </cell>
        </row>
        <row r="311">
          <cell r="A311">
            <v>310</v>
          </cell>
          <cell r="B311" t="str">
            <v>M 384</v>
          </cell>
        </row>
        <row r="312">
          <cell r="A312">
            <v>311</v>
          </cell>
          <cell r="B312" t="str">
            <v>M 41</v>
          </cell>
        </row>
        <row r="313">
          <cell r="A313">
            <v>312</v>
          </cell>
          <cell r="B313" t="str">
            <v>M 322</v>
          </cell>
        </row>
        <row r="314">
          <cell r="A314">
            <v>313</v>
          </cell>
          <cell r="B314" t="str">
            <v>M 442</v>
          </cell>
        </row>
        <row r="315">
          <cell r="A315">
            <v>314</v>
          </cell>
          <cell r="B315" t="str">
            <v>M 43</v>
          </cell>
        </row>
        <row r="316">
          <cell r="A316">
            <v>315</v>
          </cell>
          <cell r="B316" t="str">
            <v>M 524</v>
          </cell>
        </row>
        <row r="317">
          <cell r="A317">
            <v>316</v>
          </cell>
          <cell r="B317" t="str">
            <v>M 368</v>
          </cell>
        </row>
        <row r="318">
          <cell r="A318">
            <v>317</v>
          </cell>
          <cell r="B318" t="str">
            <v>M 170</v>
          </cell>
        </row>
        <row r="319">
          <cell r="A319">
            <v>318</v>
          </cell>
          <cell r="B319" t="str">
            <v>M 404</v>
          </cell>
        </row>
        <row r="320">
          <cell r="A320">
            <v>319</v>
          </cell>
          <cell r="B320" t="str">
            <v>Q 4</v>
          </cell>
        </row>
        <row r="321">
          <cell r="A321">
            <v>320</v>
          </cell>
          <cell r="B321" t="str">
            <v>M 398</v>
          </cell>
        </row>
        <row r="322">
          <cell r="A322">
            <v>321</v>
          </cell>
          <cell r="B322" t="str">
            <v>Q 12</v>
          </cell>
        </row>
        <row r="323">
          <cell r="A323">
            <v>322</v>
          </cell>
          <cell r="B323" t="str">
            <v>Q 16</v>
          </cell>
        </row>
        <row r="324">
          <cell r="A324">
            <v>323</v>
          </cell>
          <cell r="B324" t="str">
            <v>M 444</v>
          </cell>
        </row>
        <row r="325">
          <cell r="A325">
            <v>324</v>
          </cell>
          <cell r="B325" t="str">
            <v>M 610</v>
          </cell>
        </row>
        <row r="326">
          <cell r="A326">
            <v>325</v>
          </cell>
          <cell r="B326" t="str">
            <v>M 219</v>
          </cell>
        </row>
        <row r="327">
          <cell r="A327">
            <v>326</v>
          </cell>
          <cell r="B327" t="str">
            <v>M 364</v>
          </cell>
        </row>
        <row r="328">
          <cell r="A328">
            <v>327</v>
          </cell>
          <cell r="B328" t="str">
            <v>M 611</v>
          </cell>
        </row>
        <row r="329">
          <cell r="A329">
            <v>328</v>
          </cell>
          <cell r="B329" t="str">
            <v>M 566</v>
          </cell>
        </row>
        <row r="330">
          <cell r="A330">
            <v>329</v>
          </cell>
          <cell r="B330" t="str">
            <v>M 376</v>
          </cell>
        </row>
        <row r="331">
          <cell r="A331">
            <v>330</v>
          </cell>
          <cell r="B331" t="str">
            <v>M 569</v>
          </cell>
        </row>
        <row r="332">
          <cell r="A332">
            <v>331</v>
          </cell>
          <cell r="B332" t="str">
            <v>M 173</v>
          </cell>
        </row>
        <row r="333">
          <cell r="A333">
            <v>332</v>
          </cell>
          <cell r="B333" t="str">
            <v>M 250</v>
          </cell>
        </row>
        <row r="334">
          <cell r="A334">
            <v>333</v>
          </cell>
          <cell r="B334" t="str">
            <v>M 406</v>
          </cell>
        </row>
        <row r="335">
          <cell r="A335">
            <v>334</v>
          </cell>
          <cell r="B335" t="str">
            <v>M 402</v>
          </cell>
        </row>
        <row r="336">
          <cell r="A336">
            <v>335</v>
          </cell>
          <cell r="B336" t="str">
            <v>M 193</v>
          </cell>
        </row>
        <row r="337">
          <cell r="A337">
            <v>336</v>
          </cell>
          <cell r="B337" t="str">
            <v>M 444</v>
          </cell>
        </row>
        <row r="338">
          <cell r="A338">
            <v>337</v>
          </cell>
          <cell r="B338" t="str">
            <v>M 79</v>
          </cell>
        </row>
        <row r="339">
          <cell r="A339">
            <v>338</v>
          </cell>
          <cell r="B339" t="str">
            <v>M 389</v>
          </cell>
        </row>
        <row r="340">
          <cell r="A340">
            <v>339</v>
          </cell>
          <cell r="B340" t="str">
            <v>M 398</v>
          </cell>
        </row>
        <row r="341">
          <cell r="A341">
            <v>340</v>
          </cell>
          <cell r="B341" t="str">
            <v>M 414</v>
          </cell>
        </row>
        <row r="342">
          <cell r="A342">
            <v>341</v>
          </cell>
          <cell r="B342" t="str">
            <v>M 185</v>
          </cell>
        </row>
        <row r="343">
          <cell r="A343">
            <v>342</v>
          </cell>
          <cell r="B343" t="str">
            <v>M 174</v>
          </cell>
        </row>
        <row r="344">
          <cell r="A344">
            <v>343</v>
          </cell>
          <cell r="B344" t="str">
            <v>M 322</v>
          </cell>
        </row>
        <row r="345">
          <cell r="A345">
            <v>344</v>
          </cell>
          <cell r="B345" t="str">
            <v>M 341</v>
          </cell>
        </row>
        <row r="346">
          <cell r="A346">
            <v>345</v>
          </cell>
          <cell r="B346" t="str">
            <v>M 194</v>
          </cell>
        </row>
        <row r="347">
          <cell r="A347">
            <v>346</v>
          </cell>
          <cell r="B347" t="str">
            <v>Q 14</v>
          </cell>
        </row>
        <row r="348">
          <cell r="A348">
            <v>347</v>
          </cell>
          <cell r="B348" t="str">
            <v>M 363</v>
          </cell>
        </row>
        <row r="349">
          <cell r="A349">
            <v>348</v>
          </cell>
          <cell r="B349" t="str">
            <v>M 3</v>
          </cell>
        </row>
        <row r="350">
          <cell r="A350">
            <v>349</v>
          </cell>
          <cell r="B350" t="str">
            <v>M 134</v>
          </cell>
        </row>
        <row r="351">
          <cell r="A351">
            <v>350</v>
          </cell>
          <cell r="B351" t="str">
            <v>M 378</v>
          </cell>
        </row>
        <row r="352">
          <cell r="A352">
            <v>351</v>
          </cell>
          <cell r="B352" t="str">
            <v>M 610</v>
          </cell>
        </row>
        <row r="353">
          <cell r="A353">
            <v>352</v>
          </cell>
          <cell r="B353" t="str">
            <v>M 523</v>
          </cell>
        </row>
        <row r="354">
          <cell r="A354">
            <v>353</v>
          </cell>
          <cell r="B354" t="str">
            <v>M 388</v>
          </cell>
        </row>
        <row r="355">
          <cell r="A355">
            <v>354</v>
          </cell>
          <cell r="B355" t="str">
            <v>M 407</v>
          </cell>
        </row>
        <row r="356">
          <cell r="A356">
            <v>355</v>
          </cell>
          <cell r="B356" t="str">
            <v>Q 8</v>
          </cell>
        </row>
        <row r="357">
          <cell r="A357">
            <v>356</v>
          </cell>
          <cell r="B357" t="str">
            <v>M 354</v>
          </cell>
        </row>
        <row r="358">
          <cell r="A358">
            <v>357</v>
          </cell>
          <cell r="B358" t="str">
            <v>M 356</v>
          </cell>
        </row>
        <row r="359">
          <cell r="A359">
            <v>358</v>
          </cell>
          <cell r="B359" t="str">
            <v>M 590</v>
          </cell>
        </row>
        <row r="360">
          <cell r="A360">
            <v>359</v>
          </cell>
          <cell r="B360" t="str">
            <v>M 361</v>
          </cell>
        </row>
        <row r="361">
          <cell r="A361">
            <v>360</v>
          </cell>
          <cell r="B361" t="str">
            <v>M 442</v>
          </cell>
        </row>
        <row r="362">
          <cell r="A362">
            <v>361</v>
          </cell>
          <cell r="B362" t="str">
            <v>M 208</v>
          </cell>
        </row>
        <row r="363">
          <cell r="A363">
            <v>362</v>
          </cell>
          <cell r="B363" t="str">
            <v>M 366</v>
          </cell>
        </row>
        <row r="364">
          <cell r="A364">
            <v>363</v>
          </cell>
          <cell r="B364" t="str">
            <v>M 621</v>
          </cell>
        </row>
        <row r="365">
          <cell r="A365">
            <v>364</v>
          </cell>
          <cell r="B365" t="str">
            <v>M 616</v>
          </cell>
        </row>
        <row r="366">
          <cell r="A366">
            <v>365</v>
          </cell>
          <cell r="B366" t="str">
            <v>Q 12</v>
          </cell>
        </row>
        <row r="367">
          <cell r="A367">
            <v>366</v>
          </cell>
          <cell r="B367" t="str">
            <v>Q 2</v>
          </cell>
        </row>
        <row r="368">
          <cell r="A368">
            <v>367</v>
          </cell>
          <cell r="B368" t="str">
            <v>M 387</v>
          </cell>
        </row>
        <row r="369">
          <cell r="A369">
            <v>368</v>
          </cell>
          <cell r="B369" t="str">
            <v>M 489</v>
          </cell>
        </row>
        <row r="370">
          <cell r="A370">
            <v>369</v>
          </cell>
          <cell r="B370" t="str">
            <v>M 190</v>
          </cell>
        </row>
        <row r="371">
          <cell r="A371">
            <v>370</v>
          </cell>
          <cell r="B371" t="str">
            <v>M 170</v>
          </cell>
        </row>
        <row r="372">
          <cell r="A372">
            <v>371</v>
          </cell>
          <cell r="B372" t="str">
            <v>Q 7</v>
          </cell>
        </row>
        <row r="373">
          <cell r="A373">
            <v>372</v>
          </cell>
          <cell r="B373" t="str">
            <v>M 492</v>
          </cell>
        </row>
        <row r="374">
          <cell r="A374">
            <v>373</v>
          </cell>
          <cell r="B374" t="str">
            <v>M 355</v>
          </cell>
        </row>
        <row r="375">
          <cell r="A375">
            <v>374</v>
          </cell>
          <cell r="B375" t="str">
            <v>M 173</v>
          </cell>
        </row>
        <row r="376">
          <cell r="A376">
            <v>375</v>
          </cell>
          <cell r="B376" t="str">
            <v>M 392</v>
          </cell>
        </row>
        <row r="377">
          <cell r="A377">
            <v>376</v>
          </cell>
          <cell r="B377" t="str">
            <v>M 484</v>
          </cell>
        </row>
        <row r="378">
          <cell r="A378">
            <v>377</v>
          </cell>
          <cell r="B378" t="str">
            <v>M 421</v>
          </cell>
        </row>
        <row r="379">
          <cell r="A379">
            <v>378</v>
          </cell>
          <cell r="B379" t="str">
            <v>M 41</v>
          </cell>
        </row>
        <row r="380">
          <cell r="A380">
            <v>379</v>
          </cell>
          <cell r="B380" t="str">
            <v>M 391</v>
          </cell>
        </row>
        <row r="381">
          <cell r="A381">
            <v>380</v>
          </cell>
          <cell r="B381" t="str">
            <v>M 349</v>
          </cell>
        </row>
        <row r="382">
          <cell r="A382">
            <v>381</v>
          </cell>
          <cell r="B382" t="str">
            <v>M 379</v>
          </cell>
        </row>
        <row r="383">
          <cell r="A383">
            <v>382</v>
          </cell>
          <cell r="B383" t="str">
            <v>M 215</v>
          </cell>
        </row>
        <row r="384">
          <cell r="A384">
            <v>383</v>
          </cell>
          <cell r="B384" t="str">
            <v>M 395</v>
          </cell>
        </row>
        <row r="385">
          <cell r="A385">
            <v>384</v>
          </cell>
          <cell r="B385" t="str">
            <v>Q 1</v>
          </cell>
        </row>
        <row r="386">
          <cell r="A386">
            <v>385</v>
          </cell>
          <cell r="B386" t="str">
            <v>M 368</v>
          </cell>
        </row>
        <row r="387">
          <cell r="A387">
            <v>386</v>
          </cell>
          <cell r="B387" t="str">
            <v>M 375</v>
          </cell>
        </row>
        <row r="388">
          <cell r="A388">
            <v>387</v>
          </cell>
          <cell r="B388" t="str">
            <v>M 9</v>
          </cell>
        </row>
        <row r="389">
          <cell r="A389">
            <v>388</v>
          </cell>
          <cell r="B389" t="str">
            <v>M 195</v>
          </cell>
        </row>
        <row r="390">
          <cell r="A390">
            <v>389</v>
          </cell>
          <cell r="B390" t="str">
            <v>M 491</v>
          </cell>
        </row>
        <row r="391">
          <cell r="A391">
            <v>390</v>
          </cell>
          <cell r="B391" t="str">
            <v>M 418</v>
          </cell>
        </row>
        <row r="392">
          <cell r="A392">
            <v>391</v>
          </cell>
          <cell r="B392" t="str">
            <v>M 428</v>
          </cell>
        </row>
        <row r="393">
          <cell r="A393">
            <v>392</v>
          </cell>
          <cell r="B393" t="str">
            <v>M 475</v>
          </cell>
        </row>
        <row r="394">
          <cell r="A394">
            <v>393</v>
          </cell>
          <cell r="B394" t="str">
            <v>Q 15</v>
          </cell>
        </row>
        <row r="395">
          <cell r="A395">
            <v>394</v>
          </cell>
          <cell r="B395" t="str">
            <v>M 482</v>
          </cell>
        </row>
        <row r="396">
          <cell r="A396">
            <v>395</v>
          </cell>
          <cell r="B396" t="str">
            <v>M 176</v>
          </cell>
        </row>
        <row r="397">
          <cell r="A397">
            <v>396</v>
          </cell>
          <cell r="B397" t="str">
            <v>M 416</v>
          </cell>
        </row>
        <row r="398">
          <cell r="A398">
            <v>397</v>
          </cell>
          <cell r="B398" t="str">
            <v>M 615</v>
          </cell>
        </row>
        <row r="399">
          <cell r="A399">
            <v>398</v>
          </cell>
          <cell r="B399" t="str">
            <v>M 478</v>
          </cell>
        </row>
        <row r="400">
          <cell r="A400">
            <v>399</v>
          </cell>
          <cell r="B400" t="str">
            <v>M 518</v>
          </cell>
        </row>
        <row r="401">
          <cell r="A401">
            <v>400</v>
          </cell>
          <cell r="B401" t="str">
            <v>M 394</v>
          </cell>
        </row>
        <row r="402">
          <cell r="A402">
            <v>401</v>
          </cell>
          <cell r="B402" t="str">
            <v>M 56</v>
          </cell>
        </row>
        <row r="403">
          <cell r="A403">
            <v>402</v>
          </cell>
          <cell r="B403" t="str">
            <v>M 369</v>
          </cell>
        </row>
        <row r="404">
          <cell r="A404">
            <v>403</v>
          </cell>
          <cell r="B404" t="str">
            <v>M 345</v>
          </cell>
        </row>
        <row r="405">
          <cell r="A405">
            <v>404</v>
          </cell>
          <cell r="B405" t="str">
            <v>M 600</v>
          </cell>
        </row>
        <row r="406">
          <cell r="A406">
            <v>405</v>
          </cell>
          <cell r="B406" t="str">
            <v>M 235</v>
          </cell>
        </row>
        <row r="407">
          <cell r="A407">
            <v>406</v>
          </cell>
          <cell r="B407" t="str">
            <v>M 219</v>
          </cell>
        </row>
        <row r="408">
          <cell r="A408">
            <v>407</v>
          </cell>
          <cell r="B408" t="str">
            <v>M 400</v>
          </cell>
        </row>
        <row r="409">
          <cell r="A409">
            <v>408</v>
          </cell>
          <cell r="B409" t="str">
            <v>M 429</v>
          </cell>
        </row>
        <row r="410">
          <cell r="A410">
            <v>409</v>
          </cell>
          <cell r="B410" t="str">
            <v>M 351</v>
          </cell>
        </row>
        <row r="411">
          <cell r="A411">
            <v>410</v>
          </cell>
          <cell r="B411" t="str">
            <v>M 365</v>
          </cell>
        </row>
        <row r="412">
          <cell r="A412">
            <v>411</v>
          </cell>
          <cell r="B412" t="str">
            <v>M 161</v>
          </cell>
        </row>
        <row r="413">
          <cell r="A413">
            <v>412</v>
          </cell>
          <cell r="B413" t="str">
            <v>M 413</v>
          </cell>
        </row>
        <row r="414">
          <cell r="A414">
            <v>413</v>
          </cell>
          <cell r="B414" t="str">
            <v>M 238</v>
          </cell>
        </row>
        <row r="415">
          <cell r="A415">
            <v>414</v>
          </cell>
          <cell r="B415" t="str">
            <v>M 592</v>
          </cell>
        </row>
        <row r="416">
          <cell r="A416">
            <v>415</v>
          </cell>
          <cell r="B416" t="str">
            <v>M 221</v>
          </cell>
        </row>
        <row r="417">
          <cell r="A417">
            <v>416</v>
          </cell>
          <cell r="B417" t="str">
            <v>M 380</v>
          </cell>
        </row>
        <row r="418">
          <cell r="A418">
            <v>417</v>
          </cell>
          <cell r="B418" t="str">
            <v>M 420</v>
          </cell>
        </row>
        <row r="419">
          <cell r="A419">
            <v>418</v>
          </cell>
          <cell r="B419" t="str">
            <v>M 477</v>
          </cell>
        </row>
        <row r="420">
          <cell r="A420">
            <v>419</v>
          </cell>
          <cell r="B420" t="str">
            <v>M 227</v>
          </cell>
        </row>
        <row r="421">
          <cell r="A421">
            <v>420</v>
          </cell>
          <cell r="B421" t="str">
            <v>Q 13</v>
          </cell>
        </row>
        <row r="422">
          <cell r="A422">
            <v>421</v>
          </cell>
          <cell r="B422" t="str">
            <v>M 337</v>
          </cell>
        </row>
        <row r="423">
          <cell r="A423">
            <v>422</v>
          </cell>
          <cell r="B423" t="str">
            <v>M 519</v>
          </cell>
        </row>
        <row r="424">
          <cell r="A424">
            <v>423</v>
          </cell>
          <cell r="B424" t="str">
            <v>M 225</v>
          </cell>
        </row>
        <row r="425">
          <cell r="A425">
            <v>424</v>
          </cell>
          <cell r="B425" t="str">
            <v>Q 5</v>
          </cell>
        </row>
        <row r="426">
          <cell r="A426">
            <v>425</v>
          </cell>
          <cell r="B426" t="str">
            <v>Q 10</v>
          </cell>
        </row>
        <row r="427">
          <cell r="A427">
            <v>426</v>
          </cell>
          <cell r="B427" t="str">
            <v>M 552</v>
          </cell>
        </row>
        <row r="428">
          <cell r="A428">
            <v>427</v>
          </cell>
          <cell r="B428" t="str">
            <v>M 181</v>
          </cell>
        </row>
        <row r="429">
          <cell r="A429">
            <v>428</v>
          </cell>
          <cell r="B429" t="str">
            <v>M 370</v>
          </cell>
        </row>
        <row r="430">
          <cell r="A430">
            <v>429</v>
          </cell>
          <cell r="B430" t="str">
            <v>M 86</v>
          </cell>
        </row>
        <row r="431">
          <cell r="A431">
            <v>430</v>
          </cell>
          <cell r="B431" t="str">
            <v>M 446</v>
          </cell>
        </row>
        <row r="432">
          <cell r="A432">
            <v>431</v>
          </cell>
          <cell r="B432" t="str">
            <v>M 249</v>
          </cell>
        </row>
        <row r="433">
          <cell r="A433">
            <v>432</v>
          </cell>
          <cell r="B433" t="str">
            <v>M 410</v>
          </cell>
        </row>
        <row r="434">
          <cell r="A434">
            <v>433</v>
          </cell>
          <cell r="B434" t="str">
            <v>M 569</v>
          </cell>
        </row>
        <row r="435">
          <cell r="A435">
            <v>434</v>
          </cell>
          <cell r="B435" t="str">
            <v>M 522</v>
          </cell>
        </row>
        <row r="436">
          <cell r="A436">
            <v>435</v>
          </cell>
          <cell r="B436" t="str">
            <v>Q 4</v>
          </cell>
        </row>
        <row r="437">
          <cell r="A437">
            <v>436</v>
          </cell>
          <cell r="B437" t="str">
            <v>M 601</v>
          </cell>
        </row>
        <row r="438">
          <cell r="A438">
            <v>437</v>
          </cell>
          <cell r="B438" t="str">
            <v>M 377</v>
          </cell>
        </row>
        <row r="439">
          <cell r="A439">
            <v>438</v>
          </cell>
          <cell r="B439" t="str">
            <v>M 507</v>
          </cell>
        </row>
        <row r="440">
          <cell r="A440">
            <v>439</v>
          </cell>
          <cell r="B440" t="str">
            <v>M 458</v>
          </cell>
        </row>
        <row r="441">
          <cell r="A441">
            <v>440</v>
          </cell>
          <cell r="B441" t="str">
            <v>M 214</v>
          </cell>
        </row>
        <row r="442">
          <cell r="A442">
            <v>441</v>
          </cell>
          <cell r="B442" t="str">
            <v>M 352</v>
          </cell>
        </row>
        <row r="443">
          <cell r="A443">
            <v>442</v>
          </cell>
          <cell r="B443" t="str">
            <v>Q 11</v>
          </cell>
        </row>
        <row r="444">
          <cell r="A444">
            <v>443</v>
          </cell>
          <cell r="B444" t="str">
            <v>M 505</v>
          </cell>
        </row>
        <row r="445">
          <cell r="A445">
            <v>444</v>
          </cell>
          <cell r="B445" t="str">
            <v>M 43</v>
          </cell>
        </row>
        <row r="446">
          <cell r="A446">
            <v>445</v>
          </cell>
          <cell r="B446" t="str">
            <v>M 401</v>
          </cell>
        </row>
        <row r="447">
          <cell r="A447">
            <v>446</v>
          </cell>
          <cell r="B447" t="str">
            <v>M 236</v>
          </cell>
        </row>
        <row r="448">
          <cell r="A448">
            <v>447</v>
          </cell>
          <cell r="B448" t="str">
            <v>M 168</v>
          </cell>
        </row>
        <row r="449">
          <cell r="A449">
            <v>448</v>
          </cell>
          <cell r="B449" t="str">
            <v>M 566</v>
          </cell>
        </row>
        <row r="450">
          <cell r="A450">
            <v>449</v>
          </cell>
          <cell r="B450" t="str">
            <v>M 358</v>
          </cell>
        </row>
        <row r="451">
          <cell r="A451">
            <v>450</v>
          </cell>
          <cell r="B451" t="str">
            <v>M 510</v>
          </cell>
        </row>
        <row r="452">
          <cell r="A452">
            <v>451</v>
          </cell>
          <cell r="B452" t="str">
            <v>Q 6</v>
          </cell>
        </row>
        <row r="453">
          <cell r="A453">
            <v>452</v>
          </cell>
          <cell r="B453" t="str">
            <v>M 614</v>
          </cell>
        </row>
        <row r="454">
          <cell r="A454">
            <v>453</v>
          </cell>
          <cell r="B454" t="str">
            <v>M 524</v>
          </cell>
        </row>
        <row r="455">
          <cell r="A455">
            <v>454</v>
          </cell>
          <cell r="B455" t="str">
            <v>M 474</v>
          </cell>
        </row>
        <row r="456">
          <cell r="A456">
            <v>455</v>
          </cell>
          <cell r="B456" t="str">
            <v>M 384</v>
          </cell>
        </row>
        <row r="457">
          <cell r="A457">
            <v>456</v>
          </cell>
          <cell r="B457" t="str">
            <v>M 417</v>
          </cell>
        </row>
        <row r="458">
          <cell r="A458">
            <v>457</v>
          </cell>
          <cell r="B458" t="str">
            <v>M 343</v>
          </cell>
        </row>
        <row r="459">
          <cell r="A459">
            <v>458</v>
          </cell>
          <cell r="B459" t="str">
            <v>M 381</v>
          </cell>
        </row>
        <row r="460">
          <cell r="A460">
            <v>459</v>
          </cell>
          <cell r="B460" t="str">
            <v>M 585</v>
          </cell>
        </row>
        <row r="461">
          <cell r="A461">
            <v>460</v>
          </cell>
          <cell r="B461" t="str">
            <v>M 65</v>
          </cell>
        </row>
        <row r="462">
          <cell r="A462">
            <v>461</v>
          </cell>
          <cell r="B462" t="str">
            <v>Q 3</v>
          </cell>
        </row>
        <row r="463">
          <cell r="A463">
            <v>462</v>
          </cell>
          <cell r="B463" t="str">
            <v>M 216</v>
          </cell>
        </row>
        <row r="464">
          <cell r="A464">
            <v>463</v>
          </cell>
          <cell r="B464" t="str">
            <v>M 496</v>
          </cell>
        </row>
        <row r="465">
          <cell r="A465">
            <v>464</v>
          </cell>
          <cell r="B465" t="str">
            <v>M 620</v>
          </cell>
        </row>
        <row r="466">
          <cell r="A466">
            <v>465</v>
          </cell>
          <cell r="B466" t="str">
            <v>M 612</v>
          </cell>
        </row>
        <row r="467">
          <cell r="A467">
            <v>466</v>
          </cell>
          <cell r="B467" t="str">
            <v>M 464</v>
          </cell>
        </row>
        <row r="468">
          <cell r="A468">
            <v>467</v>
          </cell>
          <cell r="B468" t="str">
            <v>M 382</v>
          </cell>
        </row>
        <row r="469">
          <cell r="A469">
            <v>468</v>
          </cell>
          <cell r="B469" t="str">
            <v>M 412</v>
          </cell>
        </row>
        <row r="470">
          <cell r="A470">
            <v>469</v>
          </cell>
          <cell r="B470" t="str">
            <v>Q 9</v>
          </cell>
        </row>
        <row r="471">
          <cell r="A471">
            <v>470</v>
          </cell>
          <cell r="B471" t="str">
            <v>M 44</v>
          </cell>
        </row>
        <row r="472">
          <cell r="A472">
            <v>471</v>
          </cell>
          <cell r="B472" t="str">
            <v>M 233</v>
          </cell>
        </row>
        <row r="473">
          <cell r="A473">
            <v>472</v>
          </cell>
          <cell r="B473" t="str">
            <v>M 560</v>
          </cell>
        </row>
        <row r="474">
          <cell r="A474">
            <v>473</v>
          </cell>
          <cell r="B474" t="str">
            <v>M 372</v>
          </cell>
        </row>
        <row r="475">
          <cell r="A475">
            <v>474</v>
          </cell>
          <cell r="B475" t="str">
            <v>M 589</v>
          </cell>
        </row>
        <row r="476">
          <cell r="A476">
            <v>475</v>
          </cell>
          <cell r="B476" t="str">
            <v>M 405</v>
          </cell>
        </row>
        <row r="477">
          <cell r="A477">
            <v>476</v>
          </cell>
          <cell r="B477" t="str">
            <v>M 376</v>
          </cell>
        </row>
        <row r="478">
          <cell r="A478">
            <v>477</v>
          </cell>
          <cell r="B478" t="str">
            <v>M 359</v>
          </cell>
        </row>
        <row r="479">
          <cell r="A479">
            <v>478</v>
          </cell>
          <cell r="B479" t="str">
            <v>M 347</v>
          </cell>
        </row>
        <row r="480">
          <cell r="A480">
            <v>479</v>
          </cell>
          <cell r="B480" t="str">
            <v>M 156</v>
          </cell>
        </row>
        <row r="481">
          <cell r="A481">
            <v>480</v>
          </cell>
          <cell r="B481" t="str">
            <v>M 36</v>
          </cell>
        </row>
        <row r="482">
          <cell r="A482">
            <v>481</v>
          </cell>
          <cell r="B482" t="str">
            <v>M 78</v>
          </cell>
        </row>
        <row r="483">
          <cell r="A483">
            <v>482</v>
          </cell>
          <cell r="B483" t="str">
            <v>M 480</v>
          </cell>
        </row>
        <row r="484">
          <cell r="A484">
            <v>483</v>
          </cell>
          <cell r="B484" t="str">
            <v>M 396</v>
          </cell>
        </row>
        <row r="485">
          <cell r="A485">
            <v>484</v>
          </cell>
          <cell r="B485" t="str">
            <v>M 20</v>
          </cell>
        </row>
        <row r="486">
          <cell r="A486">
            <v>485</v>
          </cell>
          <cell r="B486" t="str">
            <v>M 346</v>
          </cell>
        </row>
        <row r="487">
          <cell r="A487">
            <v>486</v>
          </cell>
          <cell r="B487" t="str">
            <v>M 203</v>
          </cell>
        </row>
        <row r="488">
          <cell r="A488">
            <v>487</v>
          </cell>
          <cell r="B488" t="str">
            <v>M 611</v>
          </cell>
        </row>
        <row r="489">
          <cell r="A489">
            <v>488</v>
          </cell>
          <cell r="B489" t="str">
            <v>M 443</v>
          </cell>
        </row>
        <row r="490">
          <cell r="A490">
            <v>489</v>
          </cell>
          <cell r="B490" t="str">
            <v>M 411</v>
          </cell>
        </row>
        <row r="491">
          <cell r="A491">
            <v>490</v>
          </cell>
          <cell r="B491" t="str">
            <v>M 537</v>
          </cell>
        </row>
        <row r="492">
          <cell r="A492">
            <v>491</v>
          </cell>
          <cell r="B492" t="str">
            <v>M 321</v>
          </cell>
        </row>
        <row r="493">
          <cell r="A493">
            <v>492</v>
          </cell>
          <cell r="B493" t="str">
            <v>M 344</v>
          </cell>
        </row>
        <row r="494">
          <cell r="A494">
            <v>493</v>
          </cell>
          <cell r="B494" t="str">
            <v>M 364</v>
          </cell>
        </row>
        <row r="495">
          <cell r="A495">
            <v>494</v>
          </cell>
          <cell r="B495" t="str">
            <v>M 419</v>
          </cell>
        </row>
        <row r="496">
          <cell r="A496">
            <v>495</v>
          </cell>
          <cell r="B496" t="str">
            <v>M 404</v>
          </cell>
        </row>
        <row r="497">
          <cell r="A497">
            <v>496</v>
          </cell>
          <cell r="B497" t="str">
            <v>M 250</v>
          </cell>
        </row>
        <row r="498">
          <cell r="A498">
            <v>497</v>
          </cell>
          <cell r="B498" t="str">
            <v>M 415</v>
          </cell>
        </row>
        <row r="499">
          <cell r="A499">
            <v>498</v>
          </cell>
          <cell r="B499" t="str">
            <v>Q 16</v>
          </cell>
        </row>
        <row r="500">
          <cell r="A500">
            <v>499</v>
          </cell>
          <cell r="B500" t="str">
            <v>M 344</v>
          </cell>
        </row>
        <row r="501">
          <cell r="A501">
            <v>500</v>
          </cell>
          <cell r="B501" t="str">
            <v>M 478</v>
          </cell>
        </row>
        <row r="502">
          <cell r="A502">
            <v>501</v>
          </cell>
          <cell r="B502" t="str">
            <v>M 227</v>
          </cell>
        </row>
        <row r="503">
          <cell r="A503">
            <v>502</v>
          </cell>
          <cell r="B503" t="str">
            <v>M 507</v>
          </cell>
        </row>
        <row r="504">
          <cell r="A504">
            <v>503</v>
          </cell>
          <cell r="B504" t="str">
            <v>M 321</v>
          </cell>
        </row>
        <row r="505">
          <cell r="A505">
            <v>504</v>
          </cell>
          <cell r="B505" t="str">
            <v>M 375</v>
          </cell>
        </row>
        <row r="506">
          <cell r="A506">
            <v>505</v>
          </cell>
          <cell r="B506" t="str">
            <v>M 612</v>
          </cell>
        </row>
        <row r="507">
          <cell r="A507">
            <v>506</v>
          </cell>
          <cell r="B507" t="str">
            <v>M 379</v>
          </cell>
        </row>
        <row r="508">
          <cell r="A508">
            <v>507</v>
          </cell>
          <cell r="B508" t="str">
            <v>M 446</v>
          </cell>
        </row>
        <row r="509">
          <cell r="A509">
            <v>508</v>
          </cell>
          <cell r="B509" t="str">
            <v>Q 3</v>
          </cell>
        </row>
        <row r="510">
          <cell r="A510">
            <v>509</v>
          </cell>
          <cell r="B510" t="str">
            <v>M 396</v>
          </cell>
        </row>
        <row r="511">
          <cell r="A511">
            <v>510</v>
          </cell>
          <cell r="B511" t="str">
            <v>M 322</v>
          </cell>
        </row>
        <row r="512">
          <cell r="A512">
            <v>511</v>
          </cell>
          <cell r="B512" t="str">
            <v>M 474</v>
          </cell>
        </row>
        <row r="513">
          <cell r="A513">
            <v>512</v>
          </cell>
          <cell r="B513" t="str">
            <v>M 351</v>
          </cell>
        </row>
        <row r="514">
          <cell r="A514">
            <v>513</v>
          </cell>
          <cell r="B514" t="str">
            <v>Q 7</v>
          </cell>
        </row>
        <row r="515">
          <cell r="A515">
            <v>514</v>
          </cell>
          <cell r="B515" t="str">
            <v>Q 1</v>
          </cell>
        </row>
        <row r="516">
          <cell r="A516">
            <v>515</v>
          </cell>
          <cell r="B516" t="str">
            <v>M 365</v>
          </cell>
        </row>
        <row r="517">
          <cell r="A517">
            <v>516</v>
          </cell>
          <cell r="B517" t="str">
            <v>M 491</v>
          </cell>
        </row>
        <row r="518">
          <cell r="A518">
            <v>517</v>
          </cell>
          <cell r="B518" t="str">
            <v>M 600</v>
          </cell>
        </row>
        <row r="519">
          <cell r="A519">
            <v>518</v>
          </cell>
          <cell r="B519" t="str">
            <v>M 480</v>
          </cell>
        </row>
        <row r="520">
          <cell r="A520">
            <v>519</v>
          </cell>
          <cell r="B520" t="str">
            <v>M 343</v>
          </cell>
        </row>
        <row r="521">
          <cell r="A521">
            <v>520</v>
          </cell>
          <cell r="B521" t="str">
            <v>M 510</v>
          </cell>
        </row>
        <row r="522">
          <cell r="A522">
            <v>521</v>
          </cell>
          <cell r="B522" t="str">
            <v>M 585</v>
          </cell>
        </row>
        <row r="523">
          <cell r="A523">
            <v>522</v>
          </cell>
          <cell r="B523" t="str">
            <v>M 20</v>
          </cell>
        </row>
        <row r="524">
          <cell r="A524">
            <v>523</v>
          </cell>
          <cell r="B524" t="str">
            <v>M 411</v>
          </cell>
        </row>
        <row r="525">
          <cell r="A525">
            <v>524</v>
          </cell>
          <cell r="B525" t="str">
            <v>M 208</v>
          </cell>
        </row>
        <row r="526">
          <cell r="A526">
            <v>525</v>
          </cell>
          <cell r="B526" t="str">
            <v>M 354</v>
          </cell>
        </row>
        <row r="527">
          <cell r="A527">
            <v>526</v>
          </cell>
          <cell r="B527" t="str">
            <v>M 537</v>
          </cell>
        </row>
        <row r="528">
          <cell r="A528">
            <v>527</v>
          </cell>
          <cell r="B528" t="str">
            <v>M 519</v>
          </cell>
        </row>
        <row r="529">
          <cell r="A529">
            <v>528</v>
          </cell>
          <cell r="B529" t="str">
            <v>M 238</v>
          </cell>
        </row>
        <row r="530">
          <cell r="A530">
            <v>529</v>
          </cell>
          <cell r="B530" t="str">
            <v>M 193</v>
          </cell>
        </row>
        <row r="531">
          <cell r="A531">
            <v>530</v>
          </cell>
          <cell r="B531" t="str">
            <v>M 590</v>
          </cell>
        </row>
        <row r="532">
          <cell r="A532">
            <v>531</v>
          </cell>
          <cell r="B532" t="str">
            <v>M 401</v>
          </cell>
        </row>
        <row r="533">
          <cell r="A533">
            <v>532</v>
          </cell>
          <cell r="B533" t="str">
            <v>M 372</v>
          </cell>
        </row>
        <row r="534">
          <cell r="A534">
            <v>533</v>
          </cell>
          <cell r="B534" t="str">
            <v>M 389</v>
          </cell>
        </row>
        <row r="535">
          <cell r="A535">
            <v>534</v>
          </cell>
          <cell r="B535" t="str">
            <v>M 566</v>
          </cell>
        </row>
        <row r="536">
          <cell r="A536">
            <v>535</v>
          </cell>
          <cell r="B536" t="str">
            <v>M 194</v>
          </cell>
        </row>
        <row r="537">
          <cell r="A537">
            <v>536</v>
          </cell>
          <cell r="B537" t="str">
            <v>M 363</v>
          </cell>
        </row>
        <row r="538">
          <cell r="A538">
            <v>537</v>
          </cell>
          <cell r="B538" t="str">
            <v>M 382</v>
          </cell>
        </row>
        <row r="539">
          <cell r="A539">
            <v>538</v>
          </cell>
          <cell r="B539" t="str">
            <v>M 168</v>
          </cell>
        </row>
        <row r="540">
          <cell r="A540">
            <v>539</v>
          </cell>
          <cell r="B540" t="str">
            <v>M 377</v>
          </cell>
        </row>
        <row r="541">
          <cell r="A541">
            <v>540</v>
          </cell>
          <cell r="B541" t="str">
            <v>M 156</v>
          </cell>
        </row>
        <row r="542">
          <cell r="A542">
            <v>541</v>
          </cell>
          <cell r="B542" t="str">
            <v>M 442</v>
          </cell>
        </row>
        <row r="543">
          <cell r="A543">
            <v>542</v>
          </cell>
          <cell r="B543" t="str">
            <v>M 407</v>
          </cell>
        </row>
        <row r="544">
          <cell r="A544">
            <v>543</v>
          </cell>
          <cell r="B544" t="str">
            <v>M 405</v>
          </cell>
        </row>
        <row r="545">
          <cell r="A545">
            <v>544</v>
          </cell>
          <cell r="B545" t="str">
            <v>M 388</v>
          </cell>
        </row>
        <row r="546">
          <cell r="A546">
            <v>545</v>
          </cell>
          <cell r="B546" t="str">
            <v>M 560</v>
          </cell>
        </row>
        <row r="547">
          <cell r="A547">
            <v>546</v>
          </cell>
          <cell r="B547" t="str">
            <v>M 355</v>
          </cell>
        </row>
        <row r="548">
          <cell r="A548">
            <v>547</v>
          </cell>
          <cell r="B548" t="str">
            <v>M 56</v>
          </cell>
        </row>
        <row r="549">
          <cell r="A549">
            <v>548</v>
          </cell>
          <cell r="B549" t="str">
            <v>M 392</v>
          </cell>
        </row>
        <row r="550">
          <cell r="A550">
            <v>549</v>
          </cell>
          <cell r="B550" t="str">
            <v>M 402</v>
          </cell>
        </row>
        <row r="551">
          <cell r="A551">
            <v>550</v>
          </cell>
          <cell r="B551" t="str">
            <v>M 364</v>
          </cell>
        </row>
        <row r="552">
          <cell r="A552">
            <v>551</v>
          </cell>
          <cell r="B552" t="str">
            <v>M 370</v>
          </cell>
        </row>
        <row r="553">
          <cell r="A553">
            <v>552</v>
          </cell>
          <cell r="B553" t="str">
            <v>M 376</v>
          </cell>
        </row>
        <row r="554">
          <cell r="A554">
            <v>553</v>
          </cell>
          <cell r="B554" t="str">
            <v>M 358</v>
          </cell>
        </row>
        <row r="555">
          <cell r="A555">
            <v>554</v>
          </cell>
          <cell r="B555" t="str">
            <v>M 79</v>
          </cell>
        </row>
        <row r="556">
          <cell r="A556">
            <v>555</v>
          </cell>
          <cell r="B556" t="str">
            <v>M 352</v>
          </cell>
        </row>
        <row r="557">
          <cell r="A557">
            <v>556</v>
          </cell>
          <cell r="B557" t="str">
            <v>M 620</v>
          </cell>
        </row>
        <row r="558">
          <cell r="A558">
            <v>557</v>
          </cell>
          <cell r="B558" t="str">
            <v>M 395</v>
          </cell>
        </row>
        <row r="559">
          <cell r="A559">
            <v>558</v>
          </cell>
          <cell r="B559" t="str">
            <v>M 346</v>
          </cell>
        </row>
        <row r="560">
          <cell r="A560">
            <v>559</v>
          </cell>
          <cell r="B560" t="str">
            <v>Q 10</v>
          </cell>
        </row>
        <row r="561">
          <cell r="A561">
            <v>560</v>
          </cell>
          <cell r="B561" t="str">
            <v>M 190</v>
          </cell>
        </row>
        <row r="562">
          <cell r="A562">
            <v>561</v>
          </cell>
          <cell r="B562" t="str">
            <v>M 185</v>
          </cell>
        </row>
        <row r="563">
          <cell r="A563">
            <v>562</v>
          </cell>
          <cell r="B563" t="str">
            <v>M 174</v>
          </cell>
        </row>
        <row r="564">
          <cell r="A564">
            <v>563</v>
          </cell>
          <cell r="B564" t="str">
            <v>Q 5</v>
          </cell>
        </row>
        <row r="565">
          <cell r="A565">
            <v>564</v>
          </cell>
          <cell r="B565" t="str">
            <v>M 420</v>
          </cell>
        </row>
        <row r="566">
          <cell r="A566">
            <v>565</v>
          </cell>
          <cell r="B566" t="str">
            <v>M 337</v>
          </cell>
        </row>
        <row r="567">
          <cell r="A567">
            <v>566</v>
          </cell>
          <cell r="B567" t="str">
            <v>M 416</v>
          </cell>
        </row>
        <row r="568">
          <cell r="A568">
            <v>567</v>
          </cell>
          <cell r="B568" t="str">
            <v>M 381</v>
          </cell>
        </row>
        <row r="569">
          <cell r="A569">
            <v>568</v>
          </cell>
          <cell r="B569" t="str">
            <v>M 404</v>
          </cell>
        </row>
        <row r="570">
          <cell r="A570">
            <v>569</v>
          </cell>
          <cell r="B570" t="str">
            <v>M 477</v>
          </cell>
        </row>
        <row r="571">
          <cell r="A571">
            <v>570</v>
          </cell>
          <cell r="B571" t="str">
            <v>M 235</v>
          </cell>
        </row>
        <row r="572">
          <cell r="A572">
            <v>571</v>
          </cell>
          <cell r="B572" t="str">
            <v>M 475</v>
          </cell>
        </row>
        <row r="573">
          <cell r="A573">
            <v>572</v>
          </cell>
          <cell r="B573" t="str">
            <v>M 482</v>
          </cell>
        </row>
        <row r="574">
          <cell r="A574">
            <v>573</v>
          </cell>
          <cell r="B574" t="str">
            <v>M 347</v>
          </cell>
        </row>
        <row r="575">
          <cell r="A575">
            <v>574</v>
          </cell>
          <cell r="B575" t="str">
            <v>M 489</v>
          </cell>
        </row>
        <row r="576">
          <cell r="A576">
            <v>575</v>
          </cell>
          <cell r="B576" t="str">
            <v>Q 13</v>
          </cell>
        </row>
        <row r="577">
          <cell r="A577">
            <v>576</v>
          </cell>
          <cell r="B577" t="str">
            <v>M 86</v>
          </cell>
        </row>
        <row r="578">
          <cell r="A578">
            <v>577</v>
          </cell>
          <cell r="B578" t="str">
            <v>M 78</v>
          </cell>
        </row>
        <row r="579">
          <cell r="A579">
            <v>578</v>
          </cell>
          <cell r="B579" t="str">
            <v>M 443</v>
          </cell>
        </row>
        <row r="580">
          <cell r="A580">
            <v>579</v>
          </cell>
          <cell r="B580" t="str">
            <v>M 464</v>
          </cell>
        </row>
        <row r="581">
          <cell r="A581">
            <v>580</v>
          </cell>
          <cell r="B581" t="str">
            <v>M 216</v>
          </cell>
        </row>
        <row r="582">
          <cell r="A582">
            <v>581</v>
          </cell>
          <cell r="B582" t="str">
            <v>Q 2</v>
          </cell>
        </row>
        <row r="583">
          <cell r="A583">
            <v>582</v>
          </cell>
          <cell r="B583" t="str">
            <v>Q 15</v>
          </cell>
        </row>
        <row r="584">
          <cell r="A584">
            <v>583</v>
          </cell>
          <cell r="B584" t="str">
            <v>M 380</v>
          </cell>
        </row>
        <row r="585">
          <cell r="A585">
            <v>584</v>
          </cell>
          <cell r="B585" t="str">
            <v>M 225</v>
          </cell>
        </row>
        <row r="586">
          <cell r="A586">
            <v>585</v>
          </cell>
          <cell r="B586" t="str">
            <v>M 458</v>
          </cell>
        </row>
        <row r="587">
          <cell r="A587">
            <v>586</v>
          </cell>
          <cell r="B587" t="str">
            <v>M 428</v>
          </cell>
        </row>
        <row r="588">
          <cell r="A588">
            <v>587</v>
          </cell>
          <cell r="B588" t="str">
            <v>M 249</v>
          </cell>
        </row>
        <row r="589">
          <cell r="A589">
            <v>588</v>
          </cell>
          <cell r="B589" t="str">
            <v>M 170</v>
          </cell>
        </row>
        <row r="590">
          <cell r="A590">
            <v>589</v>
          </cell>
          <cell r="B590" t="str">
            <v>M 236</v>
          </cell>
        </row>
        <row r="591">
          <cell r="A591">
            <v>590</v>
          </cell>
          <cell r="B591" t="str">
            <v>M 9</v>
          </cell>
        </row>
        <row r="592">
          <cell r="A592">
            <v>591</v>
          </cell>
          <cell r="B592" t="str">
            <v>M 415</v>
          </cell>
        </row>
        <row r="593">
          <cell r="A593">
            <v>592</v>
          </cell>
          <cell r="B593" t="str">
            <v>M 524</v>
          </cell>
        </row>
        <row r="594">
          <cell r="A594">
            <v>593</v>
          </cell>
          <cell r="B594" t="str">
            <v>M 43</v>
          </cell>
        </row>
        <row r="595">
          <cell r="A595">
            <v>594</v>
          </cell>
          <cell r="B595" t="str">
            <v>M 345</v>
          </cell>
        </row>
        <row r="596">
          <cell r="A596">
            <v>595</v>
          </cell>
          <cell r="B596" t="str">
            <v>M 518</v>
          </cell>
        </row>
        <row r="597">
          <cell r="A597">
            <v>596</v>
          </cell>
          <cell r="B597" t="str">
            <v>M 610</v>
          </cell>
        </row>
        <row r="598">
          <cell r="A598">
            <v>597</v>
          </cell>
          <cell r="B598" t="str">
            <v>M 523</v>
          </cell>
        </row>
        <row r="599">
          <cell r="A599">
            <v>598</v>
          </cell>
          <cell r="B599" t="str">
            <v>M 3</v>
          </cell>
        </row>
        <row r="600">
          <cell r="A600">
            <v>599</v>
          </cell>
          <cell r="B600" t="str">
            <v>M 505</v>
          </cell>
        </row>
        <row r="601">
          <cell r="A601">
            <v>600</v>
          </cell>
          <cell r="B601" t="str">
            <v>M 418</v>
          </cell>
        </row>
        <row r="602">
          <cell r="A602">
            <v>601</v>
          </cell>
          <cell r="B602" t="str">
            <v>M 492</v>
          </cell>
        </row>
        <row r="603">
          <cell r="A603">
            <v>602</v>
          </cell>
          <cell r="B603" t="str">
            <v>M 361</v>
          </cell>
        </row>
        <row r="604">
          <cell r="A604">
            <v>603</v>
          </cell>
          <cell r="B604" t="str">
            <v>M 359</v>
          </cell>
        </row>
        <row r="605">
          <cell r="A605">
            <v>604</v>
          </cell>
          <cell r="B605" t="str">
            <v>M 552</v>
          </cell>
        </row>
        <row r="606">
          <cell r="A606">
            <v>605</v>
          </cell>
          <cell r="B606" t="str">
            <v>M 421</v>
          </cell>
        </row>
        <row r="607">
          <cell r="A607">
            <v>606</v>
          </cell>
          <cell r="B607" t="str">
            <v>M 410</v>
          </cell>
        </row>
        <row r="608">
          <cell r="A608">
            <v>607</v>
          </cell>
          <cell r="B608" t="str">
            <v>M 384</v>
          </cell>
        </row>
        <row r="609">
          <cell r="A609">
            <v>608</v>
          </cell>
          <cell r="B609" t="str">
            <v>M 341</v>
          </cell>
        </row>
        <row r="610">
          <cell r="A610">
            <v>609</v>
          </cell>
          <cell r="B610" t="str">
            <v>M 398</v>
          </cell>
        </row>
        <row r="611">
          <cell r="A611">
            <v>610</v>
          </cell>
          <cell r="B611" t="str">
            <v>M 496</v>
          </cell>
        </row>
        <row r="612">
          <cell r="A612">
            <v>611</v>
          </cell>
          <cell r="B612" t="str">
            <v>M 412</v>
          </cell>
        </row>
        <row r="613">
          <cell r="A613">
            <v>612</v>
          </cell>
          <cell r="B613" t="str">
            <v>M 349</v>
          </cell>
        </row>
        <row r="614">
          <cell r="A614">
            <v>613</v>
          </cell>
          <cell r="B614" t="str">
            <v>M 369</v>
          </cell>
        </row>
        <row r="615">
          <cell r="A615">
            <v>614</v>
          </cell>
          <cell r="B615" t="str">
            <v>M 391</v>
          </cell>
        </row>
        <row r="616">
          <cell r="A616">
            <v>615</v>
          </cell>
          <cell r="B616" t="str">
            <v>M 250</v>
          </cell>
        </row>
        <row r="617">
          <cell r="A617">
            <v>616</v>
          </cell>
          <cell r="B617" t="str">
            <v>M 176</v>
          </cell>
        </row>
        <row r="618">
          <cell r="A618">
            <v>617</v>
          </cell>
          <cell r="B618" t="str">
            <v>M 214</v>
          </cell>
        </row>
        <row r="619">
          <cell r="A619">
            <v>618</v>
          </cell>
          <cell r="B619" t="str">
            <v>M 173</v>
          </cell>
        </row>
        <row r="620">
          <cell r="A620">
            <v>619</v>
          </cell>
          <cell r="B620" t="str">
            <v>M 161</v>
          </cell>
        </row>
        <row r="621">
          <cell r="A621">
            <v>620</v>
          </cell>
          <cell r="B621" t="str">
            <v>M 614</v>
          </cell>
        </row>
        <row r="622">
          <cell r="A622">
            <v>621</v>
          </cell>
          <cell r="B622" t="str">
            <v>Q 6</v>
          </cell>
        </row>
        <row r="623">
          <cell r="A623">
            <v>622</v>
          </cell>
          <cell r="B623" t="str">
            <v>M 181</v>
          </cell>
        </row>
        <row r="624">
          <cell r="A624">
            <v>623</v>
          </cell>
          <cell r="B624" t="str">
            <v>M 203</v>
          </cell>
        </row>
        <row r="625">
          <cell r="A625">
            <v>624</v>
          </cell>
          <cell r="B625" t="str">
            <v>M 368</v>
          </cell>
        </row>
        <row r="626">
          <cell r="A626">
            <v>625</v>
          </cell>
          <cell r="B626" t="str">
            <v>M 406</v>
          </cell>
        </row>
        <row r="627">
          <cell r="A627">
            <v>626</v>
          </cell>
          <cell r="B627" t="str">
            <v>M 233</v>
          </cell>
        </row>
        <row r="628">
          <cell r="A628">
            <v>627</v>
          </cell>
          <cell r="B628" t="str">
            <v>M 65</v>
          </cell>
        </row>
        <row r="629">
          <cell r="A629">
            <v>628</v>
          </cell>
          <cell r="B629" t="str">
            <v>M 484</v>
          </cell>
        </row>
        <row r="630">
          <cell r="A630">
            <v>629</v>
          </cell>
          <cell r="B630" t="str">
            <v>M 41</v>
          </cell>
        </row>
        <row r="631">
          <cell r="A631">
            <v>630</v>
          </cell>
          <cell r="B631" t="str">
            <v>Q 12</v>
          </cell>
        </row>
        <row r="632">
          <cell r="A632">
            <v>631</v>
          </cell>
          <cell r="B632" t="str">
            <v>Q 11</v>
          </cell>
        </row>
        <row r="633">
          <cell r="A633">
            <v>632</v>
          </cell>
          <cell r="B633" t="str">
            <v>M 134</v>
          </cell>
        </row>
        <row r="634">
          <cell r="A634">
            <v>633</v>
          </cell>
          <cell r="B634" t="str">
            <v>M 444</v>
          </cell>
        </row>
        <row r="635">
          <cell r="A635">
            <v>634</v>
          </cell>
          <cell r="B635" t="str">
            <v>M 592</v>
          </cell>
        </row>
        <row r="636">
          <cell r="A636">
            <v>635</v>
          </cell>
          <cell r="B636" t="str">
            <v>M 400</v>
          </cell>
        </row>
        <row r="637">
          <cell r="A637">
            <v>636</v>
          </cell>
          <cell r="B637" t="str">
            <v>Q 16</v>
          </cell>
        </row>
        <row r="638">
          <cell r="A638">
            <v>637</v>
          </cell>
          <cell r="B638" t="str">
            <v>M 621</v>
          </cell>
        </row>
        <row r="639">
          <cell r="A639">
            <v>638</v>
          </cell>
          <cell r="B639" t="str">
            <v>M 419</v>
          </cell>
        </row>
        <row r="640">
          <cell r="A640">
            <v>639</v>
          </cell>
          <cell r="B640" t="str">
            <v>M 387</v>
          </cell>
        </row>
        <row r="641">
          <cell r="A641">
            <v>640</v>
          </cell>
          <cell r="B641" t="str">
            <v>M 356</v>
          </cell>
        </row>
        <row r="642">
          <cell r="A642">
            <v>641</v>
          </cell>
          <cell r="B642" t="str">
            <v>M 615</v>
          </cell>
        </row>
        <row r="643">
          <cell r="A643">
            <v>642</v>
          </cell>
          <cell r="B643" t="str">
            <v>M 413</v>
          </cell>
        </row>
        <row r="644">
          <cell r="A644">
            <v>643</v>
          </cell>
          <cell r="B644" t="str">
            <v>M 366</v>
          </cell>
        </row>
        <row r="645">
          <cell r="A645">
            <v>644</v>
          </cell>
          <cell r="B645" t="str">
            <v>Q 8</v>
          </cell>
        </row>
        <row r="646">
          <cell r="A646">
            <v>645</v>
          </cell>
          <cell r="B646" t="str">
            <v>M 601</v>
          </cell>
        </row>
        <row r="647">
          <cell r="A647">
            <v>646</v>
          </cell>
          <cell r="B647" t="str">
            <v>M 221</v>
          </cell>
        </row>
        <row r="648">
          <cell r="A648">
            <v>647</v>
          </cell>
          <cell r="B648" t="str">
            <v>M 417</v>
          </cell>
        </row>
        <row r="649">
          <cell r="A649">
            <v>648</v>
          </cell>
          <cell r="B649" t="str">
            <v>M 394</v>
          </cell>
        </row>
        <row r="650">
          <cell r="A650">
            <v>649</v>
          </cell>
          <cell r="B650" t="str">
            <v>M 215</v>
          </cell>
        </row>
        <row r="651">
          <cell r="A651">
            <v>650</v>
          </cell>
          <cell r="B651" t="str">
            <v>M 414</v>
          </cell>
        </row>
        <row r="652">
          <cell r="A652">
            <v>651</v>
          </cell>
          <cell r="B652" t="str">
            <v>M 616</v>
          </cell>
        </row>
        <row r="653">
          <cell r="A653">
            <v>652</v>
          </cell>
          <cell r="B653" t="str">
            <v>Q 4</v>
          </cell>
        </row>
        <row r="654">
          <cell r="A654">
            <v>653</v>
          </cell>
          <cell r="B654" t="str">
            <v>Q 14</v>
          </cell>
        </row>
        <row r="655">
          <cell r="A655">
            <v>654</v>
          </cell>
          <cell r="B655" t="str">
            <v>M 219</v>
          </cell>
        </row>
        <row r="656">
          <cell r="A656">
            <v>655</v>
          </cell>
          <cell r="B656" t="str">
            <v>M 378</v>
          </cell>
        </row>
        <row r="657">
          <cell r="A657">
            <v>656</v>
          </cell>
          <cell r="B657" t="str">
            <v>M 522</v>
          </cell>
        </row>
        <row r="658">
          <cell r="A658">
            <v>657</v>
          </cell>
          <cell r="B658" t="str">
            <v>Q 9</v>
          </cell>
        </row>
        <row r="659">
          <cell r="A659">
            <v>658</v>
          </cell>
          <cell r="B659" t="str">
            <v>M 611</v>
          </cell>
        </row>
        <row r="660">
          <cell r="A660">
            <v>659</v>
          </cell>
          <cell r="B660" t="str">
            <v>M 195</v>
          </cell>
        </row>
        <row r="661">
          <cell r="A661">
            <v>660</v>
          </cell>
          <cell r="B661" t="str">
            <v>M 44</v>
          </cell>
        </row>
        <row r="662">
          <cell r="A662">
            <v>661</v>
          </cell>
          <cell r="B662" t="str">
            <v>M 589</v>
          </cell>
        </row>
        <row r="663">
          <cell r="A663">
            <v>662</v>
          </cell>
          <cell r="B663" t="str">
            <v>M 569</v>
          </cell>
        </row>
        <row r="664">
          <cell r="A664">
            <v>663</v>
          </cell>
          <cell r="B664" t="str">
            <v>M 429</v>
          </cell>
        </row>
        <row r="665">
          <cell r="A665">
            <v>664</v>
          </cell>
          <cell r="B665" t="str">
            <v>M 36</v>
          </cell>
        </row>
        <row r="666">
          <cell r="A666">
            <v>665</v>
          </cell>
          <cell r="B666" t="str">
            <v>M 405</v>
          </cell>
        </row>
        <row r="667">
          <cell r="A667">
            <v>666</v>
          </cell>
          <cell r="B667" t="str">
            <v>M 375</v>
          </cell>
        </row>
        <row r="668">
          <cell r="A668">
            <v>667</v>
          </cell>
          <cell r="B668" t="str">
            <v>M 378</v>
          </cell>
        </row>
        <row r="669">
          <cell r="A669">
            <v>668</v>
          </cell>
          <cell r="B669" t="str">
            <v>M 585</v>
          </cell>
        </row>
        <row r="670">
          <cell r="A670">
            <v>669</v>
          </cell>
          <cell r="B670" t="str">
            <v>Q 8</v>
          </cell>
        </row>
        <row r="671">
          <cell r="A671">
            <v>670</v>
          </cell>
          <cell r="B671" t="str">
            <v>M 377</v>
          </cell>
        </row>
        <row r="672">
          <cell r="A672">
            <v>671</v>
          </cell>
          <cell r="B672" t="str">
            <v>M 601</v>
          </cell>
        </row>
        <row r="673">
          <cell r="A673">
            <v>672</v>
          </cell>
          <cell r="B673" t="str">
            <v>M 589</v>
          </cell>
        </row>
        <row r="674">
          <cell r="A674">
            <v>673</v>
          </cell>
          <cell r="B674" t="str">
            <v>M 524</v>
          </cell>
        </row>
        <row r="675">
          <cell r="A675">
            <v>674</v>
          </cell>
          <cell r="B675" t="str">
            <v>M 221</v>
          </cell>
        </row>
        <row r="676">
          <cell r="A676">
            <v>675</v>
          </cell>
          <cell r="B676" t="str">
            <v>M 365</v>
          </cell>
        </row>
        <row r="677">
          <cell r="A677">
            <v>676</v>
          </cell>
          <cell r="B677" t="str">
            <v>M 404</v>
          </cell>
        </row>
        <row r="678">
          <cell r="A678">
            <v>677</v>
          </cell>
          <cell r="B678" t="str">
            <v>M 523</v>
          </cell>
        </row>
        <row r="679">
          <cell r="A679">
            <v>678</v>
          </cell>
          <cell r="B679" t="str">
            <v>Q 2</v>
          </cell>
        </row>
        <row r="680">
          <cell r="A680">
            <v>679</v>
          </cell>
          <cell r="B680" t="str">
            <v>M 592</v>
          </cell>
        </row>
        <row r="681">
          <cell r="A681">
            <v>680</v>
          </cell>
          <cell r="B681" t="str">
            <v>M 65</v>
          </cell>
        </row>
        <row r="682">
          <cell r="A682">
            <v>681</v>
          </cell>
          <cell r="B682" t="str">
            <v>M 352</v>
          </cell>
        </row>
        <row r="683">
          <cell r="A683">
            <v>682</v>
          </cell>
          <cell r="B683" t="str">
            <v>M 420</v>
          </cell>
        </row>
        <row r="684">
          <cell r="A684">
            <v>683</v>
          </cell>
          <cell r="B684" t="str">
            <v>M 368</v>
          </cell>
        </row>
        <row r="685">
          <cell r="A685">
            <v>684</v>
          </cell>
          <cell r="B685" t="str">
            <v>Q 1</v>
          </cell>
        </row>
        <row r="686">
          <cell r="A686">
            <v>685</v>
          </cell>
          <cell r="B686" t="str">
            <v>M 214</v>
          </cell>
        </row>
        <row r="687">
          <cell r="A687">
            <v>686</v>
          </cell>
          <cell r="B687" t="str">
            <v>M 170</v>
          </cell>
        </row>
        <row r="688">
          <cell r="A688">
            <v>687</v>
          </cell>
          <cell r="B688" t="str">
            <v>Q 9</v>
          </cell>
        </row>
        <row r="689">
          <cell r="A689">
            <v>688</v>
          </cell>
          <cell r="B689" t="str">
            <v>Q 14</v>
          </cell>
        </row>
        <row r="690">
          <cell r="A690">
            <v>689</v>
          </cell>
          <cell r="B690" t="str">
            <v>M 168</v>
          </cell>
        </row>
        <row r="691">
          <cell r="A691">
            <v>690</v>
          </cell>
          <cell r="B691" t="str">
            <v>M 507</v>
          </cell>
        </row>
        <row r="692">
          <cell r="A692">
            <v>691</v>
          </cell>
          <cell r="B692" t="str">
            <v>M 537</v>
          </cell>
        </row>
        <row r="693">
          <cell r="A693">
            <v>692</v>
          </cell>
          <cell r="B693" t="str">
            <v>Q 15</v>
          </cell>
        </row>
        <row r="694">
          <cell r="A694">
            <v>693</v>
          </cell>
          <cell r="B694" t="str">
            <v>M 203</v>
          </cell>
        </row>
        <row r="695">
          <cell r="A695">
            <v>694</v>
          </cell>
          <cell r="B695" t="str">
            <v>M 233</v>
          </cell>
        </row>
        <row r="696">
          <cell r="A696">
            <v>695</v>
          </cell>
          <cell r="B696" t="str">
            <v>M 505</v>
          </cell>
        </row>
        <row r="697">
          <cell r="A697">
            <v>696</v>
          </cell>
          <cell r="B697" t="str">
            <v>M 612</v>
          </cell>
        </row>
        <row r="698">
          <cell r="A698">
            <v>697</v>
          </cell>
          <cell r="B698" t="str">
            <v>M 349</v>
          </cell>
        </row>
        <row r="699">
          <cell r="A699">
            <v>698</v>
          </cell>
          <cell r="B699" t="str">
            <v>M 354</v>
          </cell>
        </row>
        <row r="700">
          <cell r="A700">
            <v>699</v>
          </cell>
          <cell r="B700" t="str">
            <v>M 415</v>
          </cell>
        </row>
        <row r="701">
          <cell r="A701">
            <v>700</v>
          </cell>
          <cell r="B701" t="str">
            <v>M 398</v>
          </cell>
        </row>
        <row r="702">
          <cell r="A702">
            <v>701</v>
          </cell>
          <cell r="B702" t="str">
            <v>M 250</v>
          </cell>
        </row>
        <row r="703">
          <cell r="A703">
            <v>702</v>
          </cell>
          <cell r="B703" t="str">
            <v>M 522</v>
          </cell>
        </row>
        <row r="704">
          <cell r="A704">
            <v>703</v>
          </cell>
          <cell r="B704" t="str">
            <v>M 79</v>
          </cell>
        </row>
        <row r="705">
          <cell r="A705">
            <v>704</v>
          </cell>
          <cell r="B705" t="str">
            <v>M 219</v>
          </cell>
        </row>
        <row r="706">
          <cell r="A706">
            <v>705</v>
          </cell>
          <cell r="B706" t="str">
            <v>M 615</v>
          </cell>
        </row>
        <row r="707">
          <cell r="A707">
            <v>706</v>
          </cell>
          <cell r="B707" t="str">
            <v>M 359</v>
          </cell>
        </row>
        <row r="708">
          <cell r="A708">
            <v>707</v>
          </cell>
          <cell r="B708" t="str">
            <v>Q 11</v>
          </cell>
        </row>
        <row r="709">
          <cell r="A709">
            <v>708</v>
          </cell>
          <cell r="B709" t="str">
            <v>M 363</v>
          </cell>
        </row>
        <row r="710">
          <cell r="A710">
            <v>709</v>
          </cell>
          <cell r="B710" t="str">
            <v>Q 3</v>
          </cell>
        </row>
        <row r="711">
          <cell r="A711">
            <v>710</v>
          </cell>
          <cell r="B711" t="str">
            <v>M 20</v>
          </cell>
        </row>
        <row r="712">
          <cell r="A712">
            <v>711</v>
          </cell>
          <cell r="B712" t="str">
            <v>M 620</v>
          </cell>
        </row>
        <row r="713">
          <cell r="A713">
            <v>712</v>
          </cell>
          <cell r="B713" t="str">
            <v>M 341</v>
          </cell>
        </row>
        <row r="714">
          <cell r="A714">
            <v>713</v>
          </cell>
          <cell r="B714" t="str">
            <v>M 446</v>
          </cell>
        </row>
        <row r="715">
          <cell r="A715">
            <v>714</v>
          </cell>
          <cell r="B715" t="str">
            <v>M 414</v>
          </cell>
        </row>
        <row r="716">
          <cell r="A716">
            <v>715</v>
          </cell>
          <cell r="B716" t="str">
            <v>Q 6</v>
          </cell>
        </row>
        <row r="717">
          <cell r="A717">
            <v>716</v>
          </cell>
          <cell r="B717" t="str">
            <v>M 496</v>
          </cell>
        </row>
        <row r="718">
          <cell r="A718">
            <v>717</v>
          </cell>
          <cell r="B718" t="str">
            <v>M 610</v>
          </cell>
        </row>
        <row r="719">
          <cell r="A719">
            <v>718</v>
          </cell>
          <cell r="B719" t="str">
            <v>M 419</v>
          </cell>
        </row>
        <row r="720">
          <cell r="A720">
            <v>719</v>
          </cell>
          <cell r="B720" t="str">
            <v>M 395</v>
          </cell>
        </row>
        <row r="721">
          <cell r="A721">
            <v>720</v>
          </cell>
          <cell r="B721" t="str">
            <v>M 215</v>
          </cell>
        </row>
        <row r="722">
          <cell r="A722">
            <v>721</v>
          </cell>
          <cell r="B722" t="str">
            <v>M 322</v>
          </cell>
        </row>
        <row r="723">
          <cell r="A723">
            <v>722</v>
          </cell>
          <cell r="B723" t="str">
            <v>M 402</v>
          </cell>
        </row>
        <row r="724">
          <cell r="A724">
            <v>723</v>
          </cell>
          <cell r="B724" t="str">
            <v>M 418</v>
          </cell>
        </row>
        <row r="725">
          <cell r="A725">
            <v>724</v>
          </cell>
          <cell r="B725" t="str">
            <v>M 361</v>
          </cell>
        </row>
        <row r="726">
          <cell r="A726">
            <v>725</v>
          </cell>
          <cell r="B726" t="str">
            <v>M 78</v>
          </cell>
        </row>
        <row r="727">
          <cell r="A727">
            <v>726</v>
          </cell>
          <cell r="B727" t="str">
            <v>M 369</v>
          </cell>
        </row>
        <row r="728">
          <cell r="A728">
            <v>727</v>
          </cell>
          <cell r="B728" t="str">
            <v>M 43</v>
          </cell>
        </row>
        <row r="729">
          <cell r="A729">
            <v>728</v>
          </cell>
          <cell r="B729" t="str">
            <v>M 458</v>
          </cell>
        </row>
        <row r="730">
          <cell r="A730">
            <v>729</v>
          </cell>
          <cell r="B730" t="str">
            <v>M 400</v>
          </cell>
        </row>
        <row r="731">
          <cell r="A731">
            <v>730</v>
          </cell>
          <cell r="B731" t="str">
            <v>M 474</v>
          </cell>
        </row>
        <row r="732">
          <cell r="A732">
            <v>731</v>
          </cell>
          <cell r="B732" t="str">
            <v>M 491</v>
          </cell>
        </row>
        <row r="733">
          <cell r="A733">
            <v>732</v>
          </cell>
          <cell r="B733" t="str">
            <v>M 227</v>
          </cell>
        </row>
        <row r="734">
          <cell r="A734">
            <v>733</v>
          </cell>
          <cell r="B734" t="str">
            <v>M 343</v>
          </cell>
        </row>
        <row r="735">
          <cell r="A735">
            <v>734</v>
          </cell>
          <cell r="B735" t="str">
            <v>M 44</v>
          </cell>
        </row>
        <row r="736">
          <cell r="A736">
            <v>735</v>
          </cell>
          <cell r="B736" t="str">
            <v>M 429</v>
          </cell>
        </row>
        <row r="737">
          <cell r="A737">
            <v>736</v>
          </cell>
          <cell r="B737" t="str">
            <v>M 249</v>
          </cell>
        </row>
        <row r="738">
          <cell r="A738">
            <v>737</v>
          </cell>
          <cell r="B738" t="str">
            <v>M 56</v>
          </cell>
        </row>
        <row r="739">
          <cell r="A739">
            <v>738</v>
          </cell>
          <cell r="B739" t="str">
            <v>M 411</v>
          </cell>
        </row>
        <row r="740">
          <cell r="A740">
            <v>739</v>
          </cell>
          <cell r="B740" t="str">
            <v>Q 16</v>
          </cell>
        </row>
        <row r="741">
          <cell r="A741">
            <v>740</v>
          </cell>
          <cell r="B741" t="str">
            <v>M 406</v>
          </cell>
        </row>
        <row r="742">
          <cell r="A742">
            <v>741</v>
          </cell>
          <cell r="B742" t="str">
            <v>M 396</v>
          </cell>
        </row>
        <row r="743">
          <cell r="A743">
            <v>742</v>
          </cell>
          <cell r="B743" t="str">
            <v>M 444</v>
          </cell>
        </row>
        <row r="744">
          <cell r="A744">
            <v>743</v>
          </cell>
          <cell r="B744" t="str">
            <v>M 380</v>
          </cell>
        </row>
        <row r="745">
          <cell r="A745">
            <v>744</v>
          </cell>
          <cell r="B745" t="str">
            <v>M 379</v>
          </cell>
        </row>
        <row r="746">
          <cell r="A746">
            <v>745</v>
          </cell>
          <cell r="B746" t="str">
            <v>M 417</v>
          </cell>
        </row>
        <row r="747">
          <cell r="A747">
            <v>746</v>
          </cell>
          <cell r="B747" t="str">
            <v>M 614</v>
          </cell>
        </row>
        <row r="748">
          <cell r="A748">
            <v>747</v>
          </cell>
          <cell r="B748" t="str">
            <v>M 36</v>
          </cell>
        </row>
        <row r="749">
          <cell r="A749">
            <v>748</v>
          </cell>
          <cell r="B749" t="str">
            <v>M 337</v>
          </cell>
        </row>
        <row r="750">
          <cell r="A750">
            <v>749</v>
          </cell>
          <cell r="B750" t="str">
            <v>M 355</v>
          </cell>
        </row>
        <row r="751">
          <cell r="A751">
            <v>750</v>
          </cell>
          <cell r="B751" t="str">
            <v>M 216</v>
          </cell>
        </row>
        <row r="752">
          <cell r="A752">
            <v>751</v>
          </cell>
          <cell r="B752" t="str">
            <v>M 443</v>
          </cell>
        </row>
        <row r="753">
          <cell r="A753">
            <v>752</v>
          </cell>
          <cell r="B753" t="str">
            <v>M 442</v>
          </cell>
        </row>
        <row r="754">
          <cell r="A754">
            <v>753</v>
          </cell>
          <cell r="B754" t="str">
            <v>M 552</v>
          </cell>
        </row>
        <row r="755">
          <cell r="A755">
            <v>754</v>
          </cell>
          <cell r="B755" t="str">
            <v>M 346</v>
          </cell>
        </row>
        <row r="756">
          <cell r="A756">
            <v>755</v>
          </cell>
          <cell r="B756" t="str">
            <v>M 185</v>
          </cell>
        </row>
        <row r="757">
          <cell r="A757">
            <v>756</v>
          </cell>
          <cell r="B757" t="str">
            <v>M 358</v>
          </cell>
        </row>
        <row r="758">
          <cell r="A758">
            <v>757</v>
          </cell>
          <cell r="B758" t="str">
            <v>M 238</v>
          </cell>
        </row>
        <row r="759">
          <cell r="A759">
            <v>758</v>
          </cell>
          <cell r="B759" t="str">
            <v>M 394</v>
          </cell>
        </row>
        <row r="760">
          <cell r="A760">
            <v>759</v>
          </cell>
          <cell r="B760" t="str">
            <v>M 480</v>
          </cell>
        </row>
        <row r="761">
          <cell r="A761">
            <v>760</v>
          </cell>
          <cell r="B761" t="str">
            <v>M 345</v>
          </cell>
        </row>
        <row r="762">
          <cell r="A762">
            <v>761</v>
          </cell>
          <cell r="B762" t="str">
            <v>M 519</v>
          </cell>
        </row>
        <row r="763">
          <cell r="A763">
            <v>762</v>
          </cell>
          <cell r="B763" t="str">
            <v>M 9</v>
          </cell>
        </row>
        <row r="764">
          <cell r="A764">
            <v>763</v>
          </cell>
          <cell r="B764" t="str">
            <v>M 193</v>
          </cell>
        </row>
        <row r="765">
          <cell r="A765">
            <v>764</v>
          </cell>
          <cell r="B765" t="str">
            <v>M 482</v>
          </cell>
        </row>
        <row r="766">
          <cell r="A766">
            <v>765</v>
          </cell>
          <cell r="B766" t="str">
            <v>Q 5</v>
          </cell>
        </row>
        <row r="767">
          <cell r="A767">
            <v>766</v>
          </cell>
          <cell r="B767" t="str">
            <v>M 413</v>
          </cell>
        </row>
        <row r="768">
          <cell r="A768">
            <v>767</v>
          </cell>
          <cell r="B768" t="str">
            <v>M 412</v>
          </cell>
        </row>
        <row r="769">
          <cell r="A769">
            <v>768</v>
          </cell>
          <cell r="B769" t="str">
            <v>M 174</v>
          </cell>
        </row>
        <row r="770">
          <cell r="A770">
            <v>769</v>
          </cell>
          <cell r="B770" t="str">
            <v>M 190</v>
          </cell>
        </row>
        <row r="771">
          <cell r="A771">
            <v>770</v>
          </cell>
          <cell r="B771" t="str">
            <v>M 518</v>
          </cell>
        </row>
        <row r="772">
          <cell r="A772">
            <v>771</v>
          </cell>
          <cell r="B772" t="str">
            <v>M 356</v>
          </cell>
        </row>
        <row r="773">
          <cell r="A773">
            <v>772</v>
          </cell>
          <cell r="B773" t="str">
            <v>M 569</v>
          </cell>
        </row>
        <row r="774">
          <cell r="A774">
            <v>773</v>
          </cell>
          <cell r="B774" t="str">
            <v>M 611</v>
          </cell>
        </row>
        <row r="775">
          <cell r="A775">
            <v>774</v>
          </cell>
          <cell r="B775" t="str">
            <v>M 347</v>
          </cell>
        </row>
        <row r="776">
          <cell r="A776">
            <v>775</v>
          </cell>
          <cell r="B776" t="str">
            <v>Q 10</v>
          </cell>
        </row>
        <row r="777">
          <cell r="A777">
            <v>776</v>
          </cell>
          <cell r="B777" t="str">
            <v>M 134</v>
          </cell>
        </row>
        <row r="778">
          <cell r="A778">
            <v>777</v>
          </cell>
          <cell r="B778" t="str">
            <v>M 600</v>
          </cell>
        </row>
        <row r="779">
          <cell r="A779">
            <v>778</v>
          </cell>
          <cell r="B779" t="str">
            <v>M 421</v>
          </cell>
        </row>
        <row r="780">
          <cell r="A780">
            <v>779</v>
          </cell>
          <cell r="B780" t="str">
            <v>M 381</v>
          </cell>
        </row>
        <row r="781">
          <cell r="A781">
            <v>780</v>
          </cell>
          <cell r="B781" t="str">
            <v>M 387</v>
          </cell>
        </row>
        <row r="782">
          <cell r="A782">
            <v>781</v>
          </cell>
          <cell r="B782" t="str">
            <v>M 156</v>
          </cell>
        </row>
        <row r="783">
          <cell r="A783">
            <v>782</v>
          </cell>
          <cell r="B783" t="str">
            <v>M 428</v>
          </cell>
        </row>
        <row r="784">
          <cell r="A784">
            <v>783</v>
          </cell>
          <cell r="B784" t="str">
            <v>M 161</v>
          </cell>
        </row>
        <row r="785">
          <cell r="A785">
            <v>784</v>
          </cell>
          <cell r="B785" t="str">
            <v>M 464</v>
          </cell>
        </row>
        <row r="786">
          <cell r="A786">
            <v>785</v>
          </cell>
          <cell r="B786" t="str">
            <v>M 195</v>
          </cell>
        </row>
        <row r="787">
          <cell r="A787">
            <v>786</v>
          </cell>
          <cell r="B787" t="str">
            <v>M 410</v>
          </cell>
        </row>
        <row r="788">
          <cell r="A788">
            <v>787</v>
          </cell>
          <cell r="B788" t="str">
            <v>M 560</v>
          </cell>
        </row>
        <row r="789">
          <cell r="A789">
            <v>788</v>
          </cell>
          <cell r="B789" t="str">
            <v>Q 12</v>
          </cell>
        </row>
        <row r="790">
          <cell r="A790">
            <v>789</v>
          </cell>
          <cell r="B790" t="str">
            <v>M 389</v>
          </cell>
        </row>
        <row r="791">
          <cell r="A791">
            <v>790</v>
          </cell>
          <cell r="B791" t="str">
            <v>M 225</v>
          </cell>
        </row>
        <row r="792">
          <cell r="A792">
            <v>791</v>
          </cell>
          <cell r="B792" t="str">
            <v>M 391</v>
          </cell>
        </row>
        <row r="793">
          <cell r="A793">
            <v>792</v>
          </cell>
          <cell r="B793" t="str">
            <v>M 477</v>
          </cell>
        </row>
        <row r="794">
          <cell r="A794">
            <v>793</v>
          </cell>
          <cell r="B794" t="str">
            <v>Q 7</v>
          </cell>
        </row>
        <row r="795">
          <cell r="A795">
            <v>794</v>
          </cell>
          <cell r="B795" t="str">
            <v>M 208</v>
          </cell>
        </row>
        <row r="796">
          <cell r="A796">
            <v>795</v>
          </cell>
          <cell r="B796" t="str">
            <v>M 321</v>
          </cell>
        </row>
        <row r="797">
          <cell r="A797">
            <v>796</v>
          </cell>
          <cell r="B797" t="str">
            <v>M 384</v>
          </cell>
        </row>
        <row r="798">
          <cell r="A798">
            <v>797</v>
          </cell>
          <cell r="B798" t="str">
            <v>M 236</v>
          </cell>
        </row>
        <row r="799">
          <cell r="A799">
            <v>798</v>
          </cell>
          <cell r="B799" t="str">
            <v>M 616</v>
          </cell>
        </row>
        <row r="800">
          <cell r="A800">
            <v>799</v>
          </cell>
          <cell r="B800" t="str">
            <v>M 621</v>
          </cell>
        </row>
        <row r="801">
          <cell r="A801">
            <v>800</v>
          </cell>
          <cell r="B801" t="str">
            <v>M 475</v>
          </cell>
        </row>
        <row r="802">
          <cell r="A802">
            <v>801</v>
          </cell>
          <cell r="B802" t="str">
            <v>M 235</v>
          </cell>
        </row>
        <row r="803">
          <cell r="A803">
            <v>802</v>
          </cell>
          <cell r="B803" t="str">
            <v>M 176</v>
          </cell>
        </row>
        <row r="804">
          <cell r="A804">
            <v>803</v>
          </cell>
          <cell r="B804" t="str">
            <v>M 181</v>
          </cell>
        </row>
        <row r="805">
          <cell r="A805">
            <v>804</v>
          </cell>
          <cell r="B805" t="str">
            <v>M 344</v>
          </cell>
        </row>
        <row r="806">
          <cell r="A806">
            <v>805</v>
          </cell>
          <cell r="B806" t="str">
            <v>M 194</v>
          </cell>
        </row>
        <row r="807">
          <cell r="A807">
            <v>806</v>
          </cell>
          <cell r="B807" t="str">
            <v>M 489</v>
          </cell>
        </row>
        <row r="808">
          <cell r="A808">
            <v>807</v>
          </cell>
          <cell r="B808" t="str">
            <v>Q 4</v>
          </cell>
        </row>
        <row r="809">
          <cell r="A809">
            <v>808</v>
          </cell>
          <cell r="B809" t="str">
            <v>M 382</v>
          </cell>
        </row>
        <row r="810">
          <cell r="A810">
            <v>809</v>
          </cell>
          <cell r="B810" t="str">
            <v>M 3</v>
          </cell>
        </row>
        <row r="811">
          <cell r="A811">
            <v>810</v>
          </cell>
          <cell r="B811" t="str">
            <v>M 478</v>
          </cell>
        </row>
        <row r="812">
          <cell r="A812">
            <v>811</v>
          </cell>
          <cell r="B812" t="str">
            <v>M 407</v>
          </cell>
        </row>
        <row r="813">
          <cell r="A813">
            <v>812</v>
          </cell>
          <cell r="B813" t="str">
            <v>M 416</v>
          </cell>
        </row>
        <row r="814">
          <cell r="A814">
            <v>813</v>
          </cell>
          <cell r="B814" t="str">
            <v>M 372</v>
          </cell>
        </row>
        <row r="815">
          <cell r="A815">
            <v>814</v>
          </cell>
          <cell r="B815" t="str">
            <v>M 566</v>
          </cell>
        </row>
        <row r="816">
          <cell r="A816">
            <v>815</v>
          </cell>
          <cell r="B816" t="str">
            <v>M 41</v>
          </cell>
        </row>
        <row r="817">
          <cell r="A817">
            <v>816</v>
          </cell>
          <cell r="B817" t="str">
            <v>Q 13</v>
          </cell>
        </row>
        <row r="818">
          <cell r="A818">
            <v>817</v>
          </cell>
          <cell r="B818" t="str">
            <v>M 173</v>
          </cell>
        </row>
        <row r="819">
          <cell r="A819">
            <v>818</v>
          </cell>
          <cell r="B819" t="str">
            <v>M 388</v>
          </cell>
        </row>
        <row r="820">
          <cell r="A820">
            <v>819</v>
          </cell>
          <cell r="B820" t="str">
            <v>M 590</v>
          </cell>
        </row>
        <row r="821">
          <cell r="A821">
            <v>820</v>
          </cell>
          <cell r="B821" t="str">
            <v>M 484</v>
          </cell>
        </row>
        <row r="822">
          <cell r="A822">
            <v>821</v>
          </cell>
          <cell r="B822" t="str">
            <v>M 510</v>
          </cell>
        </row>
        <row r="823">
          <cell r="A823">
            <v>822</v>
          </cell>
          <cell r="B823" t="str">
            <v>M 86</v>
          </cell>
        </row>
        <row r="824">
          <cell r="A824">
            <v>823</v>
          </cell>
          <cell r="B824" t="str">
            <v>M 376</v>
          </cell>
        </row>
        <row r="825">
          <cell r="A825">
            <v>824</v>
          </cell>
          <cell r="B825" t="str">
            <v>M 392</v>
          </cell>
        </row>
        <row r="826">
          <cell r="A826">
            <v>825</v>
          </cell>
          <cell r="B826" t="str">
            <v>M 351</v>
          </cell>
        </row>
        <row r="827">
          <cell r="A827">
            <v>826</v>
          </cell>
          <cell r="B827" t="str">
            <v>M 492</v>
          </cell>
        </row>
        <row r="828">
          <cell r="A828">
            <v>827</v>
          </cell>
          <cell r="B828" t="str">
            <v>M 370</v>
          </cell>
        </row>
        <row r="829">
          <cell r="A829">
            <v>828</v>
          </cell>
          <cell r="B829" t="str">
            <v>M 366</v>
          </cell>
        </row>
        <row r="830">
          <cell r="A830">
            <v>829</v>
          </cell>
          <cell r="B830" t="str">
            <v>M 401</v>
          </cell>
        </row>
        <row r="831">
          <cell r="A831">
            <v>830</v>
          </cell>
          <cell r="B831" t="str">
            <v>M 364</v>
          </cell>
        </row>
        <row r="832">
          <cell r="A832">
            <v>831</v>
          </cell>
          <cell r="B832" t="str">
            <v>M 407</v>
          </cell>
        </row>
        <row r="833">
          <cell r="A833">
            <v>832</v>
          </cell>
          <cell r="B833" t="str">
            <v>M 361</v>
          </cell>
        </row>
        <row r="834">
          <cell r="A834">
            <v>833</v>
          </cell>
          <cell r="B834" t="str">
            <v>M 477</v>
          </cell>
        </row>
        <row r="835">
          <cell r="A835">
            <v>834</v>
          </cell>
          <cell r="B835" t="str">
            <v>M 420</v>
          </cell>
        </row>
        <row r="836">
          <cell r="A836">
            <v>835</v>
          </cell>
          <cell r="B836" t="str">
            <v>Q 2</v>
          </cell>
        </row>
        <row r="837">
          <cell r="A837">
            <v>836</v>
          </cell>
          <cell r="B837" t="str">
            <v>M 321</v>
          </cell>
        </row>
        <row r="838">
          <cell r="A838">
            <v>837</v>
          </cell>
          <cell r="B838" t="str">
            <v>M 496</v>
          </cell>
        </row>
        <row r="839">
          <cell r="A839">
            <v>838</v>
          </cell>
          <cell r="B839" t="str">
            <v>M 36</v>
          </cell>
        </row>
        <row r="840">
          <cell r="A840">
            <v>839</v>
          </cell>
          <cell r="B840" t="str">
            <v>M 376</v>
          </cell>
        </row>
        <row r="841">
          <cell r="A841">
            <v>840</v>
          </cell>
          <cell r="B841" t="str">
            <v>M 43</v>
          </cell>
        </row>
        <row r="842">
          <cell r="A842">
            <v>841</v>
          </cell>
          <cell r="B842" t="str">
            <v>M 443</v>
          </cell>
        </row>
        <row r="843">
          <cell r="A843">
            <v>842</v>
          </cell>
          <cell r="B843" t="str">
            <v>M 193</v>
          </cell>
        </row>
        <row r="844">
          <cell r="A844">
            <v>843</v>
          </cell>
          <cell r="B844" t="str">
            <v>M 227</v>
          </cell>
        </row>
        <row r="845">
          <cell r="A845">
            <v>844</v>
          </cell>
          <cell r="B845" t="str">
            <v>M 404</v>
          </cell>
        </row>
        <row r="846">
          <cell r="A846">
            <v>845</v>
          </cell>
          <cell r="B846" t="str">
            <v>M 418</v>
          </cell>
        </row>
        <row r="847">
          <cell r="A847">
            <v>846</v>
          </cell>
          <cell r="B847" t="str">
            <v>M 413</v>
          </cell>
        </row>
        <row r="848">
          <cell r="A848">
            <v>847</v>
          </cell>
          <cell r="B848" t="str">
            <v>Q 3</v>
          </cell>
        </row>
        <row r="849">
          <cell r="A849">
            <v>848</v>
          </cell>
          <cell r="B849" t="str">
            <v>M 358</v>
          </cell>
        </row>
        <row r="850">
          <cell r="A850">
            <v>849</v>
          </cell>
          <cell r="B850" t="str">
            <v>M 181</v>
          </cell>
        </row>
        <row r="851">
          <cell r="A851">
            <v>850</v>
          </cell>
          <cell r="B851" t="str">
            <v>M 600</v>
          </cell>
        </row>
        <row r="852">
          <cell r="A852">
            <v>851</v>
          </cell>
          <cell r="B852" t="str">
            <v>M 417</v>
          </cell>
        </row>
        <row r="853">
          <cell r="A853">
            <v>852</v>
          </cell>
          <cell r="B853" t="str">
            <v>M 359</v>
          </cell>
        </row>
        <row r="854">
          <cell r="A854">
            <v>853</v>
          </cell>
          <cell r="B854" t="str">
            <v>M 566</v>
          </cell>
        </row>
        <row r="855">
          <cell r="A855">
            <v>854</v>
          </cell>
          <cell r="B855" t="str">
            <v>M 480</v>
          </cell>
        </row>
        <row r="856">
          <cell r="A856">
            <v>855</v>
          </cell>
          <cell r="B856" t="str">
            <v>M 402</v>
          </cell>
        </row>
        <row r="857">
          <cell r="A857">
            <v>856</v>
          </cell>
          <cell r="B857" t="str">
            <v>M 429</v>
          </cell>
        </row>
        <row r="858">
          <cell r="A858">
            <v>857</v>
          </cell>
          <cell r="B858" t="str">
            <v>M 569</v>
          </cell>
        </row>
        <row r="859">
          <cell r="A859">
            <v>858</v>
          </cell>
          <cell r="B859" t="str">
            <v>M 537</v>
          </cell>
        </row>
        <row r="860">
          <cell r="A860">
            <v>859</v>
          </cell>
          <cell r="B860" t="str">
            <v>M 401</v>
          </cell>
        </row>
        <row r="861">
          <cell r="A861">
            <v>860</v>
          </cell>
          <cell r="B861" t="str">
            <v>M 484</v>
          </cell>
        </row>
        <row r="862">
          <cell r="A862">
            <v>861</v>
          </cell>
          <cell r="B862" t="str">
            <v>M 519</v>
          </cell>
        </row>
        <row r="863">
          <cell r="A863">
            <v>862</v>
          </cell>
          <cell r="B863" t="str">
            <v>M 621</v>
          </cell>
        </row>
        <row r="864">
          <cell r="A864">
            <v>863</v>
          </cell>
          <cell r="B864" t="str">
            <v>M 351</v>
          </cell>
        </row>
        <row r="865">
          <cell r="A865">
            <v>864</v>
          </cell>
          <cell r="B865" t="str">
            <v>M 392</v>
          </cell>
        </row>
        <row r="866">
          <cell r="A866">
            <v>865</v>
          </cell>
          <cell r="B866" t="str">
            <v>M 482</v>
          </cell>
        </row>
        <row r="867">
          <cell r="A867">
            <v>866</v>
          </cell>
          <cell r="B867" t="str">
            <v>M 444</v>
          </cell>
        </row>
        <row r="868">
          <cell r="A868">
            <v>867</v>
          </cell>
          <cell r="B868" t="str">
            <v>M 344</v>
          </cell>
        </row>
        <row r="869">
          <cell r="A869">
            <v>868</v>
          </cell>
          <cell r="B869" t="str">
            <v>Q 7</v>
          </cell>
        </row>
        <row r="870">
          <cell r="A870">
            <v>869</v>
          </cell>
          <cell r="B870" t="str">
            <v>M 41</v>
          </cell>
        </row>
        <row r="871">
          <cell r="A871">
            <v>870</v>
          </cell>
          <cell r="B871" t="str">
            <v>M 389</v>
          </cell>
        </row>
        <row r="872">
          <cell r="A872">
            <v>871</v>
          </cell>
          <cell r="B872" t="str">
            <v>M 375</v>
          </cell>
        </row>
        <row r="873">
          <cell r="A873">
            <v>872</v>
          </cell>
          <cell r="B873" t="str">
            <v>M 170</v>
          </cell>
        </row>
        <row r="874">
          <cell r="A874">
            <v>873</v>
          </cell>
          <cell r="B874" t="str">
            <v>M 156</v>
          </cell>
        </row>
        <row r="875">
          <cell r="A875">
            <v>874</v>
          </cell>
          <cell r="B875" t="str">
            <v>M 464</v>
          </cell>
        </row>
        <row r="876">
          <cell r="A876">
            <v>875</v>
          </cell>
          <cell r="B876" t="str">
            <v>M 428</v>
          </cell>
        </row>
        <row r="877">
          <cell r="A877">
            <v>876</v>
          </cell>
          <cell r="B877" t="str">
            <v>M 134</v>
          </cell>
        </row>
        <row r="878">
          <cell r="A878">
            <v>877</v>
          </cell>
          <cell r="B878" t="str">
            <v>M 322</v>
          </cell>
        </row>
        <row r="879">
          <cell r="A879">
            <v>878</v>
          </cell>
          <cell r="B879" t="str">
            <v>M 343</v>
          </cell>
        </row>
        <row r="880">
          <cell r="A880">
            <v>879</v>
          </cell>
          <cell r="B880" t="str">
            <v>M 406</v>
          </cell>
        </row>
        <row r="881">
          <cell r="A881">
            <v>880</v>
          </cell>
          <cell r="B881" t="str">
            <v>M 405</v>
          </cell>
        </row>
        <row r="882">
          <cell r="A882">
            <v>881</v>
          </cell>
          <cell r="B882" t="str">
            <v>M 225</v>
          </cell>
        </row>
        <row r="883">
          <cell r="A883">
            <v>882</v>
          </cell>
          <cell r="B883" t="str">
            <v>M 349</v>
          </cell>
        </row>
        <row r="884">
          <cell r="A884">
            <v>883</v>
          </cell>
          <cell r="B884" t="str">
            <v>M 414</v>
          </cell>
        </row>
        <row r="885">
          <cell r="A885">
            <v>884</v>
          </cell>
          <cell r="B885" t="str">
            <v>M 616</v>
          </cell>
        </row>
        <row r="886">
          <cell r="A886">
            <v>885</v>
          </cell>
          <cell r="B886" t="str">
            <v>M 168</v>
          </cell>
        </row>
        <row r="887">
          <cell r="A887">
            <v>886</v>
          </cell>
          <cell r="B887" t="str">
            <v>M 354</v>
          </cell>
        </row>
        <row r="888">
          <cell r="A888">
            <v>887</v>
          </cell>
          <cell r="B888" t="str">
            <v>M 590</v>
          </cell>
        </row>
        <row r="889">
          <cell r="A889">
            <v>888</v>
          </cell>
          <cell r="B889" t="str">
            <v>M 387</v>
          </cell>
        </row>
        <row r="890">
          <cell r="A890">
            <v>889</v>
          </cell>
          <cell r="B890" t="str">
            <v>M 419</v>
          </cell>
        </row>
        <row r="891">
          <cell r="A891">
            <v>890</v>
          </cell>
          <cell r="B891" t="str">
            <v>Q 14</v>
          </cell>
        </row>
        <row r="892">
          <cell r="A892">
            <v>891</v>
          </cell>
          <cell r="B892" t="str">
            <v>M 388</v>
          </cell>
        </row>
        <row r="893">
          <cell r="A893">
            <v>892</v>
          </cell>
          <cell r="B893" t="str">
            <v>M 364</v>
          </cell>
        </row>
        <row r="894">
          <cell r="A894">
            <v>893</v>
          </cell>
          <cell r="B894" t="str">
            <v>M 337</v>
          </cell>
        </row>
        <row r="895">
          <cell r="A895">
            <v>894</v>
          </cell>
          <cell r="B895" t="str">
            <v>M 412</v>
          </cell>
        </row>
        <row r="896">
          <cell r="A896">
            <v>895</v>
          </cell>
          <cell r="B896" t="str">
            <v>M 249</v>
          </cell>
        </row>
        <row r="897">
          <cell r="A897">
            <v>896</v>
          </cell>
          <cell r="B897" t="str">
            <v>M 592</v>
          </cell>
        </row>
        <row r="898">
          <cell r="A898">
            <v>897</v>
          </cell>
          <cell r="B898" t="str">
            <v>M 161</v>
          </cell>
        </row>
        <row r="899">
          <cell r="A899">
            <v>898</v>
          </cell>
          <cell r="B899" t="str">
            <v>Q 9</v>
          </cell>
        </row>
        <row r="900">
          <cell r="A900">
            <v>899</v>
          </cell>
          <cell r="B900" t="str">
            <v>M 341</v>
          </cell>
        </row>
        <row r="901">
          <cell r="A901">
            <v>900</v>
          </cell>
          <cell r="B901" t="str">
            <v>M 416</v>
          </cell>
        </row>
        <row r="902">
          <cell r="A902">
            <v>901</v>
          </cell>
          <cell r="B902" t="str">
            <v>M 195</v>
          </cell>
        </row>
        <row r="903">
          <cell r="A903">
            <v>902</v>
          </cell>
          <cell r="B903" t="str">
            <v>M 377</v>
          </cell>
        </row>
        <row r="904">
          <cell r="A904">
            <v>903</v>
          </cell>
          <cell r="B904" t="str">
            <v>M 3</v>
          </cell>
        </row>
        <row r="905">
          <cell r="A905">
            <v>904</v>
          </cell>
          <cell r="B905" t="str">
            <v>M 194</v>
          </cell>
        </row>
        <row r="906">
          <cell r="A906">
            <v>905</v>
          </cell>
          <cell r="B906" t="str">
            <v>M 522</v>
          </cell>
        </row>
        <row r="907">
          <cell r="A907">
            <v>906</v>
          </cell>
          <cell r="B907" t="str">
            <v>M 235</v>
          </cell>
        </row>
        <row r="908">
          <cell r="A908">
            <v>907</v>
          </cell>
          <cell r="B908" t="str">
            <v>Q 10</v>
          </cell>
        </row>
        <row r="909">
          <cell r="A909">
            <v>908</v>
          </cell>
          <cell r="B909" t="str">
            <v>M 236</v>
          </cell>
        </row>
        <row r="910">
          <cell r="A910">
            <v>909</v>
          </cell>
          <cell r="B910" t="str">
            <v>M 552</v>
          </cell>
        </row>
        <row r="911">
          <cell r="A911">
            <v>910</v>
          </cell>
          <cell r="B911" t="str">
            <v>M 489</v>
          </cell>
        </row>
        <row r="912">
          <cell r="A912">
            <v>911</v>
          </cell>
          <cell r="B912" t="str">
            <v>M 601</v>
          </cell>
        </row>
        <row r="913">
          <cell r="A913">
            <v>912</v>
          </cell>
          <cell r="B913" t="str">
            <v>Q 1</v>
          </cell>
        </row>
        <row r="914">
          <cell r="A914">
            <v>913</v>
          </cell>
          <cell r="B914" t="str">
            <v>M 380</v>
          </cell>
        </row>
        <row r="915">
          <cell r="A915">
            <v>914</v>
          </cell>
          <cell r="B915" t="str">
            <v>M 620</v>
          </cell>
        </row>
        <row r="916">
          <cell r="A916">
            <v>915</v>
          </cell>
          <cell r="B916" t="str">
            <v>M 355</v>
          </cell>
        </row>
        <row r="917">
          <cell r="A917">
            <v>916</v>
          </cell>
          <cell r="B917" t="str">
            <v>M 394</v>
          </cell>
        </row>
        <row r="918">
          <cell r="A918">
            <v>917</v>
          </cell>
          <cell r="B918" t="str">
            <v>M 370</v>
          </cell>
        </row>
        <row r="919">
          <cell r="A919">
            <v>918</v>
          </cell>
          <cell r="B919" t="str">
            <v>M 369</v>
          </cell>
        </row>
        <row r="920">
          <cell r="A920">
            <v>919</v>
          </cell>
          <cell r="B920" t="str">
            <v>M 446</v>
          </cell>
        </row>
        <row r="921">
          <cell r="A921">
            <v>920</v>
          </cell>
          <cell r="B921" t="str">
            <v>M 611</v>
          </cell>
        </row>
        <row r="922">
          <cell r="A922">
            <v>921</v>
          </cell>
          <cell r="B922" t="str">
            <v>M 356</v>
          </cell>
        </row>
        <row r="923">
          <cell r="A923">
            <v>922</v>
          </cell>
          <cell r="B923" t="str">
            <v>M 398</v>
          </cell>
        </row>
        <row r="924">
          <cell r="A924">
            <v>923</v>
          </cell>
          <cell r="B924" t="str">
            <v>M 233</v>
          </cell>
        </row>
        <row r="925">
          <cell r="A925">
            <v>924</v>
          </cell>
          <cell r="B925" t="str">
            <v>Q 11</v>
          </cell>
        </row>
        <row r="926">
          <cell r="A926">
            <v>925</v>
          </cell>
          <cell r="B926" t="str">
            <v>M 415</v>
          </cell>
        </row>
        <row r="927">
          <cell r="A927">
            <v>926</v>
          </cell>
          <cell r="B927" t="str">
            <v>M 368</v>
          </cell>
        </row>
        <row r="928">
          <cell r="A928">
            <v>927</v>
          </cell>
          <cell r="B928" t="str">
            <v>M 185</v>
          </cell>
        </row>
        <row r="929">
          <cell r="A929">
            <v>928</v>
          </cell>
          <cell r="B929" t="str">
            <v>M 384</v>
          </cell>
        </row>
        <row r="930">
          <cell r="A930">
            <v>929</v>
          </cell>
          <cell r="B930" t="str">
            <v>M 372</v>
          </cell>
        </row>
        <row r="931">
          <cell r="A931">
            <v>930</v>
          </cell>
          <cell r="B931" t="str">
            <v>M 346</v>
          </cell>
        </row>
        <row r="932">
          <cell r="A932">
            <v>931</v>
          </cell>
          <cell r="B932" t="str">
            <v>M 78</v>
          </cell>
        </row>
        <row r="933">
          <cell r="A933">
            <v>932</v>
          </cell>
          <cell r="B933" t="str">
            <v>M 474</v>
          </cell>
        </row>
        <row r="934">
          <cell r="A934">
            <v>933</v>
          </cell>
          <cell r="B934" t="str">
            <v>M 612</v>
          </cell>
        </row>
        <row r="935">
          <cell r="A935">
            <v>934</v>
          </cell>
          <cell r="B935" t="str">
            <v>M 79</v>
          </cell>
        </row>
        <row r="936">
          <cell r="A936">
            <v>935</v>
          </cell>
          <cell r="B936" t="str">
            <v>M 345</v>
          </cell>
        </row>
        <row r="937">
          <cell r="A937">
            <v>936</v>
          </cell>
          <cell r="B937" t="str">
            <v>M 378</v>
          </cell>
        </row>
        <row r="938">
          <cell r="A938">
            <v>937</v>
          </cell>
          <cell r="B938" t="str">
            <v>M 442</v>
          </cell>
        </row>
        <row r="939">
          <cell r="A939">
            <v>938</v>
          </cell>
          <cell r="B939" t="str">
            <v>M 174</v>
          </cell>
        </row>
        <row r="940">
          <cell r="A940">
            <v>939</v>
          </cell>
          <cell r="B940" t="str">
            <v>M 44</v>
          </cell>
        </row>
        <row r="941">
          <cell r="A941">
            <v>940</v>
          </cell>
          <cell r="B941" t="str">
            <v>M 391</v>
          </cell>
        </row>
        <row r="942">
          <cell r="A942">
            <v>941</v>
          </cell>
          <cell r="B942" t="str">
            <v>M 395</v>
          </cell>
        </row>
        <row r="943">
          <cell r="A943">
            <v>942</v>
          </cell>
          <cell r="B943" t="str">
            <v>M 9</v>
          </cell>
        </row>
        <row r="944">
          <cell r="A944">
            <v>943</v>
          </cell>
          <cell r="B944" t="str">
            <v>M 176</v>
          </cell>
        </row>
        <row r="945">
          <cell r="A945">
            <v>944</v>
          </cell>
          <cell r="B945" t="str">
            <v>Q 15</v>
          </cell>
        </row>
        <row r="946">
          <cell r="A946">
            <v>945</v>
          </cell>
          <cell r="B946" t="str">
            <v>M 65</v>
          </cell>
        </row>
        <row r="947">
          <cell r="A947">
            <v>946</v>
          </cell>
          <cell r="B947" t="str">
            <v>M 221</v>
          </cell>
        </row>
        <row r="948">
          <cell r="A948">
            <v>947</v>
          </cell>
          <cell r="B948" t="str">
            <v>M 524</v>
          </cell>
        </row>
        <row r="949">
          <cell r="A949">
            <v>948</v>
          </cell>
          <cell r="B949" t="str">
            <v>M 411</v>
          </cell>
        </row>
        <row r="950">
          <cell r="A950">
            <v>949</v>
          </cell>
          <cell r="B950" t="str">
            <v>M 589</v>
          </cell>
        </row>
        <row r="951">
          <cell r="A951">
            <v>950</v>
          </cell>
          <cell r="B951" t="str">
            <v>M 238</v>
          </cell>
        </row>
        <row r="952">
          <cell r="A952">
            <v>951</v>
          </cell>
          <cell r="B952" t="str">
            <v>M 219</v>
          </cell>
        </row>
        <row r="953">
          <cell r="A953">
            <v>952</v>
          </cell>
          <cell r="B953" t="str">
            <v>Q 16</v>
          </cell>
        </row>
        <row r="954">
          <cell r="A954">
            <v>953</v>
          </cell>
          <cell r="B954" t="str">
            <v>M 56</v>
          </cell>
        </row>
        <row r="955">
          <cell r="A955">
            <v>954</v>
          </cell>
          <cell r="B955" t="str">
            <v>M 475</v>
          </cell>
        </row>
        <row r="956">
          <cell r="A956">
            <v>955</v>
          </cell>
          <cell r="B956" t="str">
            <v>M 410</v>
          </cell>
        </row>
        <row r="957">
          <cell r="A957">
            <v>956</v>
          </cell>
          <cell r="B957" t="str">
            <v>Q 5</v>
          </cell>
        </row>
        <row r="958">
          <cell r="A958">
            <v>957</v>
          </cell>
          <cell r="B958" t="str">
            <v>M 190</v>
          </cell>
        </row>
        <row r="959">
          <cell r="A959">
            <v>958</v>
          </cell>
          <cell r="B959" t="str">
            <v>M 363</v>
          </cell>
        </row>
        <row r="960">
          <cell r="A960">
            <v>959</v>
          </cell>
          <cell r="B960" t="str">
            <v>M 366</v>
          </cell>
        </row>
        <row r="961">
          <cell r="A961">
            <v>960</v>
          </cell>
          <cell r="B961" t="str">
            <v>M 250</v>
          </cell>
        </row>
        <row r="962">
          <cell r="A962">
            <v>961</v>
          </cell>
          <cell r="B962" t="str">
            <v>M 215</v>
          </cell>
        </row>
        <row r="963">
          <cell r="A963">
            <v>962</v>
          </cell>
          <cell r="B963" t="str">
            <v>M 491</v>
          </cell>
        </row>
        <row r="964">
          <cell r="A964">
            <v>963</v>
          </cell>
          <cell r="B964" t="str">
            <v>M 396</v>
          </cell>
        </row>
        <row r="965">
          <cell r="A965">
            <v>964</v>
          </cell>
          <cell r="B965" t="str">
            <v>M 523</v>
          </cell>
        </row>
        <row r="966">
          <cell r="A966">
            <v>965</v>
          </cell>
          <cell r="B966" t="str">
            <v>M 382</v>
          </cell>
        </row>
        <row r="967">
          <cell r="A967">
            <v>966</v>
          </cell>
          <cell r="B967" t="str">
            <v>M 347</v>
          </cell>
        </row>
        <row r="968">
          <cell r="A968">
            <v>967</v>
          </cell>
          <cell r="B968" t="str">
            <v>M 585</v>
          </cell>
        </row>
        <row r="969">
          <cell r="A969">
            <v>968</v>
          </cell>
          <cell r="B969" t="str">
            <v>M 507</v>
          </cell>
        </row>
        <row r="970">
          <cell r="A970">
            <v>969</v>
          </cell>
          <cell r="B970" t="str">
            <v>M 505</v>
          </cell>
        </row>
        <row r="971">
          <cell r="A971">
            <v>970</v>
          </cell>
          <cell r="B971" t="str">
            <v>M 173</v>
          </cell>
        </row>
        <row r="972">
          <cell r="A972">
            <v>971</v>
          </cell>
          <cell r="B972" t="str">
            <v>M 214</v>
          </cell>
        </row>
        <row r="973">
          <cell r="A973">
            <v>972</v>
          </cell>
          <cell r="B973" t="str">
            <v>M 352</v>
          </cell>
        </row>
        <row r="974">
          <cell r="A974">
            <v>973</v>
          </cell>
          <cell r="B974" t="str">
            <v>M 20</v>
          </cell>
        </row>
        <row r="975">
          <cell r="A975">
            <v>974</v>
          </cell>
          <cell r="B975" t="str">
            <v>Q 4</v>
          </cell>
        </row>
        <row r="976">
          <cell r="A976">
            <v>975</v>
          </cell>
          <cell r="B976" t="str">
            <v>M 379</v>
          </cell>
        </row>
        <row r="977">
          <cell r="A977">
            <v>976</v>
          </cell>
          <cell r="B977" t="str">
            <v>M 478</v>
          </cell>
        </row>
        <row r="978">
          <cell r="A978">
            <v>977</v>
          </cell>
          <cell r="B978" t="str">
            <v>M 86</v>
          </cell>
        </row>
        <row r="979">
          <cell r="A979">
            <v>978</v>
          </cell>
          <cell r="B979" t="str">
            <v>M 615</v>
          </cell>
        </row>
        <row r="980">
          <cell r="A980">
            <v>979</v>
          </cell>
          <cell r="B980" t="str">
            <v>M 365</v>
          </cell>
        </row>
        <row r="981">
          <cell r="A981">
            <v>980</v>
          </cell>
          <cell r="B981" t="str">
            <v>M 610</v>
          </cell>
        </row>
        <row r="982">
          <cell r="A982">
            <v>981</v>
          </cell>
          <cell r="B982" t="str">
            <v>M 381</v>
          </cell>
        </row>
        <row r="983">
          <cell r="A983">
            <v>982</v>
          </cell>
          <cell r="B983" t="str">
            <v>M 614</v>
          </cell>
        </row>
        <row r="984">
          <cell r="A984">
            <v>983</v>
          </cell>
          <cell r="B984" t="str">
            <v>M 400</v>
          </cell>
        </row>
        <row r="985">
          <cell r="A985">
            <v>984</v>
          </cell>
          <cell r="B985" t="str">
            <v>M 492</v>
          </cell>
        </row>
        <row r="986">
          <cell r="A986">
            <v>985</v>
          </cell>
          <cell r="B986" t="str">
            <v>M 203</v>
          </cell>
        </row>
        <row r="987">
          <cell r="A987">
            <v>986</v>
          </cell>
          <cell r="B987" t="str">
            <v>M 458</v>
          </cell>
        </row>
        <row r="988">
          <cell r="A988">
            <v>987</v>
          </cell>
          <cell r="B988" t="str">
            <v>M 216</v>
          </cell>
        </row>
        <row r="989">
          <cell r="A989">
            <v>988</v>
          </cell>
          <cell r="B989" t="str">
            <v>Q 12</v>
          </cell>
        </row>
        <row r="990">
          <cell r="A990">
            <v>989</v>
          </cell>
          <cell r="B990" t="str">
            <v>M 421</v>
          </cell>
        </row>
        <row r="991">
          <cell r="A991">
            <v>990</v>
          </cell>
          <cell r="B991" t="str">
            <v>Q 13</v>
          </cell>
        </row>
        <row r="992">
          <cell r="A992">
            <v>991</v>
          </cell>
          <cell r="B992" t="str">
            <v>Q 6</v>
          </cell>
        </row>
        <row r="993">
          <cell r="A993">
            <v>992</v>
          </cell>
          <cell r="B993" t="str">
            <v>M 518</v>
          </cell>
        </row>
        <row r="994">
          <cell r="A994">
            <v>993</v>
          </cell>
          <cell r="B994" t="str">
            <v>Q 8</v>
          </cell>
        </row>
        <row r="995">
          <cell r="A995">
            <v>994</v>
          </cell>
          <cell r="B995" t="str">
            <v>M 208</v>
          </cell>
        </row>
        <row r="996">
          <cell r="A996">
            <v>995</v>
          </cell>
          <cell r="B996" t="str">
            <v>M 560</v>
          </cell>
        </row>
        <row r="997">
          <cell r="A997">
            <v>996</v>
          </cell>
          <cell r="B997" t="str">
            <v>M 510</v>
          </cell>
        </row>
        <row r="998">
          <cell r="A998">
            <v>997</v>
          </cell>
          <cell r="B998" t="str">
            <v>Barley</v>
          </cell>
        </row>
        <row r="999">
          <cell r="A999">
            <v>998</v>
          </cell>
          <cell r="B999" t="str">
            <v>Barley</v>
          </cell>
        </row>
        <row r="1000">
          <cell r="A1000">
            <v>999</v>
          </cell>
          <cell r="B1000" t="str">
            <v>Barley</v>
          </cell>
        </row>
        <row r="1001">
          <cell r="A1001">
            <v>1000</v>
          </cell>
          <cell r="B1001" t="str">
            <v>Barley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8F74-4ECF-4D96-B4B8-77D76F288752}">
  <sheetPr codeName="Sheet1"/>
  <dimension ref="A1:EE673"/>
  <sheetViews>
    <sheetView zoomScale="130" zoomScaleNormal="130" workbookViewId="0">
      <pane ySplit="1" topLeftCell="A20" activePane="bottomLeft" state="frozen"/>
      <selection pane="bottomLeft" sqref="A1:XFD1"/>
    </sheetView>
  </sheetViews>
  <sheetFormatPr defaultColWidth="8.7109375" defaultRowHeight="15" x14ac:dyDescent="0.25"/>
  <cols>
    <col min="1" max="1" width="14.140625" style="1" bestFit="1" customWidth="1"/>
    <col min="2" max="2" width="20.42578125" style="1" bestFit="1" customWidth="1"/>
    <col min="3" max="3" width="8.5703125" style="1" bestFit="1" customWidth="1"/>
    <col min="4" max="4" width="9.140625" style="1" bestFit="1" customWidth="1"/>
    <col min="5" max="5" width="4" style="1" bestFit="1" customWidth="1"/>
    <col min="6" max="6" width="6.7109375" style="1" customWidth="1"/>
    <col min="7" max="7" width="16.28515625" style="1" bestFit="1" customWidth="1"/>
    <col min="8" max="8" width="13" style="1" customWidth="1"/>
    <col min="9" max="9" width="27" style="2" bestFit="1" customWidth="1"/>
    <col min="10" max="10" width="19.42578125" style="2" bestFit="1" customWidth="1"/>
    <col min="11" max="11" width="14.42578125" style="2" bestFit="1" customWidth="1"/>
    <col min="12" max="12" width="15.42578125" style="2" bestFit="1" customWidth="1"/>
    <col min="13" max="13" width="12.140625" style="2" bestFit="1" customWidth="1"/>
    <col min="14" max="14" width="28.5703125" bestFit="1" customWidth="1"/>
    <col min="15" max="15" width="29.5703125" bestFit="1" customWidth="1"/>
    <col min="16" max="135" width="9.140625" customWidth="1"/>
    <col min="136" max="16384" width="8.710937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471</v>
      </c>
      <c r="I1" s="2" t="s">
        <v>470</v>
      </c>
      <c r="J1" s="3" t="s">
        <v>472</v>
      </c>
      <c r="K1" s="2" t="s">
        <v>473</v>
      </c>
      <c r="L1" s="2" t="s">
        <v>8</v>
      </c>
      <c r="M1" s="2" t="s">
        <v>9</v>
      </c>
      <c r="N1" s="1" t="s">
        <v>474</v>
      </c>
      <c r="O1" s="1" t="s">
        <v>475</v>
      </c>
    </row>
    <row r="2" spans="1:15" x14ac:dyDescent="0.25">
      <c r="A2" s="4" t="s">
        <v>10</v>
      </c>
      <c r="B2" s="1">
        <v>1</v>
      </c>
      <c r="C2" s="1" t="s">
        <v>11</v>
      </c>
      <c r="D2" s="1" t="s">
        <v>12</v>
      </c>
      <c r="E2" s="1">
        <v>1</v>
      </c>
      <c r="F2" s="1">
        <v>186</v>
      </c>
      <c r="G2" s="1">
        <v>85</v>
      </c>
      <c r="H2" s="5">
        <v>48</v>
      </c>
      <c r="I2" s="2" t="s">
        <v>13</v>
      </c>
      <c r="J2" s="2" t="s">
        <v>13</v>
      </c>
      <c r="K2" s="2" t="s">
        <v>13</v>
      </c>
      <c r="L2" s="2" t="s">
        <v>13</v>
      </c>
      <c r="M2" s="2" t="s">
        <v>13</v>
      </c>
      <c r="N2" s="2" t="s">
        <v>13</v>
      </c>
      <c r="O2" s="2" t="s">
        <v>13</v>
      </c>
    </row>
    <row r="3" spans="1:15" x14ac:dyDescent="0.25">
      <c r="A3" s="4" t="s">
        <v>10</v>
      </c>
      <c r="B3" s="1">
        <v>1</v>
      </c>
      <c r="C3" s="1" t="s">
        <v>11</v>
      </c>
      <c r="D3" s="1" t="s">
        <v>12</v>
      </c>
      <c r="E3" s="1">
        <v>2</v>
      </c>
      <c r="F3" s="1">
        <v>163</v>
      </c>
      <c r="G3" s="1">
        <v>96</v>
      </c>
      <c r="H3" s="1">
        <v>48</v>
      </c>
      <c r="I3" s="2" t="s">
        <v>13</v>
      </c>
      <c r="J3" s="2" t="s">
        <v>13</v>
      </c>
      <c r="K3" s="2" t="s">
        <v>13</v>
      </c>
      <c r="L3" s="2" t="s">
        <v>13</v>
      </c>
      <c r="M3" s="2" t="s">
        <v>13</v>
      </c>
      <c r="N3" s="2" t="s">
        <v>13</v>
      </c>
      <c r="O3" s="2" t="s">
        <v>13</v>
      </c>
    </row>
    <row r="4" spans="1:15" x14ac:dyDescent="0.25">
      <c r="A4" s="4" t="s">
        <v>10</v>
      </c>
      <c r="B4" s="1">
        <v>1</v>
      </c>
      <c r="C4" s="1" t="s">
        <v>11</v>
      </c>
      <c r="D4" s="1" t="s">
        <v>12</v>
      </c>
      <c r="E4" s="1">
        <v>3</v>
      </c>
      <c r="F4" s="5">
        <v>191</v>
      </c>
      <c r="G4" s="1">
        <v>85</v>
      </c>
      <c r="H4" s="1">
        <v>36</v>
      </c>
      <c r="I4" s="2" t="s">
        <v>13</v>
      </c>
      <c r="J4" s="2" t="s">
        <v>13</v>
      </c>
      <c r="K4" s="2" t="s">
        <v>13</v>
      </c>
      <c r="L4" s="2" t="s">
        <v>13</v>
      </c>
      <c r="M4" s="2" t="s">
        <v>13</v>
      </c>
      <c r="N4" s="2" t="s">
        <v>13</v>
      </c>
      <c r="O4" s="2" t="s">
        <v>13</v>
      </c>
    </row>
    <row r="5" spans="1:15" x14ac:dyDescent="0.25">
      <c r="A5" s="4" t="s">
        <v>14</v>
      </c>
      <c r="B5" s="1">
        <v>1</v>
      </c>
      <c r="C5" s="1" t="s">
        <v>15</v>
      </c>
      <c r="D5" s="1" t="s">
        <v>12</v>
      </c>
      <c r="E5" s="1">
        <v>1</v>
      </c>
      <c r="F5" s="1">
        <v>142</v>
      </c>
      <c r="G5" s="1">
        <v>115</v>
      </c>
      <c r="H5" s="1">
        <v>60</v>
      </c>
      <c r="I5" s="2" t="s">
        <v>13</v>
      </c>
      <c r="J5" s="2" t="s">
        <v>13</v>
      </c>
      <c r="K5" s="2" t="s">
        <v>13</v>
      </c>
      <c r="L5" s="2" t="s">
        <v>13</v>
      </c>
      <c r="M5" s="2" t="s">
        <v>13</v>
      </c>
      <c r="N5" s="1">
        <v>13</v>
      </c>
      <c r="O5" s="1">
        <v>0.5</v>
      </c>
    </row>
    <row r="6" spans="1:15" x14ac:dyDescent="0.25">
      <c r="A6" s="4" t="s">
        <v>14</v>
      </c>
      <c r="B6" s="1">
        <v>1</v>
      </c>
      <c r="C6" s="1" t="s">
        <v>15</v>
      </c>
      <c r="D6" s="1" t="s">
        <v>12</v>
      </c>
      <c r="E6" s="1">
        <v>2</v>
      </c>
      <c r="F6" s="1">
        <v>159</v>
      </c>
      <c r="G6" s="1">
        <v>106</v>
      </c>
      <c r="H6" s="1">
        <v>108</v>
      </c>
      <c r="I6" s="2" t="s">
        <v>13</v>
      </c>
      <c r="J6" s="2" t="s">
        <v>13</v>
      </c>
      <c r="K6" s="2" t="s">
        <v>13</v>
      </c>
      <c r="L6" s="2" t="s">
        <v>13</v>
      </c>
      <c r="M6" s="2" t="s">
        <v>13</v>
      </c>
      <c r="N6" s="1">
        <v>12</v>
      </c>
      <c r="O6" s="1">
        <v>3.5</v>
      </c>
    </row>
    <row r="7" spans="1:15" x14ac:dyDescent="0.25">
      <c r="A7" s="4" t="s">
        <v>14</v>
      </c>
      <c r="B7" s="1">
        <v>1</v>
      </c>
      <c r="C7" s="1" t="s">
        <v>15</v>
      </c>
      <c r="D7" s="1" t="s">
        <v>12</v>
      </c>
      <c r="E7" s="1">
        <v>3</v>
      </c>
      <c r="F7" s="1">
        <v>160</v>
      </c>
      <c r="G7" s="1">
        <v>120</v>
      </c>
      <c r="H7" s="1">
        <v>72</v>
      </c>
      <c r="I7" s="2" t="s">
        <v>13</v>
      </c>
      <c r="J7" s="2" t="s">
        <v>13</v>
      </c>
      <c r="K7" s="2" t="s">
        <v>13</v>
      </c>
      <c r="L7" s="2" t="s">
        <v>13</v>
      </c>
      <c r="M7" s="2" t="s">
        <v>13</v>
      </c>
      <c r="N7" s="1">
        <v>11</v>
      </c>
      <c r="O7" s="1">
        <v>0.1</v>
      </c>
    </row>
    <row r="8" spans="1:15" x14ac:dyDescent="0.25">
      <c r="A8" s="4" t="s">
        <v>14</v>
      </c>
      <c r="B8" s="1">
        <v>1</v>
      </c>
      <c r="C8" s="1" t="s">
        <v>16</v>
      </c>
      <c r="D8" s="1" t="s">
        <v>12</v>
      </c>
      <c r="E8" s="1">
        <v>1</v>
      </c>
      <c r="F8" s="1">
        <v>149</v>
      </c>
      <c r="G8" s="1">
        <v>113</v>
      </c>
      <c r="H8" s="1">
        <v>72</v>
      </c>
      <c r="I8" s="2" t="s">
        <v>13</v>
      </c>
      <c r="J8" s="2" t="s">
        <v>13</v>
      </c>
      <c r="K8" s="2" t="s">
        <v>13</v>
      </c>
      <c r="L8" s="2" t="s">
        <v>13</v>
      </c>
      <c r="M8" s="2" t="s">
        <v>13</v>
      </c>
      <c r="N8" s="1">
        <v>12.5</v>
      </c>
      <c r="O8" s="1">
        <v>3</v>
      </c>
    </row>
    <row r="9" spans="1:15" x14ac:dyDescent="0.25">
      <c r="A9" s="4" t="s">
        <v>14</v>
      </c>
      <c r="B9" s="1">
        <v>1</v>
      </c>
      <c r="C9" s="1" t="s">
        <v>16</v>
      </c>
      <c r="D9" s="1" t="s">
        <v>12</v>
      </c>
      <c r="E9" s="1">
        <v>2</v>
      </c>
      <c r="F9" s="1">
        <v>149</v>
      </c>
      <c r="G9" s="1">
        <v>116</v>
      </c>
      <c r="H9" s="1">
        <v>72</v>
      </c>
      <c r="I9" s="2" t="s">
        <v>13</v>
      </c>
      <c r="J9" s="2" t="s">
        <v>13</v>
      </c>
      <c r="K9" s="2" t="s">
        <v>13</v>
      </c>
      <c r="L9" s="2" t="s">
        <v>13</v>
      </c>
      <c r="M9" s="2" t="s">
        <v>13</v>
      </c>
      <c r="N9" s="1">
        <v>10</v>
      </c>
      <c r="O9" s="1">
        <v>4</v>
      </c>
    </row>
    <row r="10" spans="1:15" x14ac:dyDescent="0.25">
      <c r="A10" s="4" t="s">
        <v>14</v>
      </c>
      <c r="B10" s="1">
        <v>1</v>
      </c>
      <c r="C10" s="1" t="s">
        <v>16</v>
      </c>
      <c r="D10" s="1" t="s">
        <v>12</v>
      </c>
      <c r="E10" s="1">
        <v>3</v>
      </c>
      <c r="F10" s="1">
        <v>150</v>
      </c>
      <c r="G10" s="1">
        <v>118</v>
      </c>
      <c r="H10" s="1">
        <v>96</v>
      </c>
      <c r="I10" s="2" t="s">
        <v>13</v>
      </c>
      <c r="J10" s="2" t="s">
        <v>13</v>
      </c>
      <c r="K10" s="2" t="s">
        <v>13</v>
      </c>
      <c r="L10" s="2" t="s">
        <v>13</v>
      </c>
      <c r="M10" s="2" t="s">
        <v>13</v>
      </c>
      <c r="N10" s="1">
        <v>10</v>
      </c>
      <c r="O10" s="1">
        <v>4.5</v>
      </c>
    </row>
    <row r="11" spans="1:15" x14ac:dyDescent="0.25">
      <c r="A11" s="4" t="s">
        <v>14</v>
      </c>
      <c r="B11" s="1">
        <v>1</v>
      </c>
      <c r="C11" s="1" t="s">
        <v>17</v>
      </c>
      <c r="D11" s="1" t="s">
        <v>12</v>
      </c>
      <c r="E11" s="1">
        <v>1</v>
      </c>
      <c r="F11" s="1">
        <v>135</v>
      </c>
      <c r="G11" s="1">
        <v>113</v>
      </c>
      <c r="H11" s="1">
        <v>156</v>
      </c>
      <c r="I11" s="2" t="s">
        <v>13</v>
      </c>
      <c r="J11" s="2" t="s">
        <v>13</v>
      </c>
      <c r="K11" s="2" t="s">
        <v>13</v>
      </c>
      <c r="L11" s="2" t="s">
        <v>13</v>
      </c>
      <c r="M11" s="2" t="s">
        <v>13</v>
      </c>
      <c r="N11" s="2" t="s">
        <v>13</v>
      </c>
      <c r="O11" s="2" t="s">
        <v>13</v>
      </c>
    </row>
    <row r="12" spans="1:15" x14ac:dyDescent="0.25">
      <c r="A12" s="4" t="s">
        <v>14</v>
      </c>
      <c r="B12" s="1">
        <v>1</v>
      </c>
      <c r="C12" s="1" t="s">
        <v>17</v>
      </c>
      <c r="D12" s="1" t="s">
        <v>12</v>
      </c>
      <c r="E12" s="1">
        <v>2</v>
      </c>
      <c r="F12" s="1">
        <v>191</v>
      </c>
      <c r="G12" s="1">
        <v>115</v>
      </c>
      <c r="H12" s="1">
        <v>120</v>
      </c>
      <c r="I12" s="2" t="s">
        <v>13</v>
      </c>
      <c r="J12" s="2" t="s">
        <v>13</v>
      </c>
      <c r="K12" s="2" t="s">
        <v>13</v>
      </c>
      <c r="L12" s="2" t="s">
        <v>13</v>
      </c>
      <c r="M12" s="2" t="s">
        <v>13</v>
      </c>
      <c r="N12" s="2" t="s">
        <v>13</v>
      </c>
      <c r="O12" s="2" t="s">
        <v>13</v>
      </c>
    </row>
    <row r="13" spans="1:15" x14ac:dyDescent="0.25">
      <c r="A13" s="4" t="s">
        <v>14</v>
      </c>
      <c r="B13" s="1">
        <v>1</v>
      </c>
      <c r="C13" s="1" t="s">
        <v>17</v>
      </c>
      <c r="D13" s="1" t="s">
        <v>12</v>
      </c>
      <c r="E13" s="1">
        <v>3</v>
      </c>
      <c r="F13" s="1">
        <v>160</v>
      </c>
      <c r="G13" s="1">
        <v>127</v>
      </c>
      <c r="H13" s="1">
        <v>84</v>
      </c>
      <c r="I13" s="2" t="s">
        <v>13</v>
      </c>
      <c r="J13" s="2" t="s">
        <v>13</v>
      </c>
      <c r="K13" s="2" t="s">
        <v>13</v>
      </c>
      <c r="L13" s="2" t="s">
        <v>13</v>
      </c>
      <c r="M13" s="2" t="s">
        <v>13</v>
      </c>
      <c r="N13" s="2" t="s">
        <v>13</v>
      </c>
      <c r="O13" s="2" t="s">
        <v>13</v>
      </c>
    </row>
    <row r="14" spans="1:15" x14ac:dyDescent="0.25">
      <c r="A14" s="4" t="s">
        <v>14</v>
      </c>
      <c r="B14" s="1">
        <v>1</v>
      </c>
      <c r="C14" s="1" t="s">
        <v>18</v>
      </c>
      <c r="D14" s="1" t="s">
        <v>12</v>
      </c>
      <c r="E14" s="1">
        <v>1</v>
      </c>
      <c r="F14" s="1">
        <v>141</v>
      </c>
      <c r="G14" s="1">
        <v>118</v>
      </c>
      <c r="H14" s="1">
        <v>48</v>
      </c>
      <c r="I14" s="2" t="s">
        <v>13</v>
      </c>
      <c r="J14" s="2" t="s">
        <v>13</v>
      </c>
      <c r="K14" s="2" t="s">
        <v>13</v>
      </c>
      <c r="L14" s="2" t="s">
        <v>13</v>
      </c>
      <c r="M14" s="2" t="s">
        <v>13</v>
      </c>
      <c r="N14" s="2" t="s">
        <v>13</v>
      </c>
      <c r="O14" s="2" t="s">
        <v>13</v>
      </c>
    </row>
    <row r="15" spans="1:15" x14ac:dyDescent="0.25">
      <c r="A15" s="4" t="s">
        <v>14</v>
      </c>
      <c r="B15" s="1">
        <v>1</v>
      </c>
      <c r="C15" s="1" t="s">
        <v>18</v>
      </c>
      <c r="D15" s="1" t="s">
        <v>12</v>
      </c>
      <c r="E15" s="1">
        <v>2</v>
      </c>
      <c r="F15" s="1">
        <v>154</v>
      </c>
      <c r="G15" s="5">
        <v>128</v>
      </c>
      <c r="H15" s="5">
        <v>84</v>
      </c>
      <c r="I15" s="2" t="s">
        <v>13</v>
      </c>
      <c r="J15" s="2" t="s">
        <v>13</v>
      </c>
      <c r="K15" s="2" t="s">
        <v>13</v>
      </c>
      <c r="L15" s="2" t="s">
        <v>13</v>
      </c>
      <c r="M15" s="2" t="s">
        <v>13</v>
      </c>
      <c r="N15" s="2" t="s">
        <v>13</v>
      </c>
      <c r="O15" s="2" t="s">
        <v>13</v>
      </c>
    </row>
    <row r="16" spans="1:15" x14ac:dyDescent="0.25">
      <c r="A16" s="4" t="s">
        <v>14</v>
      </c>
      <c r="B16" s="1">
        <v>1</v>
      </c>
      <c r="C16" s="1" t="s">
        <v>18</v>
      </c>
      <c r="D16" s="1" t="s">
        <v>12</v>
      </c>
      <c r="E16" s="1">
        <v>3</v>
      </c>
      <c r="F16" s="1">
        <v>154</v>
      </c>
      <c r="G16" s="1">
        <v>128</v>
      </c>
      <c r="H16" s="1">
        <v>96</v>
      </c>
      <c r="I16" s="2" t="s">
        <v>13</v>
      </c>
      <c r="J16" s="2" t="s">
        <v>13</v>
      </c>
      <c r="K16" s="2" t="s">
        <v>13</v>
      </c>
      <c r="L16" s="2" t="s">
        <v>13</v>
      </c>
      <c r="M16" s="2" t="s">
        <v>13</v>
      </c>
      <c r="N16" s="2" t="s">
        <v>13</v>
      </c>
      <c r="O16" s="2" t="s">
        <v>13</v>
      </c>
    </row>
    <row r="17" spans="1:15" x14ac:dyDescent="0.25">
      <c r="A17" s="4" t="s">
        <v>14</v>
      </c>
      <c r="B17" s="1">
        <v>1</v>
      </c>
      <c r="C17" s="1" t="s">
        <v>19</v>
      </c>
      <c r="D17" s="1" t="s">
        <v>12</v>
      </c>
      <c r="E17" s="1">
        <v>1</v>
      </c>
      <c r="F17" s="5">
        <v>0</v>
      </c>
      <c r="G17" s="1">
        <v>118</v>
      </c>
      <c r="H17" s="1">
        <v>96</v>
      </c>
      <c r="I17" s="2" t="s">
        <v>13</v>
      </c>
      <c r="J17" s="2" t="s">
        <v>13</v>
      </c>
      <c r="K17" s="2" t="s">
        <v>13</v>
      </c>
      <c r="L17" s="2" t="s">
        <v>13</v>
      </c>
      <c r="M17" s="2" t="s">
        <v>13</v>
      </c>
      <c r="N17" s="2" t="s">
        <v>13</v>
      </c>
      <c r="O17" s="2" t="s">
        <v>13</v>
      </c>
    </row>
    <row r="18" spans="1:15" x14ac:dyDescent="0.25">
      <c r="A18" s="4" t="s">
        <v>14</v>
      </c>
      <c r="B18" s="1">
        <v>1</v>
      </c>
      <c r="C18" s="1" t="s">
        <v>19</v>
      </c>
      <c r="D18" s="1" t="s">
        <v>12</v>
      </c>
      <c r="E18" s="1">
        <v>2</v>
      </c>
      <c r="F18" s="5">
        <v>0</v>
      </c>
      <c r="G18" s="1">
        <v>124</v>
      </c>
      <c r="H18" s="1">
        <v>96</v>
      </c>
      <c r="I18" s="2" t="s">
        <v>13</v>
      </c>
      <c r="J18" s="2" t="s">
        <v>13</v>
      </c>
      <c r="K18" s="2" t="s">
        <v>13</v>
      </c>
      <c r="L18" s="2" t="s">
        <v>13</v>
      </c>
      <c r="M18" s="2" t="s">
        <v>13</v>
      </c>
      <c r="N18" s="2" t="s">
        <v>13</v>
      </c>
      <c r="O18" s="2" t="s">
        <v>13</v>
      </c>
    </row>
    <row r="19" spans="1:15" x14ac:dyDescent="0.25">
      <c r="A19" s="4" t="s">
        <v>14</v>
      </c>
      <c r="B19" s="1">
        <v>1</v>
      </c>
      <c r="C19" s="1" t="s">
        <v>19</v>
      </c>
      <c r="D19" s="1" t="s">
        <v>12</v>
      </c>
      <c r="E19" s="1">
        <v>3</v>
      </c>
      <c r="F19" s="5">
        <v>0</v>
      </c>
      <c r="G19" s="1">
        <v>140</v>
      </c>
      <c r="H19" s="1">
        <v>60</v>
      </c>
      <c r="I19" s="2" t="s">
        <v>13</v>
      </c>
      <c r="J19" s="2" t="s">
        <v>13</v>
      </c>
      <c r="K19" s="2" t="s">
        <v>13</v>
      </c>
      <c r="L19" s="2" t="s">
        <v>13</v>
      </c>
      <c r="M19" s="2" t="s">
        <v>13</v>
      </c>
      <c r="N19" s="2" t="s">
        <v>13</v>
      </c>
      <c r="O19" s="2" t="s">
        <v>13</v>
      </c>
    </row>
    <row r="20" spans="1:15" x14ac:dyDescent="0.25">
      <c r="A20" s="4" t="s">
        <v>14</v>
      </c>
      <c r="B20" s="1" t="s">
        <v>20</v>
      </c>
      <c r="C20" s="1" t="s">
        <v>21</v>
      </c>
      <c r="D20" s="1" t="s">
        <v>12</v>
      </c>
      <c r="E20" s="1">
        <v>1</v>
      </c>
      <c r="F20" s="1">
        <v>165</v>
      </c>
      <c r="G20" s="1">
        <v>115</v>
      </c>
      <c r="H20" s="5">
        <v>66</v>
      </c>
      <c r="I20" s="2" t="s">
        <v>13</v>
      </c>
      <c r="J20" s="2" t="s">
        <v>13</v>
      </c>
      <c r="K20" s="2" t="s">
        <v>13</v>
      </c>
      <c r="L20" s="2" t="s">
        <v>13</v>
      </c>
      <c r="M20" s="2" t="s">
        <v>13</v>
      </c>
      <c r="N20" s="2" t="s">
        <v>13</v>
      </c>
      <c r="O20" s="2" t="s">
        <v>13</v>
      </c>
    </row>
    <row r="21" spans="1:15" x14ac:dyDescent="0.25">
      <c r="A21" s="4" t="s">
        <v>14</v>
      </c>
      <c r="B21" s="1" t="s">
        <v>20</v>
      </c>
      <c r="C21" s="1" t="s">
        <v>21</v>
      </c>
      <c r="D21" s="1" t="s">
        <v>12</v>
      </c>
      <c r="E21" s="1">
        <v>2</v>
      </c>
      <c r="F21" s="1">
        <v>198</v>
      </c>
      <c r="G21" s="1">
        <v>97</v>
      </c>
      <c r="H21" s="1">
        <v>72</v>
      </c>
      <c r="I21" s="2" t="s">
        <v>13</v>
      </c>
      <c r="J21" s="2" t="s">
        <v>13</v>
      </c>
      <c r="K21" s="2" t="s">
        <v>13</v>
      </c>
      <c r="L21" s="2" t="s">
        <v>13</v>
      </c>
      <c r="M21" s="2" t="s">
        <v>13</v>
      </c>
      <c r="N21" s="2" t="s">
        <v>13</v>
      </c>
      <c r="O21" s="2" t="s">
        <v>13</v>
      </c>
    </row>
    <row r="22" spans="1:15" x14ac:dyDescent="0.25">
      <c r="A22" s="4" t="s">
        <v>14</v>
      </c>
      <c r="B22" s="1" t="s">
        <v>20</v>
      </c>
      <c r="C22" s="1" t="s">
        <v>21</v>
      </c>
      <c r="D22" s="1" t="s">
        <v>12</v>
      </c>
      <c r="E22" s="1">
        <v>3</v>
      </c>
      <c r="F22" s="5">
        <v>198</v>
      </c>
      <c r="G22" s="1">
        <v>110</v>
      </c>
      <c r="H22" s="1">
        <v>72</v>
      </c>
      <c r="I22" s="2" t="s">
        <v>13</v>
      </c>
      <c r="J22" s="2" t="s">
        <v>13</v>
      </c>
      <c r="K22" s="2" t="s">
        <v>13</v>
      </c>
      <c r="L22" s="2" t="s">
        <v>13</v>
      </c>
      <c r="M22" s="2" t="s">
        <v>13</v>
      </c>
      <c r="N22" s="2" t="s">
        <v>13</v>
      </c>
      <c r="O22" s="2" t="s">
        <v>13</v>
      </c>
    </row>
    <row r="23" spans="1:15" x14ac:dyDescent="0.25">
      <c r="A23" s="4" t="s">
        <v>22</v>
      </c>
      <c r="B23" s="1">
        <v>1</v>
      </c>
      <c r="C23" s="1" t="s">
        <v>23</v>
      </c>
      <c r="D23" s="1" t="s">
        <v>12</v>
      </c>
      <c r="E23" s="1">
        <v>1</v>
      </c>
      <c r="F23" s="1">
        <v>129</v>
      </c>
      <c r="G23" s="1">
        <v>130</v>
      </c>
      <c r="H23" s="1">
        <v>84</v>
      </c>
      <c r="I23" s="2" t="s">
        <v>13</v>
      </c>
      <c r="J23" s="2" t="s">
        <v>13</v>
      </c>
      <c r="K23" s="2" t="s">
        <v>13</v>
      </c>
      <c r="L23" s="2" t="s">
        <v>13</v>
      </c>
      <c r="M23" s="2" t="s">
        <v>13</v>
      </c>
      <c r="N23" s="1">
        <v>11.5</v>
      </c>
      <c r="O23" s="1">
        <v>2.5</v>
      </c>
    </row>
    <row r="24" spans="1:15" x14ac:dyDescent="0.25">
      <c r="A24" s="4" t="s">
        <v>22</v>
      </c>
      <c r="B24" s="1">
        <v>1</v>
      </c>
      <c r="C24" s="1" t="s">
        <v>23</v>
      </c>
      <c r="D24" s="1" t="s">
        <v>12</v>
      </c>
      <c r="E24" s="1">
        <v>2</v>
      </c>
      <c r="F24" s="1">
        <v>138</v>
      </c>
      <c r="G24" s="1">
        <v>134</v>
      </c>
      <c r="H24" s="1">
        <v>48</v>
      </c>
      <c r="I24" s="2" t="s">
        <v>13</v>
      </c>
      <c r="J24" s="2" t="s">
        <v>13</v>
      </c>
      <c r="K24" s="2" t="s">
        <v>13</v>
      </c>
      <c r="L24" s="2" t="s">
        <v>13</v>
      </c>
      <c r="M24" s="2" t="s">
        <v>13</v>
      </c>
      <c r="N24" s="1">
        <v>10</v>
      </c>
      <c r="O24" s="1">
        <v>5.3</v>
      </c>
    </row>
    <row r="25" spans="1:15" x14ac:dyDescent="0.25">
      <c r="A25" s="4" t="s">
        <v>22</v>
      </c>
      <c r="B25" s="1">
        <v>1</v>
      </c>
      <c r="C25" s="1" t="s">
        <v>23</v>
      </c>
      <c r="D25" s="1" t="s">
        <v>12</v>
      </c>
      <c r="E25" s="1">
        <v>3</v>
      </c>
      <c r="F25" s="1">
        <v>126</v>
      </c>
      <c r="G25" s="1">
        <v>129</v>
      </c>
      <c r="H25" s="1">
        <v>48</v>
      </c>
      <c r="I25" s="2" t="s">
        <v>13</v>
      </c>
      <c r="J25" s="2" t="s">
        <v>13</v>
      </c>
      <c r="K25" s="2" t="s">
        <v>13</v>
      </c>
      <c r="L25" s="2" t="s">
        <v>13</v>
      </c>
      <c r="M25" s="2" t="s">
        <v>13</v>
      </c>
      <c r="N25" s="1">
        <v>10.5</v>
      </c>
      <c r="O25" s="1">
        <v>6</v>
      </c>
    </row>
    <row r="26" spans="1:15" x14ac:dyDescent="0.25">
      <c r="A26" s="4" t="s">
        <v>24</v>
      </c>
      <c r="B26" s="1">
        <v>3</v>
      </c>
      <c r="C26" s="1" t="s">
        <v>25</v>
      </c>
      <c r="D26" s="1" t="s">
        <v>12</v>
      </c>
      <c r="E26" s="1">
        <v>1</v>
      </c>
      <c r="F26" s="1">
        <v>103</v>
      </c>
      <c r="G26" s="1">
        <v>117</v>
      </c>
      <c r="H26" s="1">
        <v>48</v>
      </c>
      <c r="I26" s="2" t="s">
        <v>13</v>
      </c>
      <c r="J26" s="2" t="s">
        <v>13</v>
      </c>
      <c r="K26" s="2" t="s">
        <v>13</v>
      </c>
      <c r="L26" s="2" t="s">
        <v>13</v>
      </c>
      <c r="M26" s="2" t="s">
        <v>13</v>
      </c>
      <c r="N26" s="1">
        <v>8.5</v>
      </c>
      <c r="O26" s="1">
        <v>5.5</v>
      </c>
    </row>
    <row r="27" spans="1:15" x14ac:dyDescent="0.25">
      <c r="A27" s="4" t="s">
        <v>24</v>
      </c>
      <c r="B27" s="1">
        <v>3</v>
      </c>
      <c r="C27" s="1" t="s">
        <v>25</v>
      </c>
      <c r="D27" s="1" t="s">
        <v>12</v>
      </c>
      <c r="E27" s="1">
        <v>2</v>
      </c>
      <c r="F27" s="1">
        <v>103</v>
      </c>
      <c r="G27" s="1">
        <v>125</v>
      </c>
      <c r="H27" s="1">
        <v>36</v>
      </c>
      <c r="I27" s="2" t="s">
        <v>13</v>
      </c>
      <c r="J27" s="2" t="s">
        <v>13</v>
      </c>
      <c r="K27" s="2" t="s">
        <v>13</v>
      </c>
      <c r="L27" s="2" t="s">
        <v>13</v>
      </c>
      <c r="M27" s="2" t="s">
        <v>13</v>
      </c>
      <c r="N27" s="1">
        <v>8.5</v>
      </c>
      <c r="O27" s="1">
        <v>5.5</v>
      </c>
    </row>
    <row r="28" spans="1:15" x14ac:dyDescent="0.25">
      <c r="A28" s="4" t="s">
        <v>24</v>
      </c>
      <c r="B28" s="1">
        <v>3</v>
      </c>
      <c r="C28" s="1" t="s">
        <v>25</v>
      </c>
      <c r="D28" s="1" t="s">
        <v>12</v>
      </c>
      <c r="E28" s="1">
        <v>3</v>
      </c>
      <c r="F28" s="1">
        <v>104</v>
      </c>
      <c r="G28" s="1">
        <v>114</v>
      </c>
      <c r="H28" s="1">
        <v>24</v>
      </c>
      <c r="I28" s="2" t="s">
        <v>13</v>
      </c>
      <c r="J28" s="2" t="s">
        <v>13</v>
      </c>
      <c r="K28" s="2" t="s">
        <v>13</v>
      </c>
      <c r="L28" s="2" t="s">
        <v>13</v>
      </c>
      <c r="M28" s="2" t="s">
        <v>13</v>
      </c>
      <c r="N28" s="1">
        <v>8.5</v>
      </c>
      <c r="O28" s="1">
        <v>9</v>
      </c>
    </row>
    <row r="29" spans="1:15" x14ac:dyDescent="0.25">
      <c r="A29" s="4" t="s">
        <v>14</v>
      </c>
      <c r="B29" s="1">
        <v>1</v>
      </c>
      <c r="C29" s="1" t="s">
        <v>26</v>
      </c>
      <c r="D29" s="1" t="s">
        <v>12</v>
      </c>
      <c r="E29" s="1">
        <v>1</v>
      </c>
      <c r="F29" s="1">
        <v>182</v>
      </c>
      <c r="G29" s="1">
        <v>92</v>
      </c>
      <c r="H29" s="5">
        <v>72</v>
      </c>
      <c r="I29" s="2" t="s">
        <v>13</v>
      </c>
      <c r="J29" s="2" t="s">
        <v>13</v>
      </c>
      <c r="K29" s="2" t="s">
        <v>13</v>
      </c>
      <c r="L29" s="2" t="s">
        <v>13</v>
      </c>
      <c r="M29" s="2" t="s">
        <v>13</v>
      </c>
      <c r="N29" s="1">
        <v>12</v>
      </c>
      <c r="O29" s="1">
        <v>0.5</v>
      </c>
    </row>
    <row r="30" spans="1:15" x14ac:dyDescent="0.25">
      <c r="A30" s="4" t="s">
        <v>14</v>
      </c>
      <c r="B30" s="1">
        <v>1</v>
      </c>
      <c r="C30" s="1" t="s">
        <v>26</v>
      </c>
      <c r="D30" s="1" t="s">
        <v>12</v>
      </c>
      <c r="E30" s="1">
        <v>2</v>
      </c>
      <c r="F30" s="1">
        <v>162</v>
      </c>
      <c r="G30" s="1">
        <v>101</v>
      </c>
      <c r="H30" s="1">
        <v>84</v>
      </c>
      <c r="I30" s="2" t="s">
        <v>13</v>
      </c>
      <c r="J30" s="2" t="s">
        <v>13</v>
      </c>
      <c r="K30" s="2" t="s">
        <v>13</v>
      </c>
      <c r="L30" s="2" t="s">
        <v>13</v>
      </c>
      <c r="M30" s="2" t="s">
        <v>13</v>
      </c>
      <c r="N30" s="1">
        <v>8</v>
      </c>
      <c r="O30" s="1">
        <v>0.5</v>
      </c>
    </row>
    <row r="31" spans="1:15" x14ac:dyDescent="0.25">
      <c r="A31" s="4" t="s">
        <v>14</v>
      </c>
      <c r="B31" s="1">
        <v>1</v>
      </c>
      <c r="C31" s="1" t="s">
        <v>26</v>
      </c>
      <c r="D31" s="1" t="s">
        <v>12</v>
      </c>
      <c r="E31" s="1">
        <v>3</v>
      </c>
      <c r="F31" s="1">
        <v>162</v>
      </c>
      <c r="G31" s="1">
        <v>106</v>
      </c>
      <c r="H31" s="1">
        <v>48</v>
      </c>
      <c r="I31" s="2" t="s">
        <v>13</v>
      </c>
      <c r="J31" s="2" t="s">
        <v>13</v>
      </c>
      <c r="K31" s="2" t="s">
        <v>13</v>
      </c>
      <c r="L31" s="2" t="s">
        <v>13</v>
      </c>
      <c r="M31" s="2" t="s">
        <v>13</v>
      </c>
      <c r="N31" s="1">
        <v>8</v>
      </c>
      <c r="O31" s="1">
        <v>0.5</v>
      </c>
    </row>
    <row r="32" spans="1:15" x14ac:dyDescent="0.25">
      <c r="A32" s="4" t="s">
        <v>14</v>
      </c>
      <c r="B32" s="1">
        <v>1</v>
      </c>
      <c r="C32" s="1" t="s">
        <v>27</v>
      </c>
      <c r="D32" s="1" t="s">
        <v>12</v>
      </c>
      <c r="E32" s="1">
        <v>1</v>
      </c>
      <c r="F32" s="1">
        <v>159</v>
      </c>
      <c r="G32" s="1">
        <v>108</v>
      </c>
      <c r="H32" s="5">
        <v>96</v>
      </c>
      <c r="I32" s="2" t="s">
        <v>13</v>
      </c>
      <c r="J32" s="2" t="s">
        <v>13</v>
      </c>
      <c r="K32" s="2" t="s">
        <v>13</v>
      </c>
      <c r="L32" s="2" t="s">
        <v>13</v>
      </c>
      <c r="M32" s="2" t="s">
        <v>13</v>
      </c>
      <c r="N32" s="1">
        <v>10.5</v>
      </c>
      <c r="O32" s="1">
        <v>0.2</v>
      </c>
    </row>
    <row r="33" spans="1:135" x14ac:dyDescent="0.25">
      <c r="A33" s="4" t="s">
        <v>14</v>
      </c>
      <c r="B33" s="1">
        <v>1</v>
      </c>
      <c r="C33" s="1" t="s">
        <v>27</v>
      </c>
      <c r="D33" s="1" t="s">
        <v>12</v>
      </c>
      <c r="E33" s="1">
        <v>2</v>
      </c>
      <c r="F33" s="1">
        <v>153</v>
      </c>
      <c r="G33" s="1">
        <v>104</v>
      </c>
      <c r="H33" s="1">
        <v>96</v>
      </c>
      <c r="I33" s="2" t="s">
        <v>13</v>
      </c>
      <c r="J33" s="2" t="s">
        <v>13</v>
      </c>
      <c r="K33" s="2" t="s">
        <v>13</v>
      </c>
      <c r="L33" s="2" t="s">
        <v>13</v>
      </c>
      <c r="M33" s="2" t="s">
        <v>13</v>
      </c>
      <c r="N33" s="1">
        <v>10.5</v>
      </c>
      <c r="O33" s="1">
        <v>0.2</v>
      </c>
    </row>
    <row r="34" spans="1:135" x14ac:dyDescent="0.25">
      <c r="A34" s="4" t="s">
        <v>14</v>
      </c>
      <c r="B34" s="1">
        <v>1</v>
      </c>
      <c r="C34" s="1" t="s">
        <v>27</v>
      </c>
      <c r="D34" s="1" t="s">
        <v>12</v>
      </c>
      <c r="E34" s="1">
        <v>3</v>
      </c>
      <c r="F34" s="1">
        <v>153</v>
      </c>
      <c r="G34" s="1">
        <v>125</v>
      </c>
      <c r="H34" s="1">
        <v>96</v>
      </c>
      <c r="I34" s="2" t="s">
        <v>13</v>
      </c>
      <c r="J34" s="2" t="s">
        <v>13</v>
      </c>
      <c r="K34" s="2" t="s">
        <v>13</v>
      </c>
      <c r="L34" s="2" t="s">
        <v>13</v>
      </c>
      <c r="M34" s="2" t="s">
        <v>13</v>
      </c>
      <c r="N34" s="1">
        <v>10</v>
      </c>
      <c r="O34" s="1">
        <v>1.5</v>
      </c>
    </row>
    <row r="35" spans="1:135" x14ac:dyDescent="0.25">
      <c r="A35" s="4" t="s">
        <v>14</v>
      </c>
      <c r="B35" s="1">
        <v>1</v>
      </c>
      <c r="C35" s="1" t="s">
        <v>28</v>
      </c>
      <c r="D35" s="1" t="s">
        <v>12</v>
      </c>
      <c r="E35" s="1">
        <v>1</v>
      </c>
      <c r="F35" s="1">
        <v>151</v>
      </c>
      <c r="G35" s="1">
        <v>120</v>
      </c>
      <c r="H35" s="1">
        <v>84</v>
      </c>
      <c r="I35" s="2" t="s">
        <v>13</v>
      </c>
      <c r="J35" s="2" t="s">
        <v>13</v>
      </c>
      <c r="K35" s="2" t="s">
        <v>13</v>
      </c>
      <c r="L35" s="2" t="s">
        <v>13</v>
      </c>
      <c r="M35" s="2" t="s">
        <v>13</v>
      </c>
      <c r="N35" s="1">
        <v>10</v>
      </c>
      <c r="O35" s="1">
        <v>3</v>
      </c>
    </row>
    <row r="36" spans="1:135" x14ac:dyDescent="0.25">
      <c r="A36" s="4" t="s">
        <v>14</v>
      </c>
      <c r="B36" s="1">
        <v>1</v>
      </c>
      <c r="C36" s="1" t="s">
        <v>28</v>
      </c>
      <c r="D36" s="1" t="s">
        <v>12</v>
      </c>
      <c r="E36" s="1">
        <v>2</v>
      </c>
      <c r="F36" s="1">
        <v>159</v>
      </c>
      <c r="G36" s="1">
        <v>120</v>
      </c>
      <c r="H36" s="1">
        <v>60</v>
      </c>
      <c r="I36" s="2" t="s">
        <v>13</v>
      </c>
      <c r="J36" s="2" t="s">
        <v>13</v>
      </c>
      <c r="K36" s="2" t="s">
        <v>13</v>
      </c>
      <c r="L36" s="2" t="s">
        <v>13</v>
      </c>
      <c r="M36" s="2" t="s">
        <v>13</v>
      </c>
      <c r="N36" s="1">
        <v>10</v>
      </c>
      <c r="O36" s="1">
        <v>1</v>
      </c>
    </row>
    <row r="37" spans="1:135" x14ac:dyDescent="0.25">
      <c r="A37" s="4" t="s">
        <v>14</v>
      </c>
      <c r="B37" s="1">
        <v>1</v>
      </c>
      <c r="C37" s="1" t="s">
        <v>28</v>
      </c>
      <c r="D37" s="1" t="s">
        <v>12</v>
      </c>
      <c r="E37" s="1">
        <v>3</v>
      </c>
      <c r="F37" s="1">
        <v>153</v>
      </c>
      <c r="G37" s="1">
        <v>125</v>
      </c>
      <c r="H37" s="1">
        <v>36</v>
      </c>
      <c r="I37" s="2" t="s">
        <v>13</v>
      </c>
      <c r="J37" s="2" t="s">
        <v>13</v>
      </c>
      <c r="K37" s="2" t="s">
        <v>13</v>
      </c>
      <c r="L37" s="2" t="s">
        <v>13</v>
      </c>
      <c r="M37" s="2" t="s">
        <v>13</v>
      </c>
      <c r="N37" s="1">
        <v>11</v>
      </c>
      <c r="O37" s="1">
        <v>1</v>
      </c>
    </row>
    <row r="38" spans="1:135" x14ac:dyDescent="0.25">
      <c r="A38" s="4" t="s">
        <v>14</v>
      </c>
      <c r="B38" s="1">
        <v>1</v>
      </c>
      <c r="C38" s="1" t="s">
        <v>29</v>
      </c>
      <c r="D38" s="1" t="s">
        <v>12</v>
      </c>
      <c r="E38" s="1">
        <v>1</v>
      </c>
      <c r="F38" s="1">
        <v>151</v>
      </c>
      <c r="G38" s="1">
        <v>127</v>
      </c>
      <c r="H38" s="1">
        <v>36</v>
      </c>
      <c r="I38" s="2" t="s">
        <v>13</v>
      </c>
      <c r="J38" s="2" t="s">
        <v>13</v>
      </c>
      <c r="K38" s="2" t="s">
        <v>13</v>
      </c>
      <c r="L38" s="2" t="s">
        <v>13</v>
      </c>
      <c r="M38" s="2" t="s">
        <v>13</v>
      </c>
      <c r="N38" s="1">
        <v>10</v>
      </c>
      <c r="O38" s="1">
        <v>1</v>
      </c>
    </row>
    <row r="39" spans="1:135" x14ac:dyDescent="0.25">
      <c r="A39" s="4" t="s">
        <v>14</v>
      </c>
      <c r="B39" s="1">
        <v>1</v>
      </c>
      <c r="C39" s="1" t="s">
        <v>29</v>
      </c>
      <c r="D39" s="1" t="s">
        <v>12</v>
      </c>
      <c r="E39" s="1">
        <v>2</v>
      </c>
      <c r="F39" s="1">
        <v>143</v>
      </c>
      <c r="G39" s="1">
        <v>136</v>
      </c>
      <c r="H39" s="1">
        <v>48</v>
      </c>
      <c r="I39" s="2" t="s">
        <v>13</v>
      </c>
      <c r="J39" s="2" t="s">
        <v>13</v>
      </c>
      <c r="K39" s="2" t="s">
        <v>13</v>
      </c>
      <c r="L39" s="2" t="s">
        <v>13</v>
      </c>
      <c r="M39" s="2" t="s">
        <v>13</v>
      </c>
      <c r="N39" s="1">
        <v>14.5</v>
      </c>
      <c r="O39" s="1">
        <v>3</v>
      </c>
    </row>
    <row r="40" spans="1:135" x14ac:dyDescent="0.25">
      <c r="A40" s="4" t="s">
        <v>14</v>
      </c>
      <c r="B40" s="1">
        <v>1</v>
      </c>
      <c r="C40" s="1" t="s">
        <v>29</v>
      </c>
      <c r="D40" s="1" t="s">
        <v>12</v>
      </c>
      <c r="E40" s="1">
        <v>3</v>
      </c>
      <c r="F40" s="1">
        <v>150</v>
      </c>
      <c r="G40" s="1">
        <v>106</v>
      </c>
      <c r="H40" s="1">
        <v>48</v>
      </c>
      <c r="I40" s="2" t="s">
        <v>13</v>
      </c>
      <c r="J40" s="2" t="s">
        <v>13</v>
      </c>
      <c r="K40" s="2" t="s">
        <v>13</v>
      </c>
      <c r="L40" s="2" t="s">
        <v>13</v>
      </c>
      <c r="M40" s="2" t="s">
        <v>13</v>
      </c>
      <c r="N40" s="1">
        <v>13</v>
      </c>
      <c r="O40" s="1">
        <v>4.5</v>
      </c>
    </row>
    <row r="41" spans="1:135" x14ac:dyDescent="0.25">
      <c r="A41" s="4" t="s">
        <v>14</v>
      </c>
      <c r="B41" s="1">
        <v>1</v>
      </c>
      <c r="C41" s="1" t="s">
        <v>30</v>
      </c>
      <c r="D41" s="1" t="s">
        <v>12</v>
      </c>
      <c r="E41" s="1">
        <v>1</v>
      </c>
      <c r="F41" s="1">
        <v>153</v>
      </c>
      <c r="G41" s="1">
        <v>113</v>
      </c>
      <c r="H41" s="1">
        <v>96</v>
      </c>
      <c r="I41" s="2" t="s">
        <v>13</v>
      </c>
      <c r="J41" s="2" t="s">
        <v>13</v>
      </c>
      <c r="K41" s="2" t="s">
        <v>13</v>
      </c>
      <c r="L41" s="2" t="s">
        <v>13</v>
      </c>
      <c r="M41" s="2" t="s">
        <v>13</v>
      </c>
      <c r="N41" s="1">
        <v>10</v>
      </c>
      <c r="O41" s="1">
        <v>0.3</v>
      </c>
    </row>
    <row r="42" spans="1:135" x14ac:dyDescent="0.25">
      <c r="A42" s="4" t="s">
        <v>14</v>
      </c>
      <c r="B42" s="1">
        <v>1</v>
      </c>
      <c r="C42" s="1" t="s">
        <v>30</v>
      </c>
      <c r="D42" s="1" t="s">
        <v>12</v>
      </c>
      <c r="E42" s="1">
        <v>2</v>
      </c>
      <c r="F42" s="1">
        <v>141</v>
      </c>
      <c r="G42" s="1">
        <v>113</v>
      </c>
      <c r="H42" s="1">
        <v>84</v>
      </c>
      <c r="I42" s="2" t="s">
        <v>13</v>
      </c>
      <c r="J42" s="2" t="s">
        <v>13</v>
      </c>
      <c r="K42" s="2" t="s">
        <v>13</v>
      </c>
      <c r="L42" s="2" t="s">
        <v>13</v>
      </c>
      <c r="M42" s="2" t="s">
        <v>13</v>
      </c>
      <c r="N42" s="1">
        <v>10</v>
      </c>
      <c r="O42" s="1">
        <v>0.5</v>
      </c>
    </row>
    <row r="43" spans="1:135" x14ac:dyDescent="0.25">
      <c r="A43" s="4" t="s">
        <v>14</v>
      </c>
      <c r="B43" s="1">
        <v>1</v>
      </c>
      <c r="C43" s="1" t="s">
        <v>30</v>
      </c>
      <c r="D43" s="1" t="s">
        <v>12</v>
      </c>
      <c r="E43" s="1">
        <v>3</v>
      </c>
      <c r="F43" s="1">
        <v>153</v>
      </c>
      <c r="G43" s="1">
        <v>124</v>
      </c>
      <c r="H43" s="1">
        <v>60</v>
      </c>
      <c r="I43" s="2" t="s">
        <v>13</v>
      </c>
      <c r="J43" s="2" t="s">
        <v>13</v>
      </c>
      <c r="K43" s="2" t="s">
        <v>13</v>
      </c>
      <c r="L43" s="2" t="s">
        <v>13</v>
      </c>
      <c r="M43" s="2" t="s">
        <v>13</v>
      </c>
      <c r="N43" s="1">
        <v>9.5</v>
      </c>
      <c r="O43" s="1">
        <v>0.1</v>
      </c>
      <c r="EB43" s="1"/>
      <c r="EC43" s="1"/>
      <c r="ED43" s="1"/>
      <c r="EE43" s="1"/>
    </row>
    <row r="44" spans="1:135" x14ac:dyDescent="0.25">
      <c r="A44" s="4" t="s">
        <v>14</v>
      </c>
      <c r="B44" s="1">
        <v>1</v>
      </c>
      <c r="C44" s="1" t="s">
        <v>31</v>
      </c>
      <c r="D44" s="1" t="s">
        <v>12</v>
      </c>
      <c r="E44" s="1">
        <v>1</v>
      </c>
      <c r="F44" s="5">
        <v>0</v>
      </c>
      <c r="G44" s="1">
        <v>99</v>
      </c>
      <c r="H44" s="5">
        <v>78</v>
      </c>
      <c r="I44" s="2" t="s">
        <v>13</v>
      </c>
      <c r="J44" s="2" t="s">
        <v>13</v>
      </c>
      <c r="K44" s="2" t="s">
        <v>13</v>
      </c>
      <c r="L44" s="2" t="s">
        <v>13</v>
      </c>
      <c r="M44" s="2" t="s">
        <v>13</v>
      </c>
      <c r="N44" s="2" t="s">
        <v>13</v>
      </c>
      <c r="O44" s="2" t="s">
        <v>13</v>
      </c>
    </row>
    <row r="45" spans="1:135" x14ac:dyDescent="0.25">
      <c r="A45" s="4" t="s">
        <v>14</v>
      </c>
      <c r="B45" s="1">
        <v>1</v>
      </c>
      <c r="C45" s="1" t="s">
        <v>31</v>
      </c>
      <c r="D45" s="1" t="s">
        <v>12</v>
      </c>
      <c r="E45" s="1">
        <v>2</v>
      </c>
      <c r="F45" s="5">
        <v>0</v>
      </c>
      <c r="G45" s="1">
        <v>96</v>
      </c>
      <c r="H45" s="1">
        <v>84</v>
      </c>
      <c r="I45" s="2" t="s">
        <v>13</v>
      </c>
      <c r="J45" s="2" t="s">
        <v>13</v>
      </c>
      <c r="K45" s="2" t="s">
        <v>13</v>
      </c>
      <c r="L45" s="2" t="s">
        <v>13</v>
      </c>
      <c r="M45" s="2" t="s">
        <v>13</v>
      </c>
      <c r="N45" s="2" t="s">
        <v>13</v>
      </c>
      <c r="O45" s="2" t="s">
        <v>13</v>
      </c>
    </row>
    <row r="46" spans="1:135" x14ac:dyDescent="0.25">
      <c r="A46" s="4" t="s">
        <v>14</v>
      </c>
      <c r="B46" s="1">
        <v>1</v>
      </c>
      <c r="C46" s="1" t="s">
        <v>31</v>
      </c>
      <c r="D46" s="1" t="s">
        <v>12</v>
      </c>
      <c r="E46" s="1">
        <v>3</v>
      </c>
      <c r="F46" s="5">
        <v>0</v>
      </c>
      <c r="G46" s="1">
        <v>105</v>
      </c>
      <c r="H46" s="1">
        <v>72</v>
      </c>
      <c r="I46" s="2" t="s">
        <v>13</v>
      </c>
      <c r="J46" s="2" t="s">
        <v>13</v>
      </c>
      <c r="K46" s="2" t="s">
        <v>13</v>
      </c>
      <c r="L46" s="2" t="s">
        <v>13</v>
      </c>
      <c r="M46" s="2" t="s">
        <v>13</v>
      </c>
      <c r="N46" s="2" t="s">
        <v>13</v>
      </c>
      <c r="O46" s="2" t="s">
        <v>13</v>
      </c>
    </row>
    <row r="47" spans="1:135" x14ac:dyDescent="0.25">
      <c r="A47" s="4" t="s">
        <v>14</v>
      </c>
      <c r="B47" s="1">
        <v>1</v>
      </c>
      <c r="C47" s="1" t="s">
        <v>32</v>
      </c>
      <c r="D47" s="1" t="s">
        <v>12</v>
      </c>
      <c r="E47" s="1">
        <v>1</v>
      </c>
      <c r="F47" s="1">
        <v>134</v>
      </c>
      <c r="G47" s="1">
        <v>116</v>
      </c>
      <c r="H47" s="1">
        <v>24</v>
      </c>
      <c r="I47" s="2" t="s">
        <v>13</v>
      </c>
      <c r="J47" s="2" t="s">
        <v>13</v>
      </c>
      <c r="K47" s="2" t="s">
        <v>13</v>
      </c>
      <c r="L47" s="2" t="s">
        <v>13</v>
      </c>
      <c r="M47" s="2" t="s">
        <v>13</v>
      </c>
      <c r="N47" s="2" t="s">
        <v>13</v>
      </c>
      <c r="O47" s="2" t="s">
        <v>13</v>
      </c>
    </row>
    <row r="48" spans="1:135" x14ac:dyDescent="0.25">
      <c r="A48" s="4" t="s">
        <v>14</v>
      </c>
      <c r="B48" s="1">
        <v>1</v>
      </c>
      <c r="C48" s="1" t="s">
        <v>32</v>
      </c>
      <c r="D48" s="1" t="s">
        <v>12</v>
      </c>
      <c r="E48" s="1">
        <v>2</v>
      </c>
      <c r="F48" s="1">
        <v>137</v>
      </c>
      <c r="G48" s="1">
        <v>117</v>
      </c>
      <c r="H48" s="1">
        <v>48</v>
      </c>
      <c r="I48" s="2" t="s">
        <v>13</v>
      </c>
      <c r="J48" s="2" t="s">
        <v>13</v>
      </c>
      <c r="K48" s="2" t="s">
        <v>13</v>
      </c>
      <c r="L48" s="2" t="s">
        <v>13</v>
      </c>
      <c r="M48" s="2" t="s">
        <v>13</v>
      </c>
      <c r="N48" s="2" t="s">
        <v>13</v>
      </c>
      <c r="O48" s="2" t="s">
        <v>13</v>
      </c>
    </row>
    <row r="49" spans="1:15" x14ac:dyDescent="0.25">
      <c r="A49" s="4" t="s">
        <v>14</v>
      </c>
      <c r="B49" s="1">
        <v>1</v>
      </c>
      <c r="C49" s="1" t="s">
        <v>32</v>
      </c>
      <c r="D49" s="1" t="s">
        <v>12</v>
      </c>
      <c r="E49" s="1">
        <v>3</v>
      </c>
      <c r="F49" s="1">
        <v>139</v>
      </c>
      <c r="G49" s="1">
        <v>118</v>
      </c>
      <c r="H49" s="1">
        <v>72</v>
      </c>
      <c r="I49" s="2" t="s">
        <v>13</v>
      </c>
      <c r="J49" s="2" t="s">
        <v>13</v>
      </c>
      <c r="K49" s="2" t="s">
        <v>13</v>
      </c>
      <c r="L49" s="2" t="s">
        <v>13</v>
      </c>
      <c r="M49" s="2" t="s">
        <v>13</v>
      </c>
      <c r="N49" s="2" t="s">
        <v>13</v>
      </c>
      <c r="O49" s="2" t="s">
        <v>13</v>
      </c>
    </row>
    <row r="50" spans="1:15" x14ac:dyDescent="0.25">
      <c r="A50" s="4" t="s">
        <v>14</v>
      </c>
      <c r="B50" s="1">
        <v>1</v>
      </c>
      <c r="C50" s="1" t="s">
        <v>33</v>
      </c>
      <c r="D50" s="1" t="s">
        <v>12</v>
      </c>
      <c r="E50" s="1">
        <v>1</v>
      </c>
      <c r="F50" s="1">
        <v>143</v>
      </c>
      <c r="G50" s="1">
        <v>124</v>
      </c>
      <c r="H50" s="1">
        <v>72</v>
      </c>
      <c r="I50" s="2" t="s">
        <v>13</v>
      </c>
      <c r="J50" s="3">
        <v>19.923427581787109</v>
      </c>
      <c r="K50" s="2" t="s">
        <v>13</v>
      </c>
      <c r="L50" s="2" t="s">
        <v>13</v>
      </c>
      <c r="M50" s="2" t="s">
        <v>13</v>
      </c>
      <c r="N50" s="1">
        <v>11</v>
      </c>
      <c r="O50" s="1">
        <v>1</v>
      </c>
    </row>
    <row r="51" spans="1:15" x14ac:dyDescent="0.25">
      <c r="A51" s="4" t="s">
        <v>14</v>
      </c>
      <c r="B51" s="1">
        <v>1</v>
      </c>
      <c r="C51" s="1" t="s">
        <v>33</v>
      </c>
      <c r="D51" s="1" t="s">
        <v>12</v>
      </c>
      <c r="E51" s="1">
        <v>2</v>
      </c>
      <c r="F51" s="1">
        <v>116</v>
      </c>
      <c r="G51" s="1">
        <v>115</v>
      </c>
      <c r="H51" s="1">
        <v>36</v>
      </c>
      <c r="I51" s="2" t="s">
        <v>13</v>
      </c>
      <c r="J51" s="3">
        <v>17.61024284362793</v>
      </c>
      <c r="K51" s="2" t="s">
        <v>13</v>
      </c>
      <c r="L51" s="2" t="s">
        <v>13</v>
      </c>
      <c r="M51" s="2" t="s">
        <v>13</v>
      </c>
      <c r="N51" s="1">
        <v>9</v>
      </c>
      <c r="O51" s="1">
        <v>1</v>
      </c>
    </row>
    <row r="52" spans="1:15" x14ac:dyDescent="0.25">
      <c r="A52" s="4" t="s">
        <v>14</v>
      </c>
      <c r="B52" s="1">
        <v>1</v>
      </c>
      <c r="C52" s="1" t="s">
        <v>33</v>
      </c>
      <c r="D52" s="1" t="s">
        <v>12</v>
      </c>
      <c r="E52" s="1">
        <v>3</v>
      </c>
      <c r="F52" s="1">
        <v>153</v>
      </c>
      <c r="G52" s="1">
        <v>113</v>
      </c>
      <c r="H52" s="1">
        <v>36</v>
      </c>
      <c r="I52" s="2" t="s">
        <v>13</v>
      </c>
      <c r="J52" s="3">
        <v>16.995515823364258</v>
      </c>
      <c r="K52" s="2" t="s">
        <v>13</v>
      </c>
      <c r="L52" s="2" t="s">
        <v>13</v>
      </c>
      <c r="M52" s="2" t="s">
        <v>13</v>
      </c>
      <c r="N52" s="1">
        <v>13</v>
      </c>
      <c r="O52" s="1">
        <v>1</v>
      </c>
    </row>
    <row r="53" spans="1:15" x14ac:dyDescent="0.25">
      <c r="A53" s="4" t="s">
        <v>34</v>
      </c>
      <c r="B53" s="1">
        <v>1</v>
      </c>
      <c r="C53" s="1" t="s">
        <v>35</v>
      </c>
      <c r="D53" s="1" t="s">
        <v>12</v>
      </c>
      <c r="E53" s="1">
        <v>1</v>
      </c>
      <c r="F53" s="1">
        <v>159</v>
      </c>
      <c r="G53" s="1">
        <v>86</v>
      </c>
      <c r="H53" s="1">
        <v>108</v>
      </c>
      <c r="I53" s="2" t="s">
        <v>13</v>
      </c>
      <c r="J53" s="2" t="s">
        <v>13</v>
      </c>
      <c r="K53" s="2" t="s">
        <v>13</v>
      </c>
      <c r="L53" s="2" t="s">
        <v>13</v>
      </c>
      <c r="M53" s="2" t="s">
        <v>13</v>
      </c>
      <c r="N53" s="1">
        <v>12</v>
      </c>
      <c r="O53" s="1">
        <v>3.5</v>
      </c>
    </row>
    <row r="54" spans="1:15" x14ac:dyDescent="0.25">
      <c r="A54" s="4" t="s">
        <v>34</v>
      </c>
      <c r="B54" s="1">
        <v>1</v>
      </c>
      <c r="C54" s="1" t="s">
        <v>35</v>
      </c>
      <c r="D54" s="1" t="s">
        <v>12</v>
      </c>
      <c r="E54" s="1">
        <v>2</v>
      </c>
      <c r="F54" s="1">
        <v>163</v>
      </c>
      <c r="G54" s="1">
        <v>101</v>
      </c>
      <c r="H54" s="1">
        <v>60</v>
      </c>
      <c r="I54" s="2" t="s">
        <v>13</v>
      </c>
      <c r="J54" s="2" t="s">
        <v>13</v>
      </c>
      <c r="K54" s="2" t="s">
        <v>13</v>
      </c>
      <c r="L54" s="2" t="s">
        <v>13</v>
      </c>
      <c r="M54" s="2" t="s">
        <v>13</v>
      </c>
      <c r="N54" s="1">
        <v>11</v>
      </c>
      <c r="O54" s="1">
        <v>0.7</v>
      </c>
    </row>
    <row r="55" spans="1:15" x14ac:dyDescent="0.25">
      <c r="A55" s="4" t="s">
        <v>34</v>
      </c>
      <c r="B55" s="1">
        <v>1</v>
      </c>
      <c r="C55" s="1" t="s">
        <v>35</v>
      </c>
      <c r="D55" s="1" t="s">
        <v>12</v>
      </c>
      <c r="E55" s="1">
        <v>3</v>
      </c>
      <c r="F55" s="1">
        <v>159</v>
      </c>
      <c r="G55" s="1">
        <v>106</v>
      </c>
      <c r="H55" s="1">
        <v>72</v>
      </c>
      <c r="I55" s="2" t="s">
        <v>13</v>
      </c>
      <c r="J55" s="2" t="s">
        <v>13</v>
      </c>
      <c r="K55" s="2" t="s">
        <v>13</v>
      </c>
      <c r="L55" s="2" t="s">
        <v>13</v>
      </c>
      <c r="M55" s="2" t="s">
        <v>13</v>
      </c>
      <c r="N55" s="1">
        <v>11</v>
      </c>
      <c r="O55" s="1">
        <v>1.5</v>
      </c>
    </row>
    <row r="56" spans="1:15" x14ac:dyDescent="0.25">
      <c r="A56" s="4" t="s">
        <v>14</v>
      </c>
      <c r="B56" s="4">
        <v>1</v>
      </c>
      <c r="C56" s="1" t="s">
        <v>36</v>
      </c>
      <c r="D56" s="1" t="s">
        <v>12</v>
      </c>
      <c r="E56" s="1">
        <v>1</v>
      </c>
      <c r="F56" s="5">
        <v>0</v>
      </c>
      <c r="G56" s="1">
        <v>102</v>
      </c>
      <c r="H56" s="1">
        <v>60</v>
      </c>
      <c r="I56" s="2" t="s">
        <v>13</v>
      </c>
      <c r="J56" s="2" t="s">
        <v>13</v>
      </c>
      <c r="K56" s="2" t="s">
        <v>13</v>
      </c>
      <c r="L56" s="2" t="s">
        <v>13</v>
      </c>
      <c r="M56" s="2" t="s">
        <v>13</v>
      </c>
      <c r="N56" s="2" t="s">
        <v>13</v>
      </c>
      <c r="O56" s="2" t="s">
        <v>13</v>
      </c>
    </row>
    <row r="57" spans="1:15" x14ac:dyDescent="0.25">
      <c r="A57" s="4" t="s">
        <v>14</v>
      </c>
      <c r="B57" s="4">
        <v>1</v>
      </c>
      <c r="C57" s="1" t="s">
        <v>36</v>
      </c>
      <c r="D57" s="1" t="s">
        <v>12</v>
      </c>
      <c r="E57" s="1">
        <v>2</v>
      </c>
      <c r="F57" s="5">
        <v>0</v>
      </c>
      <c r="G57" s="1">
        <v>101</v>
      </c>
      <c r="H57" s="1">
        <v>84</v>
      </c>
      <c r="I57" s="2" t="s">
        <v>13</v>
      </c>
      <c r="J57" s="2" t="s">
        <v>13</v>
      </c>
      <c r="K57" s="2" t="s">
        <v>13</v>
      </c>
      <c r="L57" s="2" t="s">
        <v>13</v>
      </c>
      <c r="M57" s="2" t="s">
        <v>13</v>
      </c>
      <c r="N57" s="2" t="s">
        <v>13</v>
      </c>
      <c r="O57" s="2" t="s">
        <v>13</v>
      </c>
    </row>
    <row r="58" spans="1:15" x14ac:dyDescent="0.25">
      <c r="A58" s="4" t="s">
        <v>14</v>
      </c>
      <c r="B58" s="4">
        <v>1</v>
      </c>
      <c r="C58" s="1" t="s">
        <v>36</v>
      </c>
      <c r="D58" s="1" t="s">
        <v>12</v>
      </c>
      <c r="E58" s="1">
        <v>3</v>
      </c>
      <c r="F58" s="5">
        <v>0</v>
      </c>
      <c r="G58" s="1">
        <v>100</v>
      </c>
      <c r="H58" s="1">
        <v>84</v>
      </c>
      <c r="I58" s="2" t="s">
        <v>13</v>
      </c>
      <c r="J58" s="2" t="s">
        <v>13</v>
      </c>
      <c r="K58" s="2" t="s">
        <v>13</v>
      </c>
      <c r="L58" s="2" t="s">
        <v>13</v>
      </c>
      <c r="M58" s="2" t="s">
        <v>13</v>
      </c>
      <c r="N58" s="2" t="s">
        <v>13</v>
      </c>
      <c r="O58" s="2" t="s">
        <v>13</v>
      </c>
    </row>
    <row r="59" spans="1:15" x14ac:dyDescent="0.25">
      <c r="A59" s="4" t="s">
        <v>14</v>
      </c>
      <c r="B59" s="4">
        <v>1</v>
      </c>
      <c r="C59" s="1" t="s">
        <v>37</v>
      </c>
      <c r="D59" s="1" t="s">
        <v>12</v>
      </c>
      <c r="E59" s="1">
        <v>1</v>
      </c>
      <c r="F59" s="5">
        <v>0</v>
      </c>
      <c r="G59" s="1">
        <v>92</v>
      </c>
      <c r="H59" s="1">
        <v>120</v>
      </c>
      <c r="I59" s="2" t="s">
        <v>13</v>
      </c>
      <c r="J59" s="2" t="s">
        <v>13</v>
      </c>
      <c r="K59" s="2" t="s">
        <v>13</v>
      </c>
      <c r="L59" s="2" t="s">
        <v>13</v>
      </c>
      <c r="M59" s="2" t="s">
        <v>13</v>
      </c>
      <c r="N59" s="2" t="s">
        <v>13</v>
      </c>
      <c r="O59" s="2" t="s">
        <v>13</v>
      </c>
    </row>
    <row r="60" spans="1:15" x14ac:dyDescent="0.25">
      <c r="A60" s="4" t="s">
        <v>14</v>
      </c>
      <c r="B60" s="4">
        <v>1</v>
      </c>
      <c r="C60" s="1" t="s">
        <v>37</v>
      </c>
      <c r="D60" s="1" t="s">
        <v>12</v>
      </c>
      <c r="E60" s="1">
        <v>2</v>
      </c>
      <c r="F60" s="5">
        <v>0</v>
      </c>
      <c r="G60" s="1">
        <v>86</v>
      </c>
      <c r="H60" s="1">
        <v>108</v>
      </c>
      <c r="I60" s="2" t="s">
        <v>13</v>
      </c>
      <c r="J60" s="2" t="s">
        <v>13</v>
      </c>
      <c r="K60" s="2" t="s">
        <v>13</v>
      </c>
      <c r="L60" s="2" t="s">
        <v>13</v>
      </c>
      <c r="M60" s="2" t="s">
        <v>13</v>
      </c>
      <c r="N60" s="2" t="s">
        <v>13</v>
      </c>
      <c r="O60" s="2" t="s">
        <v>13</v>
      </c>
    </row>
    <row r="61" spans="1:15" x14ac:dyDescent="0.25">
      <c r="A61" s="4" t="s">
        <v>14</v>
      </c>
      <c r="B61" s="4">
        <v>1</v>
      </c>
      <c r="C61" s="1" t="s">
        <v>37</v>
      </c>
      <c r="D61" s="1" t="s">
        <v>12</v>
      </c>
      <c r="E61" s="1">
        <v>3</v>
      </c>
      <c r="F61" s="5">
        <v>0</v>
      </c>
      <c r="G61" s="1">
        <v>83</v>
      </c>
      <c r="H61" s="1">
        <v>96</v>
      </c>
      <c r="I61" s="2" t="s">
        <v>13</v>
      </c>
      <c r="J61" s="2" t="s">
        <v>13</v>
      </c>
      <c r="K61" s="2" t="s">
        <v>13</v>
      </c>
      <c r="L61" s="2" t="s">
        <v>13</v>
      </c>
      <c r="M61" s="2" t="s">
        <v>13</v>
      </c>
      <c r="N61" s="2" t="s">
        <v>13</v>
      </c>
      <c r="O61" s="2" t="s">
        <v>13</v>
      </c>
    </row>
    <row r="62" spans="1:15" x14ac:dyDescent="0.25">
      <c r="A62" s="4" t="s">
        <v>14</v>
      </c>
      <c r="B62" s="4">
        <v>1</v>
      </c>
      <c r="C62" s="1" t="s">
        <v>38</v>
      </c>
      <c r="D62" s="1" t="s">
        <v>12</v>
      </c>
      <c r="E62" s="1">
        <v>1</v>
      </c>
      <c r="F62" s="1">
        <v>153</v>
      </c>
      <c r="G62" s="1">
        <v>123</v>
      </c>
      <c r="H62" s="1">
        <v>72</v>
      </c>
      <c r="I62" s="2">
        <v>0.81751824817518259</v>
      </c>
      <c r="J62" s="2" t="s">
        <v>13</v>
      </c>
      <c r="K62" s="2" t="s">
        <v>13</v>
      </c>
      <c r="L62" s="2" t="s">
        <v>13</v>
      </c>
      <c r="M62" s="2" t="s">
        <v>13</v>
      </c>
      <c r="N62" s="1">
        <v>11.5</v>
      </c>
      <c r="O62" s="1">
        <v>4</v>
      </c>
    </row>
    <row r="63" spans="1:15" x14ac:dyDescent="0.25">
      <c r="A63" s="4" t="s">
        <v>14</v>
      </c>
      <c r="B63" s="4">
        <v>1</v>
      </c>
      <c r="C63" s="1" t="s">
        <v>38</v>
      </c>
      <c r="D63" s="1" t="s">
        <v>12</v>
      </c>
      <c r="E63" s="1">
        <v>2</v>
      </c>
      <c r="F63" s="1">
        <v>138</v>
      </c>
      <c r="G63" s="1">
        <v>121</v>
      </c>
      <c r="H63" s="1">
        <v>72</v>
      </c>
      <c r="I63" s="2">
        <v>1.4626865671641791</v>
      </c>
      <c r="J63" s="2" t="s">
        <v>13</v>
      </c>
      <c r="K63" s="2" t="s">
        <v>13</v>
      </c>
      <c r="L63" s="2" t="s">
        <v>13</v>
      </c>
      <c r="M63" s="2" t="s">
        <v>13</v>
      </c>
      <c r="N63" s="1">
        <v>13</v>
      </c>
      <c r="O63" s="1">
        <v>3</v>
      </c>
    </row>
    <row r="64" spans="1:15" x14ac:dyDescent="0.25">
      <c r="A64" s="4" t="s">
        <v>14</v>
      </c>
      <c r="B64" s="4">
        <v>1</v>
      </c>
      <c r="C64" s="1" t="s">
        <v>38</v>
      </c>
      <c r="D64" s="1" t="s">
        <v>12</v>
      </c>
      <c r="E64" s="1">
        <v>3</v>
      </c>
      <c r="F64" s="1">
        <v>141</v>
      </c>
      <c r="G64" s="1">
        <v>121</v>
      </c>
      <c r="H64" s="1">
        <v>36</v>
      </c>
      <c r="I64" s="2">
        <v>1.8787276341948309</v>
      </c>
      <c r="J64" s="2" t="s">
        <v>13</v>
      </c>
      <c r="K64" s="2" t="s">
        <v>13</v>
      </c>
      <c r="L64" s="2" t="s">
        <v>13</v>
      </c>
      <c r="M64" s="2" t="s">
        <v>13</v>
      </c>
      <c r="N64" s="1">
        <v>12.5</v>
      </c>
      <c r="O64" s="1">
        <v>3</v>
      </c>
    </row>
    <row r="65" spans="1:15" x14ac:dyDescent="0.25">
      <c r="A65" s="4" t="s">
        <v>14</v>
      </c>
      <c r="B65" s="4">
        <v>1</v>
      </c>
      <c r="C65" s="1" t="s">
        <v>39</v>
      </c>
      <c r="D65" s="1" t="s">
        <v>12</v>
      </c>
      <c r="E65" s="1">
        <v>1</v>
      </c>
      <c r="F65" s="1">
        <v>151</v>
      </c>
      <c r="G65" s="1">
        <v>115</v>
      </c>
      <c r="H65" s="1">
        <v>96</v>
      </c>
      <c r="I65" s="2" t="s">
        <v>13</v>
      </c>
      <c r="J65" s="2" t="s">
        <v>13</v>
      </c>
      <c r="K65" s="2" t="s">
        <v>13</v>
      </c>
      <c r="L65" s="2" t="s">
        <v>13</v>
      </c>
      <c r="M65" s="2" t="s">
        <v>13</v>
      </c>
      <c r="N65" s="2" t="s">
        <v>13</v>
      </c>
      <c r="O65" s="2" t="s">
        <v>13</v>
      </c>
    </row>
    <row r="66" spans="1:15" x14ac:dyDescent="0.25">
      <c r="A66" s="4" t="s">
        <v>14</v>
      </c>
      <c r="B66" s="4">
        <v>1</v>
      </c>
      <c r="C66" s="1" t="s">
        <v>39</v>
      </c>
      <c r="D66" s="1" t="s">
        <v>12</v>
      </c>
      <c r="E66" s="1">
        <v>2</v>
      </c>
      <c r="F66" s="1">
        <v>153</v>
      </c>
      <c r="G66" s="1">
        <v>117</v>
      </c>
      <c r="H66" s="1">
        <v>60</v>
      </c>
      <c r="I66" s="2" t="s">
        <v>13</v>
      </c>
      <c r="J66" s="2" t="s">
        <v>13</v>
      </c>
      <c r="K66" s="2" t="s">
        <v>13</v>
      </c>
      <c r="L66" s="2" t="s">
        <v>13</v>
      </c>
      <c r="M66" s="2" t="s">
        <v>13</v>
      </c>
      <c r="N66" s="2" t="s">
        <v>13</v>
      </c>
      <c r="O66" s="2" t="s">
        <v>13</v>
      </c>
    </row>
    <row r="67" spans="1:15" x14ac:dyDescent="0.25">
      <c r="A67" s="4" t="s">
        <v>14</v>
      </c>
      <c r="B67" s="4">
        <v>1</v>
      </c>
      <c r="C67" s="1" t="s">
        <v>39</v>
      </c>
      <c r="D67" s="1" t="s">
        <v>12</v>
      </c>
      <c r="E67" s="1">
        <v>3</v>
      </c>
      <c r="F67" s="1">
        <v>154</v>
      </c>
      <c r="G67" s="1">
        <v>100</v>
      </c>
      <c r="H67" s="1">
        <v>72</v>
      </c>
      <c r="I67" s="2" t="s">
        <v>13</v>
      </c>
      <c r="J67" s="2" t="s">
        <v>13</v>
      </c>
      <c r="K67" s="2" t="s">
        <v>13</v>
      </c>
      <c r="L67" s="2" t="s">
        <v>13</v>
      </c>
      <c r="M67" s="2" t="s">
        <v>13</v>
      </c>
      <c r="N67" s="2" t="s">
        <v>13</v>
      </c>
      <c r="O67" s="2" t="s">
        <v>13</v>
      </c>
    </row>
    <row r="68" spans="1:15" x14ac:dyDescent="0.25">
      <c r="A68" s="4" t="s">
        <v>14</v>
      </c>
      <c r="B68" s="4">
        <v>1</v>
      </c>
      <c r="C68" s="1" t="s">
        <v>40</v>
      </c>
      <c r="D68" s="1" t="s">
        <v>12</v>
      </c>
      <c r="E68" s="1">
        <v>1</v>
      </c>
      <c r="F68" s="1">
        <v>136</v>
      </c>
      <c r="G68" s="1">
        <v>121</v>
      </c>
      <c r="H68" s="1">
        <v>36</v>
      </c>
      <c r="I68" s="2">
        <v>2.8952912142152027</v>
      </c>
      <c r="J68" s="2" t="s">
        <v>13</v>
      </c>
      <c r="K68" s="2" t="s">
        <v>13</v>
      </c>
      <c r="L68" s="2" t="s">
        <v>13</v>
      </c>
      <c r="M68" s="2" t="s">
        <v>13</v>
      </c>
      <c r="N68" s="1">
        <v>12</v>
      </c>
      <c r="O68" s="1">
        <v>1</v>
      </c>
    </row>
    <row r="69" spans="1:15" x14ac:dyDescent="0.25">
      <c r="A69" s="4" t="s">
        <v>14</v>
      </c>
      <c r="B69" s="4">
        <v>1</v>
      </c>
      <c r="C69" s="1" t="s">
        <v>40</v>
      </c>
      <c r="D69" s="1" t="s">
        <v>12</v>
      </c>
      <c r="E69" s="1">
        <v>2</v>
      </c>
      <c r="F69" s="1">
        <v>139</v>
      </c>
      <c r="G69" s="1">
        <v>115</v>
      </c>
      <c r="H69" s="1">
        <v>84</v>
      </c>
      <c r="I69" s="2">
        <v>2.4012142152023692</v>
      </c>
      <c r="J69" s="2" t="s">
        <v>13</v>
      </c>
      <c r="K69" s="2" t="s">
        <v>13</v>
      </c>
      <c r="L69" s="2" t="s">
        <v>13</v>
      </c>
      <c r="M69" s="2" t="s">
        <v>13</v>
      </c>
      <c r="N69" s="1">
        <v>12.5</v>
      </c>
      <c r="O69" s="1">
        <v>0.5</v>
      </c>
    </row>
    <row r="70" spans="1:15" x14ac:dyDescent="0.25">
      <c r="A70" s="4" t="s">
        <v>14</v>
      </c>
      <c r="B70" s="4">
        <v>1</v>
      </c>
      <c r="C70" s="1" t="s">
        <v>40</v>
      </c>
      <c r="D70" s="1" t="s">
        <v>12</v>
      </c>
      <c r="E70" s="1">
        <v>3</v>
      </c>
      <c r="F70" s="1">
        <v>139</v>
      </c>
      <c r="G70" s="1">
        <v>118</v>
      </c>
      <c r="H70" s="1">
        <v>48</v>
      </c>
      <c r="I70" s="2">
        <v>0.4</v>
      </c>
      <c r="J70" s="2" t="s">
        <v>13</v>
      </c>
      <c r="K70" s="2" t="s">
        <v>13</v>
      </c>
      <c r="L70" s="2" t="s">
        <v>13</v>
      </c>
      <c r="M70" s="2" t="s">
        <v>13</v>
      </c>
      <c r="N70" s="1">
        <v>10</v>
      </c>
      <c r="O70" s="1">
        <v>0.1</v>
      </c>
    </row>
    <row r="71" spans="1:15" x14ac:dyDescent="0.25">
      <c r="A71" s="4" t="s">
        <v>14</v>
      </c>
      <c r="B71" s="4">
        <v>1</v>
      </c>
      <c r="C71" s="1" t="s">
        <v>41</v>
      </c>
      <c r="D71" s="1" t="s">
        <v>12</v>
      </c>
      <c r="E71" s="1">
        <v>1</v>
      </c>
      <c r="F71" s="1">
        <v>139</v>
      </c>
      <c r="G71" s="1">
        <v>100</v>
      </c>
      <c r="H71" s="1">
        <v>36</v>
      </c>
      <c r="I71" s="2">
        <v>2.4614754098360652</v>
      </c>
      <c r="J71" s="3">
        <v>18.663150787353516</v>
      </c>
      <c r="K71" s="2" t="s">
        <v>13</v>
      </c>
      <c r="L71" s="2">
        <v>0.45938886733133277</v>
      </c>
      <c r="M71" s="2" t="s">
        <v>13</v>
      </c>
      <c r="N71" s="1">
        <v>11</v>
      </c>
      <c r="O71" s="1">
        <v>2</v>
      </c>
    </row>
    <row r="72" spans="1:15" x14ac:dyDescent="0.25">
      <c r="A72" s="4" t="s">
        <v>14</v>
      </c>
      <c r="B72" s="4">
        <v>1</v>
      </c>
      <c r="C72" s="1" t="s">
        <v>41</v>
      </c>
      <c r="D72" s="1" t="s">
        <v>12</v>
      </c>
      <c r="E72" s="1">
        <v>2</v>
      </c>
      <c r="F72" s="1">
        <v>135</v>
      </c>
      <c r="G72" s="1">
        <v>104</v>
      </c>
      <c r="H72" s="1">
        <v>48</v>
      </c>
      <c r="I72" s="2">
        <v>1.2646258503401362</v>
      </c>
      <c r="J72" s="3">
        <v>16.217063903808594</v>
      </c>
      <c r="K72" s="2" t="s">
        <v>13</v>
      </c>
      <c r="L72" s="2">
        <v>0.2050851822937427</v>
      </c>
      <c r="M72" s="2" t="s">
        <v>13</v>
      </c>
      <c r="N72" s="1">
        <v>9.5</v>
      </c>
      <c r="O72" s="1">
        <v>2</v>
      </c>
    </row>
    <row r="73" spans="1:15" x14ac:dyDescent="0.25">
      <c r="A73" s="4" t="s">
        <v>14</v>
      </c>
      <c r="B73" s="4">
        <v>1</v>
      </c>
      <c r="C73" s="1" t="s">
        <v>41</v>
      </c>
      <c r="D73" s="1" t="s">
        <v>12</v>
      </c>
      <c r="E73" s="1">
        <v>3</v>
      </c>
      <c r="F73" s="1">
        <v>139</v>
      </c>
      <c r="G73" s="1">
        <v>94</v>
      </c>
      <c r="H73" s="1">
        <v>48</v>
      </c>
      <c r="I73" s="2">
        <v>2.0576663356504468</v>
      </c>
      <c r="J73" s="3">
        <v>14.733043670654297</v>
      </c>
      <c r="K73" s="2" t="s">
        <v>13</v>
      </c>
      <c r="L73" s="2">
        <v>0.30315687982773237</v>
      </c>
      <c r="M73" s="2" t="s">
        <v>13</v>
      </c>
      <c r="N73" s="1">
        <v>12.5</v>
      </c>
      <c r="O73" s="1">
        <v>0.5</v>
      </c>
    </row>
    <row r="74" spans="1:15" x14ac:dyDescent="0.25">
      <c r="A74" s="4" t="s">
        <v>14</v>
      </c>
      <c r="B74" s="4">
        <v>1</v>
      </c>
      <c r="C74" s="1" t="s">
        <v>42</v>
      </c>
      <c r="D74" s="1" t="s">
        <v>12</v>
      </c>
      <c r="E74" s="1">
        <v>1</v>
      </c>
      <c r="F74" s="1">
        <v>140</v>
      </c>
      <c r="G74" s="1">
        <v>104</v>
      </c>
      <c r="H74" s="1">
        <v>96</v>
      </c>
      <c r="I74" s="2" t="s">
        <v>13</v>
      </c>
      <c r="J74" s="2" t="s">
        <v>13</v>
      </c>
      <c r="K74" s="2" t="s">
        <v>13</v>
      </c>
      <c r="L74" s="2" t="s">
        <v>13</v>
      </c>
      <c r="M74" s="2" t="s">
        <v>13</v>
      </c>
      <c r="N74" s="1">
        <v>8.5</v>
      </c>
      <c r="O74" s="1">
        <v>1</v>
      </c>
    </row>
    <row r="75" spans="1:15" x14ac:dyDescent="0.25">
      <c r="A75" s="4" t="s">
        <v>14</v>
      </c>
      <c r="B75" s="4">
        <v>1</v>
      </c>
      <c r="C75" s="1" t="s">
        <v>42</v>
      </c>
      <c r="D75" s="1" t="s">
        <v>12</v>
      </c>
      <c r="E75" s="1">
        <v>2</v>
      </c>
      <c r="F75" s="1">
        <v>152</v>
      </c>
      <c r="G75" s="1">
        <v>118</v>
      </c>
      <c r="H75" s="1">
        <v>84</v>
      </c>
      <c r="I75" s="2" t="s">
        <v>13</v>
      </c>
      <c r="J75" s="2" t="s">
        <v>13</v>
      </c>
      <c r="K75" s="2" t="s">
        <v>13</v>
      </c>
      <c r="L75" s="2" t="s">
        <v>13</v>
      </c>
      <c r="M75" s="2" t="s">
        <v>13</v>
      </c>
      <c r="N75" s="1">
        <v>10.5</v>
      </c>
      <c r="O75" s="1">
        <v>0.1</v>
      </c>
    </row>
    <row r="76" spans="1:15" x14ac:dyDescent="0.25">
      <c r="A76" s="4" t="s">
        <v>14</v>
      </c>
      <c r="B76" s="4">
        <v>1</v>
      </c>
      <c r="C76" s="1" t="s">
        <v>42</v>
      </c>
      <c r="D76" s="1" t="s">
        <v>12</v>
      </c>
      <c r="E76" s="1">
        <v>3</v>
      </c>
      <c r="F76" s="1">
        <v>139</v>
      </c>
      <c r="G76" s="1">
        <v>123</v>
      </c>
      <c r="H76" s="1">
        <v>84</v>
      </c>
      <c r="I76" s="2" t="s">
        <v>13</v>
      </c>
      <c r="J76" s="2" t="s">
        <v>13</v>
      </c>
      <c r="K76" s="2" t="s">
        <v>13</v>
      </c>
      <c r="L76" s="2" t="s">
        <v>13</v>
      </c>
      <c r="M76" s="2" t="s">
        <v>13</v>
      </c>
      <c r="N76" s="1">
        <v>9.5</v>
      </c>
      <c r="O76" s="1">
        <v>1</v>
      </c>
    </row>
    <row r="77" spans="1:15" x14ac:dyDescent="0.25">
      <c r="A77" s="4" t="s">
        <v>14</v>
      </c>
      <c r="B77" s="4">
        <v>1</v>
      </c>
      <c r="C77" s="1" t="s">
        <v>43</v>
      </c>
      <c r="D77" s="1" t="s">
        <v>12</v>
      </c>
      <c r="E77" s="1">
        <v>1</v>
      </c>
      <c r="F77" s="1">
        <v>139</v>
      </c>
      <c r="G77" s="1">
        <v>98</v>
      </c>
      <c r="H77" s="1">
        <v>60</v>
      </c>
      <c r="I77" s="2">
        <v>2.2980155642023345</v>
      </c>
      <c r="J77" s="2" t="s">
        <v>13</v>
      </c>
      <c r="K77" s="2" t="s">
        <v>13</v>
      </c>
      <c r="L77" s="2" t="s">
        <v>13</v>
      </c>
      <c r="M77" s="2" t="s">
        <v>13</v>
      </c>
      <c r="N77" s="1">
        <v>13.5</v>
      </c>
      <c r="O77" s="1">
        <v>7.5</v>
      </c>
    </row>
    <row r="78" spans="1:15" x14ac:dyDescent="0.25">
      <c r="A78" s="4" t="s">
        <v>14</v>
      </c>
      <c r="B78" s="4">
        <v>1</v>
      </c>
      <c r="C78" s="1" t="s">
        <v>43</v>
      </c>
      <c r="D78" s="1" t="s">
        <v>12</v>
      </c>
      <c r="E78" s="1">
        <v>2</v>
      </c>
      <c r="F78" s="1">
        <v>140</v>
      </c>
      <c r="G78" s="1">
        <v>97</v>
      </c>
      <c r="H78" s="1">
        <v>60</v>
      </c>
      <c r="I78" s="2">
        <v>1.8147900763358777</v>
      </c>
      <c r="J78" s="2" t="s">
        <v>13</v>
      </c>
      <c r="K78" s="2" t="s">
        <v>13</v>
      </c>
      <c r="L78" s="2" t="s">
        <v>13</v>
      </c>
      <c r="M78" s="2" t="s">
        <v>13</v>
      </c>
      <c r="N78" s="1">
        <v>11</v>
      </c>
      <c r="O78" s="1">
        <v>6</v>
      </c>
    </row>
    <row r="79" spans="1:15" x14ac:dyDescent="0.25">
      <c r="A79" s="4" t="s">
        <v>14</v>
      </c>
      <c r="B79" s="4">
        <v>1</v>
      </c>
      <c r="C79" s="1" t="s">
        <v>43</v>
      </c>
      <c r="D79" s="1" t="s">
        <v>12</v>
      </c>
      <c r="E79" s="1">
        <v>3</v>
      </c>
      <c r="F79" s="1">
        <v>128</v>
      </c>
      <c r="G79" s="1">
        <v>95</v>
      </c>
      <c r="H79" s="1">
        <v>48</v>
      </c>
      <c r="I79" s="2">
        <v>1.7774766355140186</v>
      </c>
      <c r="J79" s="2" t="s">
        <v>13</v>
      </c>
      <c r="K79" s="2" t="s">
        <v>13</v>
      </c>
      <c r="L79" s="2" t="s">
        <v>13</v>
      </c>
      <c r="M79" s="2" t="s">
        <v>13</v>
      </c>
      <c r="N79" s="1">
        <v>11.5</v>
      </c>
      <c r="O79" s="1">
        <v>6</v>
      </c>
    </row>
    <row r="80" spans="1:15" x14ac:dyDescent="0.25">
      <c r="A80" s="4" t="s">
        <v>14</v>
      </c>
      <c r="B80" s="1">
        <v>1</v>
      </c>
      <c r="C80" s="1" t="s">
        <v>44</v>
      </c>
      <c r="D80" s="1" t="s">
        <v>12</v>
      </c>
      <c r="E80" s="1">
        <v>1</v>
      </c>
      <c r="F80" s="1">
        <v>141</v>
      </c>
      <c r="G80" s="1">
        <v>124</v>
      </c>
      <c r="H80" s="1">
        <v>36</v>
      </c>
      <c r="I80" s="2" t="s">
        <v>13</v>
      </c>
      <c r="J80" s="2" t="s">
        <v>13</v>
      </c>
      <c r="K80" s="2" t="s">
        <v>13</v>
      </c>
      <c r="L80" s="2" t="s">
        <v>13</v>
      </c>
      <c r="M80" s="2" t="s">
        <v>13</v>
      </c>
      <c r="N80" s="1">
        <v>13</v>
      </c>
      <c r="O80" s="1">
        <v>0.3</v>
      </c>
    </row>
    <row r="81" spans="1:15" x14ac:dyDescent="0.25">
      <c r="A81" s="4" t="s">
        <v>14</v>
      </c>
      <c r="B81" s="1">
        <v>1</v>
      </c>
      <c r="C81" s="1" t="s">
        <v>44</v>
      </c>
      <c r="D81" s="1" t="s">
        <v>12</v>
      </c>
      <c r="E81" s="1">
        <v>2</v>
      </c>
      <c r="F81" s="1">
        <v>154</v>
      </c>
      <c r="G81" s="1">
        <v>124</v>
      </c>
      <c r="H81" s="1">
        <v>36</v>
      </c>
      <c r="I81" s="2" t="s">
        <v>13</v>
      </c>
      <c r="J81" s="2" t="s">
        <v>13</v>
      </c>
      <c r="K81" s="2" t="s">
        <v>13</v>
      </c>
      <c r="L81" s="2" t="s">
        <v>13</v>
      </c>
      <c r="M81" s="2" t="s">
        <v>13</v>
      </c>
      <c r="N81" s="1">
        <v>11</v>
      </c>
      <c r="O81" s="1">
        <v>1</v>
      </c>
    </row>
    <row r="82" spans="1:15" x14ac:dyDescent="0.25">
      <c r="A82" s="4" t="s">
        <v>14</v>
      </c>
      <c r="B82" s="1">
        <v>1</v>
      </c>
      <c r="C82" s="1" t="s">
        <v>44</v>
      </c>
      <c r="D82" s="1" t="s">
        <v>12</v>
      </c>
      <c r="E82" s="1">
        <v>3</v>
      </c>
      <c r="F82" s="1">
        <v>154</v>
      </c>
      <c r="G82" s="1">
        <v>127</v>
      </c>
      <c r="H82" s="1">
        <v>36</v>
      </c>
      <c r="I82" s="2" t="s">
        <v>13</v>
      </c>
      <c r="J82" s="2" t="s">
        <v>13</v>
      </c>
      <c r="K82" s="2" t="s">
        <v>13</v>
      </c>
      <c r="L82" s="2" t="s">
        <v>13</v>
      </c>
      <c r="M82" s="2" t="s">
        <v>13</v>
      </c>
      <c r="N82" s="1">
        <v>13</v>
      </c>
      <c r="O82" s="1">
        <v>1.5</v>
      </c>
    </row>
    <row r="83" spans="1:15" x14ac:dyDescent="0.25">
      <c r="A83" s="4" t="s">
        <v>14</v>
      </c>
      <c r="B83" s="1">
        <v>1</v>
      </c>
      <c r="C83" s="1" t="s">
        <v>45</v>
      </c>
      <c r="D83" s="1" t="s">
        <v>12</v>
      </c>
      <c r="E83" s="1">
        <v>1</v>
      </c>
      <c r="F83" s="1">
        <v>135</v>
      </c>
      <c r="G83" s="1">
        <v>87</v>
      </c>
      <c r="H83" s="1">
        <v>60</v>
      </c>
      <c r="I83" s="2" t="s">
        <v>13</v>
      </c>
      <c r="J83" s="2" t="s">
        <v>13</v>
      </c>
      <c r="K83" s="2" t="s">
        <v>13</v>
      </c>
      <c r="L83" s="2" t="s">
        <v>13</v>
      </c>
      <c r="M83" s="2" t="s">
        <v>13</v>
      </c>
      <c r="N83" s="1">
        <v>10</v>
      </c>
      <c r="O83" s="1">
        <v>4.5</v>
      </c>
    </row>
    <row r="84" spans="1:15" x14ac:dyDescent="0.25">
      <c r="A84" s="4" t="s">
        <v>14</v>
      </c>
      <c r="B84" s="1">
        <v>1</v>
      </c>
      <c r="C84" s="1" t="s">
        <v>45</v>
      </c>
      <c r="D84" s="1" t="s">
        <v>12</v>
      </c>
      <c r="E84" s="1">
        <v>2</v>
      </c>
      <c r="F84" s="1">
        <v>140</v>
      </c>
      <c r="G84" s="1">
        <v>99</v>
      </c>
      <c r="H84" s="1">
        <v>84</v>
      </c>
      <c r="I84" s="2" t="s">
        <v>13</v>
      </c>
      <c r="J84" s="2" t="s">
        <v>13</v>
      </c>
      <c r="K84" s="2" t="s">
        <v>13</v>
      </c>
      <c r="L84" s="2" t="s">
        <v>13</v>
      </c>
      <c r="M84" s="2" t="s">
        <v>13</v>
      </c>
      <c r="N84" s="1">
        <v>8.5</v>
      </c>
      <c r="O84" s="1">
        <v>7</v>
      </c>
    </row>
    <row r="85" spans="1:15" x14ac:dyDescent="0.25">
      <c r="A85" s="4" t="s">
        <v>14</v>
      </c>
      <c r="B85" s="1">
        <v>1</v>
      </c>
      <c r="C85" s="1" t="s">
        <v>45</v>
      </c>
      <c r="D85" s="1" t="s">
        <v>12</v>
      </c>
      <c r="E85" s="1">
        <v>3</v>
      </c>
      <c r="F85" s="1">
        <v>143</v>
      </c>
      <c r="G85" s="1">
        <v>103</v>
      </c>
      <c r="H85" s="1">
        <v>36</v>
      </c>
      <c r="I85" s="2" t="s">
        <v>13</v>
      </c>
      <c r="J85" s="2" t="s">
        <v>13</v>
      </c>
      <c r="K85" s="2" t="s">
        <v>13</v>
      </c>
      <c r="L85" s="2" t="s">
        <v>13</v>
      </c>
      <c r="M85" s="2" t="s">
        <v>13</v>
      </c>
      <c r="N85" s="1">
        <v>12</v>
      </c>
      <c r="O85" s="1">
        <v>10</v>
      </c>
    </row>
    <row r="86" spans="1:15" x14ac:dyDescent="0.25">
      <c r="A86" s="4" t="s">
        <v>14</v>
      </c>
      <c r="B86" s="1">
        <v>2</v>
      </c>
      <c r="C86" s="1" t="s">
        <v>46</v>
      </c>
      <c r="D86" s="1" t="s">
        <v>12</v>
      </c>
      <c r="E86" s="1">
        <v>1</v>
      </c>
      <c r="F86" s="1">
        <v>79</v>
      </c>
      <c r="G86" s="1">
        <v>106</v>
      </c>
      <c r="H86" s="1">
        <v>36</v>
      </c>
      <c r="I86" s="2">
        <v>2.1006206896551722</v>
      </c>
      <c r="J86" s="3">
        <v>15.271820068359375</v>
      </c>
      <c r="K86" s="2">
        <v>4.5531039640984137</v>
      </c>
      <c r="L86" s="2">
        <v>0.32080301204286771</v>
      </c>
      <c r="M86" s="2">
        <v>9.5643443891361077E-2</v>
      </c>
      <c r="N86" s="1">
        <v>15</v>
      </c>
      <c r="O86" s="1">
        <v>20</v>
      </c>
    </row>
    <row r="87" spans="1:15" x14ac:dyDescent="0.25">
      <c r="A87" s="4" t="s">
        <v>14</v>
      </c>
      <c r="B87" s="1">
        <v>2</v>
      </c>
      <c r="C87" s="1" t="s">
        <v>46</v>
      </c>
      <c r="D87" s="1" t="s">
        <v>12</v>
      </c>
      <c r="E87" s="1">
        <v>2</v>
      </c>
      <c r="F87" s="1">
        <v>79</v>
      </c>
      <c r="G87" s="1">
        <v>110</v>
      </c>
      <c r="H87" s="1">
        <v>72</v>
      </c>
      <c r="I87" s="2">
        <v>1.813827519379845</v>
      </c>
      <c r="J87" s="3">
        <v>15.690970420837402</v>
      </c>
      <c r="K87" s="2">
        <v>4.2819995625658658</v>
      </c>
      <c r="L87" s="2">
        <v>0.28460713955090028</v>
      </c>
      <c r="M87" s="2">
        <v>7.7668086445544252E-2</v>
      </c>
      <c r="N87" s="1">
        <v>15</v>
      </c>
      <c r="O87" s="1">
        <v>10.5</v>
      </c>
    </row>
    <row r="88" spans="1:15" x14ac:dyDescent="0.25">
      <c r="A88" s="4" t="s">
        <v>14</v>
      </c>
      <c r="B88" s="1">
        <v>2</v>
      </c>
      <c r="C88" s="1" t="s">
        <v>46</v>
      </c>
      <c r="D88" s="1" t="s">
        <v>12</v>
      </c>
      <c r="E88" s="1">
        <v>3</v>
      </c>
      <c r="F88" s="1">
        <v>80</v>
      </c>
      <c r="G88" s="1">
        <v>118</v>
      </c>
      <c r="H88" s="5">
        <v>48</v>
      </c>
      <c r="I88" s="2">
        <v>2.0329787234042556</v>
      </c>
      <c r="J88" s="3">
        <v>14.728808403015137</v>
      </c>
      <c r="K88" s="2">
        <v>4.7804414906244164</v>
      </c>
      <c r="L88" s="2">
        <v>0.29943354104427583</v>
      </c>
      <c r="M88" s="2">
        <v>9.7185358389183629E-2</v>
      </c>
      <c r="N88" s="1">
        <v>16</v>
      </c>
      <c r="O88" s="1">
        <v>9</v>
      </c>
    </row>
    <row r="89" spans="1:15" x14ac:dyDescent="0.25">
      <c r="A89" s="4" t="s">
        <v>14</v>
      </c>
      <c r="B89" s="1">
        <v>1</v>
      </c>
      <c r="C89" s="1" t="s">
        <v>47</v>
      </c>
      <c r="D89" s="1" t="s">
        <v>12</v>
      </c>
      <c r="E89" s="1">
        <v>1</v>
      </c>
      <c r="F89" s="1">
        <v>159</v>
      </c>
      <c r="G89" s="1">
        <v>107</v>
      </c>
      <c r="H89" s="1">
        <v>60</v>
      </c>
      <c r="I89" s="2" t="s">
        <v>13</v>
      </c>
      <c r="J89" s="2" t="s">
        <v>13</v>
      </c>
      <c r="K89" s="2" t="s">
        <v>13</v>
      </c>
      <c r="L89" s="2" t="s">
        <v>13</v>
      </c>
      <c r="M89" s="2" t="s">
        <v>13</v>
      </c>
      <c r="N89" s="1">
        <v>13</v>
      </c>
      <c r="O89" s="1">
        <v>5</v>
      </c>
    </row>
    <row r="90" spans="1:15" x14ac:dyDescent="0.25">
      <c r="A90" s="4" t="s">
        <v>14</v>
      </c>
      <c r="B90" s="1">
        <v>1</v>
      </c>
      <c r="C90" s="1" t="s">
        <v>47</v>
      </c>
      <c r="D90" s="1" t="s">
        <v>12</v>
      </c>
      <c r="E90" s="1">
        <v>2</v>
      </c>
      <c r="F90" s="1">
        <v>159</v>
      </c>
      <c r="G90" s="1">
        <v>114</v>
      </c>
      <c r="H90" s="1">
        <v>48</v>
      </c>
      <c r="I90" s="2" t="s">
        <v>13</v>
      </c>
      <c r="J90" s="2" t="s">
        <v>13</v>
      </c>
      <c r="K90" s="2" t="s">
        <v>13</v>
      </c>
      <c r="L90" s="2" t="s">
        <v>13</v>
      </c>
      <c r="M90" s="2" t="s">
        <v>13</v>
      </c>
      <c r="N90" s="1">
        <v>19</v>
      </c>
      <c r="O90" s="1">
        <v>3</v>
      </c>
    </row>
    <row r="91" spans="1:15" x14ac:dyDescent="0.25">
      <c r="A91" s="4" t="s">
        <v>14</v>
      </c>
      <c r="B91" s="1">
        <v>1</v>
      </c>
      <c r="C91" s="1" t="s">
        <v>47</v>
      </c>
      <c r="D91" s="1" t="s">
        <v>12</v>
      </c>
      <c r="E91" s="1">
        <v>3</v>
      </c>
      <c r="F91" s="1">
        <v>159</v>
      </c>
      <c r="G91" s="1">
        <v>129</v>
      </c>
      <c r="H91" s="1">
        <v>84</v>
      </c>
      <c r="I91" s="2" t="s">
        <v>13</v>
      </c>
      <c r="J91" s="2" t="s">
        <v>13</v>
      </c>
      <c r="K91" s="2" t="s">
        <v>13</v>
      </c>
      <c r="L91" s="2" t="s">
        <v>13</v>
      </c>
      <c r="M91" s="2" t="s">
        <v>13</v>
      </c>
      <c r="N91" s="1">
        <v>11</v>
      </c>
      <c r="O91" s="1">
        <v>2</v>
      </c>
    </row>
    <row r="92" spans="1:15" x14ac:dyDescent="0.25">
      <c r="A92" s="4" t="s">
        <v>14</v>
      </c>
      <c r="B92" s="1">
        <v>1</v>
      </c>
      <c r="C92" s="1" t="s">
        <v>48</v>
      </c>
      <c r="D92" s="1" t="s">
        <v>12</v>
      </c>
      <c r="E92" s="1">
        <v>1</v>
      </c>
      <c r="F92" s="1">
        <v>128</v>
      </c>
      <c r="G92" s="1">
        <v>130</v>
      </c>
      <c r="H92" s="1">
        <v>108</v>
      </c>
      <c r="I92" s="2">
        <v>0.99763717805151175</v>
      </c>
      <c r="J92" s="2" t="s">
        <v>13</v>
      </c>
      <c r="K92" s="2" t="s">
        <v>13</v>
      </c>
      <c r="L92" s="2" t="s">
        <v>13</v>
      </c>
      <c r="M92" s="2" t="s">
        <v>13</v>
      </c>
      <c r="N92" s="1">
        <v>11</v>
      </c>
      <c r="O92" s="1">
        <v>7</v>
      </c>
    </row>
    <row r="93" spans="1:15" x14ac:dyDescent="0.25">
      <c r="A93" s="4" t="s">
        <v>14</v>
      </c>
      <c r="B93" s="1">
        <v>1</v>
      </c>
      <c r="C93" s="1" t="s">
        <v>48</v>
      </c>
      <c r="D93" s="1" t="s">
        <v>12</v>
      </c>
      <c r="E93" s="1">
        <v>2</v>
      </c>
      <c r="F93" s="1">
        <v>137</v>
      </c>
      <c r="G93" s="1">
        <v>121</v>
      </c>
      <c r="H93" s="1">
        <v>72</v>
      </c>
      <c r="I93" s="2">
        <v>1.2064783427495291</v>
      </c>
      <c r="J93" s="2" t="s">
        <v>13</v>
      </c>
      <c r="K93" s="2" t="s">
        <v>13</v>
      </c>
      <c r="L93" s="2" t="s">
        <v>13</v>
      </c>
      <c r="M93" s="2" t="s">
        <v>13</v>
      </c>
      <c r="N93" s="1">
        <v>11</v>
      </c>
      <c r="O93" s="1">
        <v>5.5</v>
      </c>
    </row>
    <row r="94" spans="1:15" x14ac:dyDescent="0.25">
      <c r="A94" s="4" t="s">
        <v>14</v>
      </c>
      <c r="B94" s="1">
        <v>1</v>
      </c>
      <c r="C94" s="1" t="s">
        <v>48</v>
      </c>
      <c r="D94" s="1" t="s">
        <v>12</v>
      </c>
      <c r="E94" s="1">
        <v>3</v>
      </c>
      <c r="F94" s="1">
        <v>138</v>
      </c>
      <c r="G94" s="1">
        <v>132</v>
      </c>
      <c r="H94" s="1">
        <v>84</v>
      </c>
      <c r="I94" s="2">
        <v>1.3056521739130436</v>
      </c>
      <c r="J94" s="2" t="s">
        <v>13</v>
      </c>
      <c r="K94" s="2" t="s">
        <v>13</v>
      </c>
      <c r="L94" s="2" t="s">
        <v>13</v>
      </c>
      <c r="M94" s="2" t="s">
        <v>13</v>
      </c>
      <c r="N94" s="1">
        <v>11</v>
      </c>
      <c r="O94" s="1">
        <v>6</v>
      </c>
    </row>
    <row r="95" spans="1:15" ht="30" x14ac:dyDescent="0.25">
      <c r="A95" s="4" t="s">
        <v>49</v>
      </c>
      <c r="B95" s="1">
        <v>4</v>
      </c>
      <c r="C95" s="1" t="s">
        <v>50</v>
      </c>
      <c r="D95" s="1" t="s">
        <v>12</v>
      </c>
      <c r="E95" s="1">
        <v>1</v>
      </c>
      <c r="F95" s="1">
        <v>102</v>
      </c>
      <c r="G95" s="1">
        <v>118</v>
      </c>
      <c r="H95" s="1">
        <v>36</v>
      </c>
      <c r="I95" s="2">
        <v>3.1075820895522392</v>
      </c>
      <c r="J95" s="3">
        <v>14.079517364501953</v>
      </c>
      <c r="K95" s="2">
        <v>5.1705653021448379</v>
      </c>
      <c r="L95" s="2">
        <v>0.43753255991466017</v>
      </c>
      <c r="M95" s="2">
        <v>0.1606795612580556</v>
      </c>
      <c r="N95" s="1">
        <v>21</v>
      </c>
      <c r="O95" s="1">
        <v>4.5</v>
      </c>
    </row>
    <row r="96" spans="1:15" ht="30" x14ac:dyDescent="0.25">
      <c r="A96" s="4" t="s">
        <v>49</v>
      </c>
      <c r="B96" s="1">
        <v>4</v>
      </c>
      <c r="C96" s="1" t="s">
        <v>50</v>
      </c>
      <c r="D96" s="1" t="s">
        <v>12</v>
      </c>
      <c r="E96" s="1">
        <v>2</v>
      </c>
      <c r="F96" s="1">
        <v>105</v>
      </c>
      <c r="G96" s="1">
        <v>104</v>
      </c>
      <c r="H96" s="1">
        <v>36</v>
      </c>
      <c r="I96" s="2">
        <v>2.6502854330708661</v>
      </c>
      <c r="J96" s="3">
        <v>14.788534164428711</v>
      </c>
      <c r="K96" s="2">
        <v>4.774607214526859</v>
      </c>
      <c r="L96" s="2">
        <v>0.39193836672456239</v>
      </c>
      <c r="M96" s="2">
        <v>0.12654071949295598</v>
      </c>
      <c r="N96" s="1">
        <v>20</v>
      </c>
      <c r="O96" s="1">
        <v>8.5</v>
      </c>
    </row>
    <row r="97" spans="1:15" ht="30" x14ac:dyDescent="0.25">
      <c r="A97" s="4" t="s">
        <v>49</v>
      </c>
      <c r="B97" s="1">
        <v>4</v>
      </c>
      <c r="C97" s="1" t="s">
        <v>50</v>
      </c>
      <c r="D97" s="1" t="s">
        <v>12</v>
      </c>
      <c r="E97" s="1">
        <v>3</v>
      </c>
      <c r="F97" s="1">
        <v>100</v>
      </c>
      <c r="G97" s="1">
        <v>109</v>
      </c>
      <c r="H97" s="1">
        <v>36</v>
      </c>
      <c r="I97" s="2">
        <v>2.9732673267326732</v>
      </c>
      <c r="J97" s="3">
        <v>15.523470878601074</v>
      </c>
      <c r="K97" s="2">
        <v>4.5175316631694029</v>
      </c>
      <c r="L97" s="2">
        <v>0.46155428760830725</v>
      </c>
      <c r="M97" s="2">
        <v>0.13431829291581898</v>
      </c>
      <c r="N97" s="1">
        <v>22</v>
      </c>
      <c r="O97" s="1">
        <v>4</v>
      </c>
    </row>
    <row r="98" spans="1:15" ht="30" x14ac:dyDescent="0.25">
      <c r="A98" s="4" t="s">
        <v>49</v>
      </c>
      <c r="B98" s="1">
        <v>5</v>
      </c>
      <c r="C98" s="1" t="s">
        <v>51</v>
      </c>
      <c r="D98" s="1" t="s">
        <v>12</v>
      </c>
      <c r="E98" s="1">
        <v>1</v>
      </c>
      <c r="F98" s="1">
        <v>108</v>
      </c>
      <c r="G98" s="1">
        <v>103</v>
      </c>
      <c r="H98" s="1">
        <v>12</v>
      </c>
      <c r="I98" s="2" t="s">
        <v>13</v>
      </c>
      <c r="J98" s="2" t="s">
        <v>13</v>
      </c>
      <c r="K98" s="2" t="s">
        <v>13</v>
      </c>
      <c r="L98" s="2" t="s">
        <v>13</v>
      </c>
      <c r="M98" s="2" t="s">
        <v>13</v>
      </c>
      <c r="N98" s="2" t="s">
        <v>13</v>
      </c>
      <c r="O98" s="2" t="s">
        <v>13</v>
      </c>
    </row>
    <row r="99" spans="1:15" ht="30" x14ac:dyDescent="0.25">
      <c r="A99" s="4" t="s">
        <v>49</v>
      </c>
      <c r="B99" s="1">
        <v>5</v>
      </c>
      <c r="C99" s="1" t="s">
        <v>51</v>
      </c>
      <c r="D99" s="1" t="s">
        <v>12</v>
      </c>
      <c r="E99" s="1">
        <v>2</v>
      </c>
      <c r="F99" s="1">
        <v>103</v>
      </c>
      <c r="G99" s="1">
        <v>103</v>
      </c>
      <c r="H99" s="1">
        <v>36</v>
      </c>
      <c r="I99" s="2" t="s">
        <v>13</v>
      </c>
      <c r="J99" s="2" t="s">
        <v>13</v>
      </c>
      <c r="K99" s="2" t="s">
        <v>13</v>
      </c>
      <c r="L99" s="2" t="s">
        <v>13</v>
      </c>
      <c r="M99" s="2" t="s">
        <v>13</v>
      </c>
      <c r="N99" s="2" t="s">
        <v>13</v>
      </c>
      <c r="O99" s="2" t="s">
        <v>13</v>
      </c>
    </row>
    <row r="100" spans="1:15" ht="30" x14ac:dyDescent="0.25">
      <c r="A100" s="4" t="s">
        <v>49</v>
      </c>
      <c r="B100" s="1">
        <v>5</v>
      </c>
      <c r="C100" s="1" t="s">
        <v>51</v>
      </c>
      <c r="D100" s="1" t="s">
        <v>12</v>
      </c>
      <c r="E100" s="1">
        <v>3</v>
      </c>
      <c r="F100" s="1">
        <v>108</v>
      </c>
      <c r="G100" s="5">
        <v>104</v>
      </c>
      <c r="H100" s="1">
        <v>0</v>
      </c>
      <c r="I100" s="2" t="s">
        <v>13</v>
      </c>
      <c r="J100" s="2" t="s">
        <v>13</v>
      </c>
      <c r="K100" s="2" t="s">
        <v>13</v>
      </c>
      <c r="L100" s="2" t="s">
        <v>13</v>
      </c>
      <c r="M100" s="2" t="s">
        <v>13</v>
      </c>
      <c r="N100" s="2" t="s">
        <v>13</v>
      </c>
      <c r="O100" s="2" t="s">
        <v>13</v>
      </c>
    </row>
    <row r="101" spans="1:15" x14ac:dyDescent="0.25">
      <c r="A101" s="4" t="s">
        <v>52</v>
      </c>
      <c r="B101" s="1">
        <v>4</v>
      </c>
      <c r="C101" s="1" t="s">
        <v>53</v>
      </c>
      <c r="D101" s="1" t="s">
        <v>12</v>
      </c>
      <c r="E101" s="1">
        <v>1</v>
      </c>
      <c r="F101" s="1">
        <v>100</v>
      </c>
      <c r="G101" s="1">
        <v>108</v>
      </c>
      <c r="H101" s="1">
        <v>72</v>
      </c>
      <c r="I101" s="2">
        <v>2.0218217821782178</v>
      </c>
      <c r="J101" s="3">
        <v>13.475461006164551</v>
      </c>
      <c r="K101" s="2">
        <v>4.1844098222707142</v>
      </c>
      <c r="L101" s="2">
        <v>0.27244980587156697</v>
      </c>
      <c r="M101" s="2">
        <v>8.4601309242274145E-2</v>
      </c>
      <c r="N101" s="1">
        <v>12.5</v>
      </c>
      <c r="O101" s="1">
        <v>10</v>
      </c>
    </row>
    <row r="102" spans="1:15" x14ac:dyDescent="0.25">
      <c r="A102" s="4" t="s">
        <v>52</v>
      </c>
      <c r="B102" s="1">
        <v>4</v>
      </c>
      <c r="C102" s="1" t="s">
        <v>53</v>
      </c>
      <c r="D102" s="1" t="s">
        <v>12</v>
      </c>
      <c r="E102" s="1">
        <v>2</v>
      </c>
      <c r="F102" s="5">
        <v>100</v>
      </c>
      <c r="G102" s="1">
        <v>119</v>
      </c>
      <c r="H102" s="1">
        <v>72</v>
      </c>
      <c r="I102" s="2">
        <v>1.9272691552062868</v>
      </c>
      <c r="J102" s="3">
        <v>14.585240364074707</v>
      </c>
      <c r="K102" s="2">
        <v>3.6687471456841974</v>
      </c>
      <c r="L102" s="2">
        <v>0.28109683874950891</v>
      </c>
      <c r="M102" s="2">
        <v>7.0706632121282587E-2</v>
      </c>
      <c r="N102" s="1">
        <v>16</v>
      </c>
      <c r="O102" s="1">
        <v>4.5</v>
      </c>
    </row>
    <row r="103" spans="1:15" x14ac:dyDescent="0.25">
      <c r="A103" s="4" t="s">
        <v>52</v>
      </c>
      <c r="B103" s="1">
        <v>4</v>
      </c>
      <c r="C103" s="1" t="s">
        <v>53</v>
      </c>
      <c r="D103" s="1" t="s">
        <v>12</v>
      </c>
      <c r="E103" s="1">
        <v>3</v>
      </c>
      <c r="F103" s="1">
        <v>98</v>
      </c>
      <c r="G103" s="1">
        <v>110</v>
      </c>
      <c r="H103" s="1">
        <v>60</v>
      </c>
      <c r="I103" s="2">
        <v>1.8866503906249998</v>
      </c>
      <c r="J103" s="3">
        <v>16.910446166992188</v>
      </c>
      <c r="K103" s="2">
        <v>3.7260950030847737</v>
      </c>
      <c r="L103" s="2">
        <v>0.31904099866598845</v>
      </c>
      <c r="M103" s="2">
        <v>7.0298385930757476E-2</v>
      </c>
      <c r="N103" s="1">
        <v>14</v>
      </c>
      <c r="O103" s="1">
        <v>8</v>
      </c>
    </row>
    <row r="104" spans="1:15" ht="30" x14ac:dyDescent="0.25">
      <c r="A104" s="4" t="s">
        <v>49</v>
      </c>
      <c r="B104" s="1">
        <v>4</v>
      </c>
      <c r="C104" s="1" t="s">
        <v>54</v>
      </c>
      <c r="D104" s="1" t="s">
        <v>12</v>
      </c>
      <c r="E104" s="1">
        <v>1</v>
      </c>
      <c r="F104" s="1">
        <v>118</v>
      </c>
      <c r="G104" s="1">
        <v>119</v>
      </c>
      <c r="H104" s="1">
        <v>48</v>
      </c>
      <c r="I104" s="2">
        <v>2.9581791044776122</v>
      </c>
      <c r="J104" s="3">
        <v>16.779590606689453</v>
      </c>
      <c r="K104" s="2">
        <v>3.1066412010734834</v>
      </c>
      <c r="L104" s="2">
        <v>0.49637034314397566</v>
      </c>
      <c r="M104" s="2">
        <v>9.1900010861248105E-2</v>
      </c>
      <c r="N104" s="1">
        <v>10</v>
      </c>
      <c r="O104" s="1">
        <v>2.5</v>
      </c>
    </row>
    <row r="105" spans="1:15" ht="30" x14ac:dyDescent="0.25">
      <c r="A105" s="4" t="s">
        <v>49</v>
      </c>
      <c r="B105" s="1">
        <v>4</v>
      </c>
      <c r="C105" s="1" t="s">
        <v>54</v>
      </c>
      <c r="D105" s="1" t="s">
        <v>12</v>
      </c>
      <c r="E105" s="1">
        <v>2</v>
      </c>
      <c r="F105" s="1">
        <v>118</v>
      </c>
      <c r="G105" s="1">
        <v>122</v>
      </c>
      <c r="H105" s="1">
        <v>72</v>
      </c>
      <c r="I105" s="2">
        <v>2.736130895091434</v>
      </c>
      <c r="J105" s="3">
        <v>16.813104629516602</v>
      </c>
      <c r="K105" s="2">
        <v>2.8909516049032558</v>
      </c>
      <c r="L105" s="2">
        <v>0.46002855019225192</v>
      </c>
      <c r="M105" s="2">
        <v>7.9100220023899631E-2</v>
      </c>
      <c r="N105" s="1">
        <v>9</v>
      </c>
      <c r="O105" s="1">
        <v>1.5</v>
      </c>
    </row>
    <row r="106" spans="1:15" ht="30" x14ac:dyDescent="0.25">
      <c r="A106" s="4" t="s">
        <v>49</v>
      </c>
      <c r="B106" s="1">
        <v>4</v>
      </c>
      <c r="C106" s="1" t="s">
        <v>54</v>
      </c>
      <c r="D106" s="1" t="s">
        <v>12</v>
      </c>
      <c r="E106" s="1">
        <v>3</v>
      </c>
      <c r="F106" s="1">
        <v>114</v>
      </c>
      <c r="G106" s="1">
        <v>121</v>
      </c>
      <c r="H106" s="1">
        <v>96</v>
      </c>
      <c r="I106" s="2">
        <v>2.8945744680851067</v>
      </c>
      <c r="J106" s="3">
        <v>13.861184120178223</v>
      </c>
      <c r="K106" s="2">
        <v>3.2937173640808748</v>
      </c>
      <c r="L106" s="2">
        <v>0.40122229651694602</v>
      </c>
      <c r="M106" s="2">
        <v>9.5339101871570769E-2</v>
      </c>
      <c r="N106" s="1">
        <v>10</v>
      </c>
      <c r="O106" s="1">
        <v>2</v>
      </c>
    </row>
    <row r="107" spans="1:15" x14ac:dyDescent="0.25">
      <c r="A107" s="4" t="s">
        <v>55</v>
      </c>
      <c r="B107" s="1">
        <v>2</v>
      </c>
      <c r="C107" s="1" t="s">
        <v>56</v>
      </c>
      <c r="D107" s="1" t="s">
        <v>12</v>
      </c>
      <c r="E107" s="1">
        <v>1</v>
      </c>
      <c r="F107" s="1">
        <v>104</v>
      </c>
      <c r="G107" s="1">
        <v>132</v>
      </c>
      <c r="H107" s="1">
        <v>72</v>
      </c>
      <c r="I107" s="2">
        <v>2.0833498513379585</v>
      </c>
      <c r="J107" s="3">
        <v>19.151098251342773</v>
      </c>
      <c r="K107" s="2">
        <v>4.275048169557059</v>
      </c>
      <c r="L107" s="2">
        <v>0.39898437694893607</v>
      </c>
      <c r="M107" s="2">
        <v>8.9064209685093099E-2</v>
      </c>
      <c r="N107" s="1">
        <v>15</v>
      </c>
      <c r="O107" s="1">
        <v>28</v>
      </c>
    </row>
    <row r="108" spans="1:15" x14ac:dyDescent="0.25">
      <c r="A108" s="4" t="s">
        <v>55</v>
      </c>
      <c r="B108" s="1">
        <v>2</v>
      </c>
      <c r="C108" s="1" t="s">
        <v>56</v>
      </c>
      <c r="D108" s="1" t="s">
        <v>12</v>
      </c>
      <c r="E108" s="1">
        <v>2</v>
      </c>
      <c r="F108" s="1">
        <v>105</v>
      </c>
      <c r="G108" s="1">
        <v>119</v>
      </c>
      <c r="H108" s="1">
        <v>48</v>
      </c>
      <c r="I108" s="2">
        <v>2.5349351944167497</v>
      </c>
      <c r="J108" s="3">
        <v>16.160625457763672</v>
      </c>
      <c r="K108" s="2">
        <v>4.317371687813357</v>
      </c>
      <c r="L108" s="2">
        <v>0.40966138236672428</v>
      </c>
      <c r="M108" s="2">
        <v>0.10944257438816522</v>
      </c>
      <c r="N108" s="1">
        <v>20</v>
      </c>
      <c r="O108" s="1">
        <v>14</v>
      </c>
    </row>
    <row r="109" spans="1:15" x14ac:dyDescent="0.25">
      <c r="A109" s="4" t="s">
        <v>55</v>
      </c>
      <c r="B109" s="1">
        <v>2</v>
      </c>
      <c r="C109" s="1" t="s">
        <v>56</v>
      </c>
      <c r="D109" s="1" t="s">
        <v>12</v>
      </c>
      <c r="E109" s="1">
        <v>3</v>
      </c>
      <c r="F109" s="1">
        <v>102</v>
      </c>
      <c r="G109" s="1">
        <v>150</v>
      </c>
      <c r="H109" s="1">
        <v>72</v>
      </c>
      <c r="I109" s="2">
        <v>2.3285810810810812</v>
      </c>
      <c r="J109" s="3">
        <v>19.480068206787109</v>
      </c>
      <c r="K109" s="2">
        <v>4.7943496056706243</v>
      </c>
      <c r="L109" s="2">
        <v>0.45360918284493529</v>
      </c>
      <c r="M109" s="2">
        <v>0.11164031787853158</v>
      </c>
      <c r="N109" s="1">
        <v>19</v>
      </c>
      <c r="O109" s="1">
        <v>21</v>
      </c>
    </row>
    <row r="110" spans="1:15" ht="30" x14ac:dyDescent="0.25">
      <c r="A110" s="4" t="s">
        <v>49</v>
      </c>
      <c r="B110" s="1">
        <v>3</v>
      </c>
      <c r="C110" s="1" t="s">
        <v>57</v>
      </c>
      <c r="D110" s="1" t="s">
        <v>12</v>
      </c>
      <c r="E110" s="1">
        <v>1</v>
      </c>
      <c r="F110" s="1">
        <v>87</v>
      </c>
      <c r="G110" s="1">
        <v>119</v>
      </c>
      <c r="H110" s="1">
        <v>84</v>
      </c>
      <c r="I110" s="2">
        <v>1.9728446601941745</v>
      </c>
      <c r="J110" s="2" t="s">
        <v>13</v>
      </c>
      <c r="K110" s="2" t="s">
        <v>13</v>
      </c>
      <c r="L110" s="2" t="s">
        <v>13</v>
      </c>
      <c r="M110" s="2" t="s">
        <v>13</v>
      </c>
      <c r="N110" s="1">
        <v>19.5</v>
      </c>
      <c r="O110" s="1">
        <v>6</v>
      </c>
    </row>
    <row r="111" spans="1:15" ht="30" x14ac:dyDescent="0.25">
      <c r="A111" s="4" t="s">
        <v>49</v>
      </c>
      <c r="B111" s="1">
        <v>3</v>
      </c>
      <c r="C111" s="1" t="s">
        <v>57</v>
      </c>
      <c r="D111" s="1" t="s">
        <v>12</v>
      </c>
      <c r="E111" s="1">
        <v>2</v>
      </c>
      <c r="F111" s="1">
        <v>83</v>
      </c>
      <c r="G111" s="1">
        <v>119</v>
      </c>
      <c r="H111" s="1">
        <v>84</v>
      </c>
      <c r="I111" s="2">
        <v>1.8780851063829787</v>
      </c>
      <c r="J111" s="2" t="s">
        <v>13</v>
      </c>
      <c r="K111" s="2" t="s">
        <v>13</v>
      </c>
      <c r="L111" s="2" t="s">
        <v>13</v>
      </c>
      <c r="M111" s="2" t="s">
        <v>13</v>
      </c>
      <c r="N111" s="1">
        <v>14.5</v>
      </c>
      <c r="O111" s="1">
        <v>3.5</v>
      </c>
    </row>
    <row r="112" spans="1:15" ht="30" x14ac:dyDescent="0.25">
      <c r="A112" s="4" t="s">
        <v>49</v>
      </c>
      <c r="B112" s="1">
        <v>3</v>
      </c>
      <c r="C112" s="1" t="s">
        <v>57</v>
      </c>
      <c r="D112" s="1" t="s">
        <v>12</v>
      </c>
      <c r="E112" s="1">
        <v>3</v>
      </c>
      <c r="F112" s="1">
        <v>85</v>
      </c>
      <c r="G112" s="1">
        <v>103</v>
      </c>
      <c r="H112" s="1">
        <v>60</v>
      </c>
      <c r="I112" s="2">
        <v>2.0919335937500003</v>
      </c>
      <c r="J112" s="2" t="s">
        <v>13</v>
      </c>
      <c r="K112" s="2" t="s">
        <v>13</v>
      </c>
      <c r="L112" s="2" t="s">
        <v>13</v>
      </c>
      <c r="M112" s="2" t="s">
        <v>13</v>
      </c>
      <c r="N112" s="1">
        <v>12</v>
      </c>
      <c r="O112" s="1">
        <v>7</v>
      </c>
    </row>
    <row r="113" spans="1:15" x14ac:dyDescent="0.25">
      <c r="A113" s="4" t="s">
        <v>58</v>
      </c>
      <c r="B113" s="1">
        <v>2</v>
      </c>
      <c r="C113" s="1" t="s">
        <v>59</v>
      </c>
      <c r="D113" s="1" t="s">
        <v>12</v>
      </c>
      <c r="E113" s="1">
        <v>1</v>
      </c>
      <c r="F113" s="1">
        <v>129</v>
      </c>
      <c r="G113" s="1">
        <v>128</v>
      </c>
      <c r="H113" s="1">
        <v>72</v>
      </c>
      <c r="I113" s="2" t="s">
        <v>13</v>
      </c>
      <c r="J113" s="2" t="s">
        <v>13</v>
      </c>
      <c r="K113" s="2" t="s">
        <v>13</v>
      </c>
      <c r="L113" s="2" t="s">
        <v>13</v>
      </c>
      <c r="M113" s="2" t="s">
        <v>13</v>
      </c>
      <c r="N113" s="2" t="s">
        <v>13</v>
      </c>
      <c r="O113" s="2" t="s">
        <v>13</v>
      </c>
    </row>
    <row r="114" spans="1:15" x14ac:dyDescent="0.25">
      <c r="A114" s="4" t="s">
        <v>58</v>
      </c>
      <c r="B114" s="1">
        <v>2</v>
      </c>
      <c r="C114" s="1" t="s">
        <v>59</v>
      </c>
      <c r="D114" s="1" t="s">
        <v>12</v>
      </c>
      <c r="E114" s="1">
        <v>2</v>
      </c>
      <c r="F114" s="1">
        <v>138</v>
      </c>
      <c r="G114" s="1">
        <v>115</v>
      </c>
      <c r="H114" s="1">
        <v>60</v>
      </c>
      <c r="I114" s="2" t="s">
        <v>13</v>
      </c>
      <c r="J114" s="2" t="s">
        <v>13</v>
      </c>
      <c r="K114" s="2" t="s">
        <v>13</v>
      </c>
      <c r="L114" s="2" t="s">
        <v>13</v>
      </c>
      <c r="M114" s="2" t="s">
        <v>13</v>
      </c>
      <c r="N114" s="2" t="s">
        <v>13</v>
      </c>
      <c r="O114" s="2" t="s">
        <v>13</v>
      </c>
    </row>
    <row r="115" spans="1:15" x14ac:dyDescent="0.25">
      <c r="A115" s="4" t="s">
        <v>58</v>
      </c>
      <c r="B115" s="1">
        <v>2</v>
      </c>
      <c r="C115" s="1" t="s">
        <v>59</v>
      </c>
      <c r="D115" s="1" t="s">
        <v>12</v>
      </c>
      <c r="E115" s="1">
        <v>3</v>
      </c>
      <c r="F115" s="1">
        <v>120</v>
      </c>
      <c r="G115" s="1">
        <v>115</v>
      </c>
      <c r="H115" s="1">
        <v>36</v>
      </c>
      <c r="I115" s="2" t="s">
        <v>13</v>
      </c>
      <c r="J115" s="2" t="s">
        <v>13</v>
      </c>
      <c r="K115" s="2" t="s">
        <v>13</v>
      </c>
      <c r="L115" s="2" t="s">
        <v>13</v>
      </c>
      <c r="M115" s="2" t="s">
        <v>13</v>
      </c>
      <c r="N115" s="2" t="s">
        <v>13</v>
      </c>
      <c r="O115" s="2" t="s">
        <v>13</v>
      </c>
    </row>
    <row r="116" spans="1:15" x14ac:dyDescent="0.25">
      <c r="A116" s="4" t="s">
        <v>58</v>
      </c>
      <c r="B116" s="1">
        <v>2</v>
      </c>
      <c r="C116" s="1" t="s">
        <v>60</v>
      </c>
      <c r="D116" s="1" t="s">
        <v>12</v>
      </c>
      <c r="E116" s="1">
        <v>1</v>
      </c>
      <c r="F116" s="1">
        <v>140</v>
      </c>
      <c r="G116" s="1">
        <v>101</v>
      </c>
      <c r="H116" s="1">
        <v>36</v>
      </c>
      <c r="I116" s="2" t="s">
        <v>13</v>
      </c>
      <c r="J116" s="2" t="s">
        <v>13</v>
      </c>
      <c r="K116" s="2" t="s">
        <v>13</v>
      </c>
      <c r="L116" s="2" t="s">
        <v>13</v>
      </c>
      <c r="M116" s="2" t="s">
        <v>13</v>
      </c>
      <c r="N116" s="2" t="s">
        <v>13</v>
      </c>
      <c r="O116" s="2" t="s">
        <v>13</v>
      </c>
    </row>
    <row r="117" spans="1:15" x14ac:dyDescent="0.25">
      <c r="A117" s="4" t="s">
        <v>58</v>
      </c>
      <c r="B117" s="1">
        <v>2</v>
      </c>
      <c r="C117" s="1" t="s">
        <v>60</v>
      </c>
      <c r="D117" s="1" t="s">
        <v>12</v>
      </c>
      <c r="E117" s="1">
        <v>2</v>
      </c>
      <c r="F117" s="1">
        <v>140</v>
      </c>
      <c r="G117" s="5">
        <v>107</v>
      </c>
      <c r="H117" s="1">
        <v>12</v>
      </c>
      <c r="I117" s="2" t="s">
        <v>13</v>
      </c>
      <c r="J117" s="2" t="s">
        <v>13</v>
      </c>
      <c r="K117" s="2" t="s">
        <v>13</v>
      </c>
      <c r="L117" s="2" t="s">
        <v>13</v>
      </c>
      <c r="M117" s="2" t="s">
        <v>13</v>
      </c>
      <c r="N117" s="2" t="s">
        <v>13</v>
      </c>
      <c r="O117" s="2" t="s">
        <v>13</v>
      </c>
    </row>
    <row r="118" spans="1:15" x14ac:dyDescent="0.25">
      <c r="A118" s="4" t="s">
        <v>58</v>
      </c>
      <c r="B118" s="1">
        <v>2</v>
      </c>
      <c r="C118" s="1" t="s">
        <v>60</v>
      </c>
      <c r="D118" s="1" t="s">
        <v>12</v>
      </c>
      <c r="E118" s="1">
        <v>3</v>
      </c>
      <c r="F118" s="1">
        <v>139</v>
      </c>
      <c r="G118" s="1">
        <v>107</v>
      </c>
      <c r="H118" s="1">
        <v>48</v>
      </c>
      <c r="I118" s="2" t="s">
        <v>13</v>
      </c>
      <c r="J118" s="2" t="s">
        <v>13</v>
      </c>
      <c r="K118" s="2" t="s">
        <v>13</v>
      </c>
      <c r="L118" s="2" t="s">
        <v>13</v>
      </c>
      <c r="M118" s="2" t="s">
        <v>13</v>
      </c>
      <c r="N118" s="2" t="s">
        <v>13</v>
      </c>
      <c r="O118" s="2" t="s">
        <v>13</v>
      </c>
    </row>
    <row r="119" spans="1:15" x14ac:dyDescent="0.25">
      <c r="A119" s="4" t="s">
        <v>58</v>
      </c>
      <c r="B119" s="1">
        <v>2</v>
      </c>
      <c r="C119" s="1" t="s">
        <v>61</v>
      </c>
      <c r="D119" s="1" t="s">
        <v>12</v>
      </c>
      <c r="E119" s="1">
        <v>1</v>
      </c>
      <c r="F119" s="1">
        <v>135</v>
      </c>
      <c r="G119" s="1">
        <v>120</v>
      </c>
      <c r="H119" s="5">
        <v>54</v>
      </c>
      <c r="I119" s="2" t="s">
        <v>13</v>
      </c>
      <c r="J119" s="2" t="s">
        <v>13</v>
      </c>
      <c r="K119" s="2" t="s">
        <v>13</v>
      </c>
      <c r="L119" s="2" t="s">
        <v>13</v>
      </c>
      <c r="M119" s="2" t="s">
        <v>13</v>
      </c>
      <c r="N119" s="1">
        <v>20</v>
      </c>
      <c r="O119" s="1">
        <v>2</v>
      </c>
    </row>
    <row r="120" spans="1:15" x14ac:dyDescent="0.25">
      <c r="A120" s="4" t="s">
        <v>58</v>
      </c>
      <c r="B120" s="1">
        <v>2</v>
      </c>
      <c r="C120" s="1" t="s">
        <v>61</v>
      </c>
      <c r="D120" s="1" t="s">
        <v>12</v>
      </c>
      <c r="E120" s="1">
        <v>2</v>
      </c>
      <c r="F120" s="1">
        <v>141</v>
      </c>
      <c r="G120" s="1">
        <v>128</v>
      </c>
      <c r="H120" s="1">
        <v>48</v>
      </c>
      <c r="I120" s="2" t="s">
        <v>13</v>
      </c>
      <c r="J120" s="2" t="s">
        <v>13</v>
      </c>
      <c r="K120" s="2" t="s">
        <v>13</v>
      </c>
      <c r="L120" s="2" t="s">
        <v>13</v>
      </c>
      <c r="M120" s="2" t="s">
        <v>13</v>
      </c>
      <c r="N120" s="1">
        <v>15</v>
      </c>
      <c r="O120" s="1">
        <v>2</v>
      </c>
    </row>
    <row r="121" spans="1:15" x14ac:dyDescent="0.25">
      <c r="A121" s="4" t="s">
        <v>58</v>
      </c>
      <c r="B121" s="1">
        <v>2</v>
      </c>
      <c r="C121" s="1" t="s">
        <v>61</v>
      </c>
      <c r="D121" s="1" t="s">
        <v>12</v>
      </c>
      <c r="E121" s="1">
        <v>3</v>
      </c>
      <c r="F121" s="1">
        <v>139</v>
      </c>
      <c r="G121" s="1">
        <v>115</v>
      </c>
      <c r="H121" s="1">
        <v>60</v>
      </c>
      <c r="I121" s="2" t="s">
        <v>13</v>
      </c>
      <c r="J121" s="2" t="s">
        <v>13</v>
      </c>
      <c r="K121" s="2" t="s">
        <v>13</v>
      </c>
      <c r="L121" s="2" t="s">
        <v>13</v>
      </c>
      <c r="M121" s="2" t="s">
        <v>13</v>
      </c>
      <c r="N121" s="1">
        <v>14</v>
      </c>
      <c r="O121" s="1">
        <v>0.5</v>
      </c>
    </row>
    <row r="122" spans="1:15" x14ac:dyDescent="0.25">
      <c r="A122" s="4" t="s">
        <v>58</v>
      </c>
      <c r="B122" s="1">
        <v>2</v>
      </c>
      <c r="C122" s="1" t="s">
        <v>62</v>
      </c>
      <c r="D122" s="1" t="s">
        <v>12</v>
      </c>
      <c r="E122" s="1">
        <v>1</v>
      </c>
      <c r="F122" s="1">
        <v>149</v>
      </c>
      <c r="G122" s="1">
        <v>115</v>
      </c>
      <c r="H122" s="1">
        <v>36</v>
      </c>
      <c r="I122" s="2">
        <v>1.8991304347826086</v>
      </c>
      <c r="J122" s="3">
        <v>13.470634460449219</v>
      </c>
      <c r="K122" s="2" t="s">
        <v>13</v>
      </c>
      <c r="L122" s="2">
        <v>0.25582491879670516</v>
      </c>
      <c r="M122" s="2" t="s">
        <v>13</v>
      </c>
      <c r="N122" s="1">
        <v>19.5</v>
      </c>
      <c r="O122" s="1">
        <v>1.5</v>
      </c>
    </row>
    <row r="123" spans="1:15" x14ac:dyDescent="0.25">
      <c r="A123" s="4" t="s">
        <v>58</v>
      </c>
      <c r="B123" s="1">
        <v>2</v>
      </c>
      <c r="C123" s="1" t="s">
        <v>62</v>
      </c>
      <c r="D123" s="1" t="s">
        <v>12</v>
      </c>
      <c r="E123" s="1">
        <v>2</v>
      </c>
      <c r="F123" s="1">
        <v>140</v>
      </c>
      <c r="G123" s="1">
        <v>114</v>
      </c>
      <c r="H123" s="1">
        <v>48</v>
      </c>
      <c r="I123" s="2">
        <v>1.5588540646425073</v>
      </c>
      <c r="J123" s="3">
        <v>17.788707733154297</v>
      </c>
      <c r="K123" s="2" t="s">
        <v>13</v>
      </c>
      <c r="L123" s="2">
        <v>0.27729999354565177</v>
      </c>
      <c r="M123" s="2" t="s">
        <v>13</v>
      </c>
      <c r="N123" s="1">
        <v>19</v>
      </c>
      <c r="O123" s="1">
        <v>2</v>
      </c>
    </row>
    <row r="124" spans="1:15" x14ac:dyDescent="0.25">
      <c r="A124" s="4" t="s">
        <v>58</v>
      </c>
      <c r="B124" s="1">
        <v>2</v>
      </c>
      <c r="C124" s="1" t="s">
        <v>62</v>
      </c>
      <c r="D124" s="1" t="s">
        <v>12</v>
      </c>
      <c r="E124" s="1">
        <v>3</v>
      </c>
      <c r="F124" s="1">
        <v>139</v>
      </c>
      <c r="G124" s="1">
        <v>102</v>
      </c>
      <c r="H124" s="1">
        <v>12</v>
      </c>
      <c r="I124" s="2">
        <v>0.40594460929772497</v>
      </c>
      <c r="J124" s="3">
        <v>16.15199089050293</v>
      </c>
      <c r="K124" s="2" t="s">
        <v>13</v>
      </c>
      <c r="L124" s="2">
        <v>6.5568136314256245E-2</v>
      </c>
      <c r="M124" s="2" t="s">
        <v>13</v>
      </c>
      <c r="N124" s="1">
        <v>21</v>
      </c>
      <c r="O124" s="1">
        <v>4</v>
      </c>
    </row>
    <row r="125" spans="1:15" x14ac:dyDescent="0.25">
      <c r="A125" s="4" t="s">
        <v>52</v>
      </c>
      <c r="B125" s="1">
        <v>5</v>
      </c>
      <c r="C125" s="1" t="s">
        <v>63</v>
      </c>
      <c r="D125" s="1" t="s">
        <v>12</v>
      </c>
      <c r="E125" s="1">
        <v>1</v>
      </c>
      <c r="F125" s="1">
        <v>88</v>
      </c>
      <c r="G125" s="1">
        <v>117</v>
      </c>
      <c r="H125" s="1">
        <v>24</v>
      </c>
      <c r="I125" s="2">
        <v>1.9501247600767753</v>
      </c>
      <c r="J125" s="3">
        <v>11.238835334777832</v>
      </c>
      <c r="K125" s="2">
        <v>3.0724951415708515</v>
      </c>
      <c r="L125" s="2">
        <v>0.21917131060776004</v>
      </c>
      <c r="M125" s="2">
        <v>5.9917488507929141E-2</v>
      </c>
      <c r="N125" s="1">
        <v>12</v>
      </c>
      <c r="O125" s="1">
        <v>6</v>
      </c>
    </row>
    <row r="126" spans="1:15" x14ac:dyDescent="0.25">
      <c r="A126" s="4" t="s">
        <v>52</v>
      </c>
      <c r="B126" s="1">
        <v>5</v>
      </c>
      <c r="C126" s="1" t="s">
        <v>63</v>
      </c>
      <c r="D126" s="1" t="s">
        <v>12</v>
      </c>
      <c r="E126" s="1">
        <v>2</v>
      </c>
      <c r="F126" s="1">
        <v>91</v>
      </c>
      <c r="G126" s="1">
        <v>130</v>
      </c>
      <c r="H126" s="1">
        <v>48</v>
      </c>
      <c r="I126" s="2">
        <v>2.6310869565217394</v>
      </c>
      <c r="J126" s="3">
        <v>12.2196044921875</v>
      </c>
      <c r="K126" s="2">
        <v>3.259093243684958</v>
      </c>
      <c r="L126" s="2">
        <v>0.32150841993248985</v>
      </c>
      <c r="M126" s="2">
        <v>8.5749577235476201E-2</v>
      </c>
      <c r="N126" s="1">
        <v>12</v>
      </c>
      <c r="O126" s="1">
        <v>3</v>
      </c>
    </row>
    <row r="127" spans="1:15" x14ac:dyDescent="0.25">
      <c r="A127" s="4" t="s">
        <v>52</v>
      </c>
      <c r="B127" s="1">
        <v>5</v>
      </c>
      <c r="C127" s="1" t="s">
        <v>63</v>
      </c>
      <c r="D127" s="1" t="s">
        <v>12</v>
      </c>
      <c r="E127" s="1">
        <v>3</v>
      </c>
      <c r="F127" s="1">
        <v>90</v>
      </c>
      <c r="G127" s="1">
        <v>122</v>
      </c>
      <c r="H127" s="1">
        <v>48</v>
      </c>
      <c r="I127" s="2">
        <v>1.9806401551891368</v>
      </c>
      <c r="J127" s="3">
        <v>12.213047981262207</v>
      </c>
      <c r="K127" s="2">
        <v>3.1518284874063949</v>
      </c>
      <c r="L127" s="2">
        <v>0.24189653248939552</v>
      </c>
      <c r="M127" s="2">
        <v>6.2426380644261439E-2</v>
      </c>
      <c r="N127" s="1">
        <v>12.5</v>
      </c>
      <c r="O127" s="1">
        <v>6</v>
      </c>
    </row>
    <row r="128" spans="1:15" x14ac:dyDescent="0.25">
      <c r="A128" s="4" t="s">
        <v>64</v>
      </c>
      <c r="B128" s="1">
        <v>2</v>
      </c>
      <c r="C128" s="1" t="s">
        <v>65</v>
      </c>
      <c r="D128" s="1" t="s">
        <v>12</v>
      </c>
      <c r="E128" s="1">
        <v>1</v>
      </c>
      <c r="F128" s="1">
        <v>79</v>
      </c>
      <c r="G128" s="1">
        <v>133</v>
      </c>
      <c r="H128" s="1">
        <v>108</v>
      </c>
      <c r="I128" s="2">
        <v>2.4236811023622047</v>
      </c>
      <c r="J128" s="3">
        <v>13.11353874206543</v>
      </c>
      <c r="K128" s="2">
        <v>4.519842915335567</v>
      </c>
      <c r="L128" s="2">
        <v>0.31783036034238621</v>
      </c>
      <c r="M128" s="2">
        <v>0.10954657859544509</v>
      </c>
      <c r="N128" s="1">
        <v>18</v>
      </c>
      <c r="O128" s="1">
        <v>5.5</v>
      </c>
    </row>
    <row r="129" spans="1:15" x14ac:dyDescent="0.25">
      <c r="A129" s="4" t="s">
        <v>64</v>
      </c>
      <c r="B129" s="1">
        <v>2</v>
      </c>
      <c r="C129" s="1" t="s">
        <v>65</v>
      </c>
      <c r="D129" s="1" t="s">
        <v>12</v>
      </c>
      <c r="E129" s="1">
        <v>2</v>
      </c>
      <c r="F129" s="1">
        <v>79</v>
      </c>
      <c r="G129" s="1">
        <v>134</v>
      </c>
      <c r="H129" s="1">
        <v>84</v>
      </c>
      <c r="I129" s="2">
        <v>2.6100292968750001</v>
      </c>
      <c r="J129" s="3">
        <v>15.678219795227051</v>
      </c>
      <c r="K129" s="2">
        <v>4.5141144141893994</v>
      </c>
      <c r="L129" s="2">
        <v>0.40920612988388166</v>
      </c>
      <c r="M129" s="2">
        <v>0.1178197087048006</v>
      </c>
      <c r="N129" s="1">
        <v>20</v>
      </c>
      <c r="O129" s="1">
        <v>8.5</v>
      </c>
    </row>
    <row r="130" spans="1:15" x14ac:dyDescent="0.25">
      <c r="A130" s="4" t="s">
        <v>64</v>
      </c>
      <c r="B130" s="1">
        <v>2</v>
      </c>
      <c r="C130" s="1" t="s">
        <v>65</v>
      </c>
      <c r="D130" s="1" t="s">
        <v>12</v>
      </c>
      <c r="E130" s="1">
        <v>3</v>
      </c>
      <c r="F130" s="1">
        <v>79</v>
      </c>
      <c r="G130" s="1">
        <v>145</v>
      </c>
      <c r="H130" s="1">
        <v>72</v>
      </c>
      <c r="I130" s="2">
        <v>2.1042632612966603</v>
      </c>
      <c r="J130" s="3">
        <v>13.341524124145508</v>
      </c>
      <c r="K130" s="2">
        <v>3.3239992999480541</v>
      </c>
      <c r="L130" s="2">
        <v>0.28074079064142493</v>
      </c>
      <c r="M130" s="2">
        <v>6.9945696074565092E-2</v>
      </c>
      <c r="N130" s="1">
        <v>19.5</v>
      </c>
      <c r="O130" s="1">
        <v>11</v>
      </c>
    </row>
    <row r="131" spans="1:15" x14ac:dyDescent="0.25">
      <c r="A131" s="4" t="s">
        <v>66</v>
      </c>
      <c r="B131" s="1">
        <v>4</v>
      </c>
      <c r="C131" s="1" t="s">
        <v>67</v>
      </c>
      <c r="D131" s="1" t="s">
        <v>12</v>
      </c>
      <c r="E131" s="1">
        <v>1</v>
      </c>
      <c r="F131" s="1">
        <v>106</v>
      </c>
      <c r="G131" s="1">
        <v>103</v>
      </c>
      <c r="H131" s="1">
        <v>24</v>
      </c>
      <c r="I131" s="2">
        <v>3.8338299999999998</v>
      </c>
      <c r="J131" s="3">
        <v>13.386609077453613</v>
      </c>
      <c r="K131" s="2">
        <v>4.6286499020690242</v>
      </c>
      <c r="L131" s="2">
        <v>0.5132198347941398</v>
      </c>
      <c r="M131" s="2">
        <v>0.17745456854049288</v>
      </c>
      <c r="N131" s="1">
        <v>19.5</v>
      </c>
      <c r="O131" s="1">
        <v>3.5</v>
      </c>
    </row>
    <row r="132" spans="1:15" x14ac:dyDescent="0.25">
      <c r="A132" s="4" t="s">
        <v>66</v>
      </c>
      <c r="B132" s="1">
        <v>4</v>
      </c>
      <c r="C132" s="1" t="s">
        <v>67</v>
      </c>
      <c r="D132" s="1" t="s">
        <v>12</v>
      </c>
      <c r="E132" s="1">
        <v>2</v>
      </c>
      <c r="F132" s="1">
        <v>107</v>
      </c>
      <c r="G132" s="1">
        <v>98</v>
      </c>
      <c r="H132" s="1">
        <v>12</v>
      </c>
      <c r="I132" s="2">
        <v>3.1641948310139165</v>
      </c>
      <c r="J132" s="3">
        <v>12.921627044677734</v>
      </c>
      <c r="K132" s="2">
        <v>4.1707174800702944</v>
      </c>
      <c r="L132" s="2">
        <v>0.40886545503058913</v>
      </c>
      <c r="M132" s="2">
        <v>0.13196962692057812</v>
      </c>
      <c r="N132" s="1">
        <v>19</v>
      </c>
      <c r="O132" s="1">
        <v>5</v>
      </c>
    </row>
    <row r="133" spans="1:15" x14ac:dyDescent="0.25">
      <c r="A133" s="4" t="s">
        <v>66</v>
      </c>
      <c r="B133" s="1">
        <v>4</v>
      </c>
      <c r="C133" s="1" t="s">
        <v>67</v>
      </c>
      <c r="D133" s="1" t="s">
        <v>12</v>
      </c>
      <c r="E133" s="1">
        <v>3</v>
      </c>
      <c r="F133" s="1">
        <v>108</v>
      </c>
      <c r="G133" s="1">
        <v>105</v>
      </c>
      <c r="H133" s="1">
        <v>24</v>
      </c>
      <c r="I133" s="2">
        <v>3.8838799999999996</v>
      </c>
      <c r="J133" s="3">
        <v>13.409078598022461</v>
      </c>
      <c r="K133" s="2">
        <v>4.5021438780369927</v>
      </c>
      <c r="L133" s="2">
        <v>0.52079252185287472</v>
      </c>
      <c r="M133" s="2">
        <v>0.17485786565030312</v>
      </c>
      <c r="N133" s="1">
        <v>14.5</v>
      </c>
      <c r="O133" s="1">
        <v>5</v>
      </c>
    </row>
    <row r="134" spans="1:15" x14ac:dyDescent="0.25">
      <c r="A134" s="4" t="s">
        <v>64</v>
      </c>
      <c r="B134" s="1">
        <v>2</v>
      </c>
      <c r="C134" s="1" t="s">
        <v>68</v>
      </c>
      <c r="D134" s="1" t="s">
        <v>12</v>
      </c>
      <c r="E134" s="1">
        <v>1</v>
      </c>
      <c r="F134" s="1">
        <v>87</v>
      </c>
      <c r="G134" s="1">
        <v>122</v>
      </c>
      <c r="H134" s="1">
        <v>48</v>
      </c>
      <c r="I134" s="2">
        <v>2.2222200000000001</v>
      </c>
      <c r="J134" s="3">
        <v>14.223429679870605</v>
      </c>
      <c r="K134" s="2">
        <v>4.1357522378056375</v>
      </c>
      <c r="L134" s="2">
        <v>0.3160758990320206</v>
      </c>
      <c r="M134" s="2">
        <v>9.1905513378964437E-2</v>
      </c>
      <c r="N134" s="1">
        <v>13</v>
      </c>
      <c r="O134" s="1">
        <v>12</v>
      </c>
    </row>
    <row r="135" spans="1:15" x14ac:dyDescent="0.25">
      <c r="A135" s="4" t="s">
        <v>64</v>
      </c>
      <c r="B135" s="1">
        <v>2</v>
      </c>
      <c r="C135" s="1" t="s">
        <v>68</v>
      </c>
      <c r="D135" s="1" t="s">
        <v>12</v>
      </c>
      <c r="E135" s="1">
        <v>2</v>
      </c>
      <c r="F135" s="5">
        <v>87</v>
      </c>
      <c r="G135" s="1">
        <v>125</v>
      </c>
      <c r="H135" s="1">
        <v>48</v>
      </c>
      <c r="I135" s="2">
        <v>2.1747916666666662</v>
      </c>
      <c r="J135" s="3">
        <v>13.948552131652832</v>
      </c>
      <c r="K135" s="2">
        <v>3.9120392647482833</v>
      </c>
      <c r="L135" s="2">
        <v>0.30335194937984145</v>
      </c>
      <c r="M135" s="2">
        <v>8.5078703926473584E-2</v>
      </c>
      <c r="N135" s="1">
        <v>15</v>
      </c>
      <c r="O135" s="1">
        <v>8</v>
      </c>
    </row>
    <row r="136" spans="1:15" x14ac:dyDescent="0.25">
      <c r="A136" s="4" t="s">
        <v>64</v>
      </c>
      <c r="B136" s="1">
        <v>2</v>
      </c>
      <c r="C136" s="1" t="s">
        <v>68</v>
      </c>
      <c r="D136" s="1" t="s">
        <v>12</v>
      </c>
      <c r="E136" s="1">
        <v>3</v>
      </c>
      <c r="F136" s="1">
        <v>87</v>
      </c>
      <c r="G136" s="1">
        <v>124</v>
      </c>
      <c r="H136" s="1">
        <v>72</v>
      </c>
      <c r="I136" s="2">
        <v>2.1752310717797441</v>
      </c>
      <c r="J136" s="3">
        <v>14.165756225585938</v>
      </c>
      <c r="K136" s="2">
        <v>4.3649426701443286</v>
      </c>
      <c r="L136" s="2">
        <v>0.30813793097151881</v>
      </c>
      <c r="M136" s="2">
        <v>9.4947589226351853E-2</v>
      </c>
      <c r="N136" s="1">
        <v>16.5</v>
      </c>
      <c r="O136" s="1">
        <v>9.5</v>
      </c>
    </row>
    <row r="137" spans="1:15" x14ac:dyDescent="0.25">
      <c r="A137" s="4" t="s">
        <v>69</v>
      </c>
      <c r="B137" s="1">
        <v>4</v>
      </c>
      <c r="C137" s="1" t="s">
        <v>70</v>
      </c>
      <c r="D137" s="1" t="s">
        <v>12</v>
      </c>
      <c r="E137" s="1">
        <v>1</v>
      </c>
      <c r="F137" s="1">
        <v>129</v>
      </c>
      <c r="G137" s="1">
        <v>95</v>
      </c>
      <c r="H137" s="1">
        <v>84</v>
      </c>
      <c r="I137" s="2" t="s">
        <v>13</v>
      </c>
      <c r="J137" s="2" t="s">
        <v>13</v>
      </c>
      <c r="K137" s="2" t="s">
        <v>13</v>
      </c>
      <c r="L137" s="2" t="s">
        <v>13</v>
      </c>
      <c r="M137" s="2" t="s">
        <v>13</v>
      </c>
      <c r="N137" s="1">
        <v>9</v>
      </c>
      <c r="O137" s="1">
        <v>4</v>
      </c>
    </row>
    <row r="138" spans="1:15" x14ac:dyDescent="0.25">
      <c r="A138" s="4" t="s">
        <v>69</v>
      </c>
      <c r="B138" s="1">
        <v>4</v>
      </c>
      <c r="C138" s="1" t="s">
        <v>70</v>
      </c>
      <c r="D138" s="1" t="s">
        <v>12</v>
      </c>
      <c r="E138" s="1">
        <v>2</v>
      </c>
      <c r="F138" s="1">
        <v>130</v>
      </c>
      <c r="G138" s="1">
        <v>115</v>
      </c>
      <c r="H138" s="1">
        <v>72</v>
      </c>
      <c r="I138" s="2" t="s">
        <v>13</v>
      </c>
      <c r="J138" s="2" t="s">
        <v>13</v>
      </c>
      <c r="K138" s="2" t="s">
        <v>13</v>
      </c>
      <c r="L138" s="2" t="s">
        <v>13</v>
      </c>
      <c r="M138" s="2" t="s">
        <v>13</v>
      </c>
      <c r="N138" s="1">
        <v>16</v>
      </c>
      <c r="O138" s="1">
        <v>2.5</v>
      </c>
    </row>
    <row r="139" spans="1:15" x14ac:dyDescent="0.25">
      <c r="A139" s="4" t="s">
        <v>69</v>
      </c>
      <c r="B139" s="1">
        <v>4</v>
      </c>
      <c r="C139" s="1" t="s">
        <v>70</v>
      </c>
      <c r="D139" s="1" t="s">
        <v>12</v>
      </c>
      <c r="E139" s="1">
        <v>3</v>
      </c>
      <c r="F139" s="1">
        <v>130</v>
      </c>
      <c r="G139" s="1">
        <v>109</v>
      </c>
      <c r="H139" s="1">
        <v>48</v>
      </c>
      <c r="I139" s="2" t="s">
        <v>13</v>
      </c>
      <c r="J139" s="2" t="s">
        <v>13</v>
      </c>
      <c r="K139" s="2" t="s">
        <v>13</v>
      </c>
      <c r="L139" s="2" t="s">
        <v>13</v>
      </c>
      <c r="M139" s="2" t="s">
        <v>13</v>
      </c>
      <c r="N139" s="1">
        <v>9</v>
      </c>
      <c r="O139" s="1">
        <v>8</v>
      </c>
    </row>
    <row r="140" spans="1:15" x14ac:dyDescent="0.25">
      <c r="A140" s="4" t="s">
        <v>52</v>
      </c>
      <c r="B140" s="1">
        <v>5</v>
      </c>
      <c r="C140" s="1" t="s">
        <v>71</v>
      </c>
      <c r="D140" s="1" t="s">
        <v>12</v>
      </c>
      <c r="E140" s="1">
        <v>1</v>
      </c>
      <c r="F140" s="1">
        <v>97</v>
      </c>
      <c r="G140" s="1">
        <v>124</v>
      </c>
      <c r="H140" s="1">
        <v>48</v>
      </c>
      <c r="I140" s="2">
        <v>1.5558064516129033</v>
      </c>
      <c r="J140" s="3">
        <v>13.390935897827148</v>
      </c>
      <c r="K140" s="2">
        <v>3.0481087036359855</v>
      </c>
      <c r="L140" s="2">
        <v>0.20833704462974306</v>
      </c>
      <c r="M140" s="2">
        <v>4.7422671863343098E-2</v>
      </c>
      <c r="N140" s="1">
        <v>11</v>
      </c>
      <c r="O140" s="1">
        <v>9.5</v>
      </c>
    </row>
    <row r="141" spans="1:15" x14ac:dyDescent="0.25">
      <c r="A141" s="4" t="s">
        <v>52</v>
      </c>
      <c r="B141" s="1">
        <v>5</v>
      </c>
      <c r="C141" s="1" t="s">
        <v>71</v>
      </c>
      <c r="D141" s="1" t="s">
        <v>12</v>
      </c>
      <c r="E141" s="1">
        <v>2</v>
      </c>
      <c r="F141" s="1">
        <v>96</v>
      </c>
      <c r="G141" s="1">
        <v>137</v>
      </c>
      <c r="H141" s="5">
        <v>66</v>
      </c>
      <c r="I141" s="2">
        <v>1.6763618864292591</v>
      </c>
      <c r="J141" s="3">
        <v>14.037895202636719</v>
      </c>
      <c r="K141" s="2">
        <v>3.1668447495849126</v>
      </c>
      <c r="L141" s="2">
        <v>0.23532592483388337</v>
      </c>
      <c r="M141" s="2">
        <v>5.3087778384427589E-2</v>
      </c>
      <c r="N141" s="1">
        <v>12</v>
      </c>
      <c r="O141" s="1">
        <v>3.5</v>
      </c>
    </row>
    <row r="142" spans="1:15" x14ac:dyDescent="0.25">
      <c r="A142" s="4" t="s">
        <v>52</v>
      </c>
      <c r="B142" s="1">
        <v>5</v>
      </c>
      <c r="C142" s="1" t="s">
        <v>71</v>
      </c>
      <c r="D142" s="1" t="s">
        <v>12</v>
      </c>
      <c r="E142" s="1">
        <v>3</v>
      </c>
      <c r="F142" s="1">
        <v>96</v>
      </c>
      <c r="G142" s="1">
        <v>132</v>
      </c>
      <c r="H142" s="1">
        <v>48</v>
      </c>
      <c r="I142" s="2">
        <v>1.8632475247524751</v>
      </c>
      <c r="J142" s="3">
        <v>14.050165176391602</v>
      </c>
      <c r="K142" s="2">
        <v>2.3574372079100474</v>
      </c>
      <c r="L142" s="2">
        <v>0.26178935487275073</v>
      </c>
      <c r="M142" s="2">
        <v>4.3924890423977819E-2</v>
      </c>
      <c r="N142" s="1">
        <v>12</v>
      </c>
      <c r="O142" s="1">
        <v>9</v>
      </c>
    </row>
    <row r="143" spans="1:15" x14ac:dyDescent="0.25">
      <c r="A143" s="4" t="s">
        <v>69</v>
      </c>
      <c r="B143" s="1">
        <v>2</v>
      </c>
      <c r="C143" s="1" t="s">
        <v>72</v>
      </c>
      <c r="D143" s="1" t="s">
        <v>12</v>
      </c>
      <c r="E143" s="1">
        <v>1</v>
      </c>
      <c r="F143" s="1">
        <v>79</v>
      </c>
      <c r="G143" s="1">
        <v>110</v>
      </c>
      <c r="H143" s="1">
        <v>60</v>
      </c>
      <c r="I143" s="2">
        <v>2.055360315893386</v>
      </c>
      <c r="J143" s="3">
        <v>17.01324462890625</v>
      </c>
      <c r="K143" s="2" t="s">
        <v>13</v>
      </c>
      <c r="L143" s="2">
        <v>0.34968347854840198</v>
      </c>
      <c r="M143" s="2" t="s">
        <v>13</v>
      </c>
      <c r="N143" s="1">
        <v>16</v>
      </c>
      <c r="O143" s="1">
        <v>10</v>
      </c>
    </row>
    <row r="144" spans="1:15" x14ac:dyDescent="0.25">
      <c r="A144" s="4" t="s">
        <v>69</v>
      </c>
      <c r="B144" s="1">
        <v>2</v>
      </c>
      <c r="C144" s="1" t="s">
        <v>72</v>
      </c>
      <c r="D144" s="1" t="s">
        <v>12</v>
      </c>
      <c r="E144" s="1">
        <v>2</v>
      </c>
      <c r="F144" s="1">
        <v>79</v>
      </c>
      <c r="G144" s="1">
        <v>113</v>
      </c>
      <c r="H144" s="1">
        <v>72</v>
      </c>
      <c r="I144" s="2">
        <v>2.021724137931034</v>
      </c>
      <c r="J144" s="3">
        <v>17.749111175537109</v>
      </c>
      <c r="K144" s="2" t="s">
        <v>13</v>
      </c>
      <c r="L144" s="2">
        <v>0.35883806490404846</v>
      </c>
      <c r="M144" s="2" t="s">
        <v>13</v>
      </c>
      <c r="N144" s="1">
        <v>17.5</v>
      </c>
      <c r="O144" s="1">
        <v>8.5</v>
      </c>
    </row>
    <row r="145" spans="1:15" x14ac:dyDescent="0.25">
      <c r="A145" s="4" t="s">
        <v>69</v>
      </c>
      <c r="B145" s="1">
        <v>2</v>
      </c>
      <c r="C145" s="1" t="s">
        <v>72</v>
      </c>
      <c r="D145" s="1" t="s">
        <v>12</v>
      </c>
      <c r="E145" s="1">
        <v>3</v>
      </c>
      <c r="F145" s="1">
        <v>82</v>
      </c>
      <c r="G145" s="1">
        <v>114</v>
      </c>
      <c r="H145" s="1">
        <v>72</v>
      </c>
      <c r="I145" s="2">
        <v>2.0376086956521737</v>
      </c>
      <c r="J145" s="3">
        <v>16.7540283203125</v>
      </c>
      <c r="K145" s="2" t="s">
        <v>13</v>
      </c>
      <c r="L145" s="2">
        <v>0.34138153792671533</v>
      </c>
      <c r="M145" s="2" t="s">
        <v>13</v>
      </c>
      <c r="N145" s="1">
        <v>13.5</v>
      </c>
      <c r="O145" s="1">
        <v>14</v>
      </c>
    </row>
    <row r="146" spans="1:15" x14ac:dyDescent="0.25">
      <c r="A146" s="4" t="s">
        <v>52</v>
      </c>
      <c r="B146" s="1">
        <v>4</v>
      </c>
      <c r="C146" s="1" t="s">
        <v>73</v>
      </c>
      <c r="D146" s="1" t="s">
        <v>12</v>
      </c>
      <c r="E146" s="1">
        <v>1</v>
      </c>
      <c r="F146" s="1">
        <v>105</v>
      </c>
      <c r="G146" s="1">
        <v>127</v>
      </c>
      <c r="H146" s="1">
        <v>72</v>
      </c>
      <c r="I146" s="2">
        <v>2.3459384309831179</v>
      </c>
      <c r="J146" s="2" t="s">
        <v>13</v>
      </c>
      <c r="K146" s="2" t="s">
        <v>13</v>
      </c>
      <c r="L146" s="2" t="s">
        <v>13</v>
      </c>
      <c r="M146" s="2" t="s">
        <v>13</v>
      </c>
      <c r="N146" s="1">
        <v>14</v>
      </c>
      <c r="O146" s="1">
        <v>9</v>
      </c>
    </row>
    <row r="147" spans="1:15" x14ac:dyDescent="0.25">
      <c r="A147" s="4" t="s">
        <v>52</v>
      </c>
      <c r="B147" s="1">
        <v>4</v>
      </c>
      <c r="C147" s="1" t="s">
        <v>73</v>
      </c>
      <c r="D147" s="1" t="s">
        <v>12</v>
      </c>
      <c r="E147" s="1">
        <v>2</v>
      </c>
      <c r="F147" s="1">
        <v>105</v>
      </c>
      <c r="G147" s="1">
        <v>143</v>
      </c>
      <c r="H147" s="1">
        <v>36</v>
      </c>
      <c r="I147" s="2">
        <v>2.1868917576961273</v>
      </c>
      <c r="J147" s="2" t="s">
        <v>13</v>
      </c>
      <c r="K147" s="2" t="s">
        <v>13</v>
      </c>
      <c r="L147" s="2" t="s">
        <v>13</v>
      </c>
      <c r="M147" s="2" t="s">
        <v>13</v>
      </c>
      <c r="N147" s="1">
        <v>14</v>
      </c>
      <c r="O147" s="1">
        <v>9.5</v>
      </c>
    </row>
    <row r="148" spans="1:15" x14ac:dyDescent="0.25">
      <c r="A148" s="4" t="s">
        <v>52</v>
      </c>
      <c r="B148" s="1">
        <v>4</v>
      </c>
      <c r="C148" s="1" t="s">
        <v>73</v>
      </c>
      <c r="D148" s="1" t="s">
        <v>12</v>
      </c>
      <c r="E148" s="1">
        <v>3</v>
      </c>
      <c r="F148" s="1">
        <v>107</v>
      </c>
      <c r="G148" s="1">
        <v>132</v>
      </c>
      <c r="H148" s="1">
        <v>36</v>
      </c>
      <c r="I148" s="2">
        <v>2.3977215189873418</v>
      </c>
      <c r="J148" s="2" t="s">
        <v>13</v>
      </c>
      <c r="K148" s="2" t="s">
        <v>13</v>
      </c>
      <c r="L148" s="2" t="s">
        <v>13</v>
      </c>
      <c r="M148" s="2" t="s">
        <v>13</v>
      </c>
      <c r="N148" s="1">
        <v>15</v>
      </c>
      <c r="O148" s="1">
        <v>8.5</v>
      </c>
    </row>
    <row r="149" spans="1:15" x14ac:dyDescent="0.25">
      <c r="A149" s="4" t="s">
        <v>69</v>
      </c>
      <c r="B149" s="1">
        <v>3</v>
      </c>
      <c r="C149" s="1" t="s">
        <v>74</v>
      </c>
      <c r="D149" s="1" t="s">
        <v>12</v>
      </c>
      <c r="E149" s="1">
        <v>1</v>
      </c>
      <c r="F149" s="1">
        <v>99</v>
      </c>
      <c r="G149" s="1">
        <v>115</v>
      </c>
      <c r="H149" s="1">
        <v>84</v>
      </c>
      <c r="I149" s="2">
        <v>2.5373260437375746</v>
      </c>
      <c r="J149" s="2" t="s">
        <v>13</v>
      </c>
      <c r="K149" s="2" t="s">
        <v>13</v>
      </c>
      <c r="L149" s="2" t="s">
        <v>13</v>
      </c>
      <c r="M149" s="2" t="s">
        <v>13</v>
      </c>
      <c r="N149" s="1">
        <v>8</v>
      </c>
      <c r="O149" s="1">
        <v>5.5</v>
      </c>
    </row>
    <row r="150" spans="1:15" x14ac:dyDescent="0.25">
      <c r="A150" s="4" t="s">
        <v>69</v>
      </c>
      <c r="B150" s="1">
        <v>3</v>
      </c>
      <c r="C150" s="1" t="s">
        <v>74</v>
      </c>
      <c r="D150" s="1" t="s">
        <v>12</v>
      </c>
      <c r="E150" s="1">
        <v>2</v>
      </c>
      <c r="F150" s="1">
        <v>98</v>
      </c>
      <c r="G150" s="1">
        <v>99</v>
      </c>
      <c r="H150" s="1">
        <v>48</v>
      </c>
      <c r="I150" s="2">
        <v>2.6946161515453642</v>
      </c>
      <c r="J150" s="2" t="s">
        <v>13</v>
      </c>
      <c r="K150" s="2" t="s">
        <v>13</v>
      </c>
      <c r="L150" s="2" t="s">
        <v>13</v>
      </c>
      <c r="M150" s="2" t="s">
        <v>13</v>
      </c>
      <c r="N150" s="1">
        <v>9</v>
      </c>
      <c r="O150" s="1">
        <v>6.5</v>
      </c>
    </row>
    <row r="151" spans="1:15" x14ac:dyDescent="0.25">
      <c r="A151" s="4" t="s">
        <v>69</v>
      </c>
      <c r="B151" s="1">
        <v>3</v>
      </c>
      <c r="C151" s="1" t="s">
        <v>74</v>
      </c>
      <c r="D151" s="1" t="s">
        <v>12</v>
      </c>
      <c r="E151" s="1">
        <v>3</v>
      </c>
      <c r="F151" s="1">
        <v>98</v>
      </c>
      <c r="G151" s="1">
        <v>105</v>
      </c>
      <c r="H151" s="1">
        <v>84</v>
      </c>
      <c r="I151" s="2">
        <v>2.8103472222222226</v>
      </c>
      <c r="J151" s="2" t="s">
        <v>13</v>
      </c>
      <c r="K151" s="2" t="s">
        <v>13</v>
      </c>
      <c r="L151" s="2" t="s">
        <v>13</v>
      </c>
      <c r="M151" s="2" t="s">
        <v>13</v>
      </c>
      <c r="N151" s="1">
        <v>8</v>
      </c>
      <c r="O151" s="1">
        <v>7</v>
      </c>
    </row>
    <row r="152" spans="1:15" x14ac:dyDescent="0.25">
      <c r="A152" s="4" t="s">
        <v>75</v>
      </c>
      <c r="B152" s="1">
        <v>4</v>
      </c>
      <c r="C152" s="1" t="s">
        <v>76</v>
      </c>
      <c r="D152" s="1" t="s">
        <v>12</v>
      </c>
      <c r="E152" s="1">
        <v>1</v>
      </c>
      <c r="F152" s="1">
        <v>113</v>
      </c>
      <c r="G152" s="1">
        <v>125</v>
      </c>
      <c r="H152" s="1">
        <v>60</v>
      </c>
      <c r="I152" s="2">
        <v>2.4251545363908278</v>
      </c>
      <c r="J152" s="2" t="s">
        <v>13</v>
      </c>
      <c r="K152" s="2" t="s">
        <v>13</v>
      </c>
      <c r="L152" s="2" t="s">
        <v>13</v>
      </c>
      <c r="M152" s="2" t="s">
        <v>13</v>
      </c>
      <c r="N152" s="1">
        <v>10</v>
      </c>
      <c r="O152" s="1">
        <v>9</v>
      </c>
    </row>
    <row r="153" spans="1:15" x14ac:dyDescent="0.25">
      <c r="A153" s="4" t="s">
        <v>75</v>
      </c>
      <c r="B153" s="1">
        <v>4</v>
      </c>
      <c r="C153" s="1" t="s">
        <v>76</v>
      </c>
      <c r="D153" s="1" t="s">
        <v>12</v>
      </c>
      <c r="E153" s="1">
        <v>2</v>
      </c>
      <c r="F153" s="1">
        <v>114</v>
      </c>
      <c r="G153" s="1">
        <v>106</v>
      </c>
      <c r="H153" s="1">
        <v>60</v>
      </c>
      <c r="I153" s="2">
        <v>2.7870980392156861</v>
      </c>
      <c r="J153" s="2" t="s">
        <v>13</v>
      </c>
      <c r="K153" s="2" t="s">
        <v>13</v>
      </c>
      <c r="L153" s="2" t="s">
        <v>13</v>
      </c>
      <c r="M153" s="2" t="s">
        <v>13</v>
      </c>
      <c r="N153" s="1">
        <v>12</v>
      </c>
      <c r="O153" s="1">
        <v>2</v>
      </c>
    </row>
    <row r="154" spans="1:15" x14ac:dyDescent="0.25">
      <c r="A154" s="4" t="s">
        <v>75</v>
      </c>
      <c r="B154" s="1">
        <v>4</v>
      </c>
      <c r="C154" s="1" t="s">
        <v>76</v>
      </c>
      <c r="D154" s="1" t="s">
        <v>12</v>
      </c>
      <c r="E154" s="1">
        <v>3</v>
      </c>
      <c r="F154" s="1">
        <v>114</v>
      </c>
      <c r="G154" s="1">
        <v>119</v>
      </c>
      <c r="H154" s="1">
        <v>84</v>
      </c>
      <c r="I154" s="2">
        <v>2.4952182347235694</v>
      </c>
      <c r="J154" s="2" t="s">
        <v>13</v>
      </c>
      <c r="K154" s="2" t="s">
        <v>13</v>
      </c>
      <c r="L154" s="2" t="s">
        <v>13</v>
      </c>
      <c r="M154" s="2" t="s">
        <v>13</v>
      </c>
      <c r="N154" s="1">
        <v>10</v>
      </c>
      <c r="O154" s="1">
        <v>4.5</v>
      </c>
    </row>
    <row r="155" spans="1:15" x14ac:dyDescent="0.25">
      <c r="A155" s="4" t="s">
        <v>75</v>
      </c>
      <c r="B155" s="1">
        <v>4</v>
      </c>
      <c r="C155" s="1" t="s">
        <v>77</v>
      </c>
      <c r="D155" s="1" t="s">
        <v>12</v>
      </c>
      <c r="E155" s="1">
        <v>1</v>
      </c>
      <c r="F155" s="1">
        <v>117</v>
      </c>
      <c r="G155" s="1">
        <v>114</v>
      </c>
      <c r="H155" s="5">
        <v>60</v>
      </c>
      <c r="I155" s="2">
        <v>1.9763079960513326</v>
      </c>
      <c r="J155" s="3">
        <v>12.981477737426758</v>
      </c>
      <c r="K155" s="2">
        <v>3.6774564259723115</v>
      </c>
      <c r="L155" s="2">
        <v>0.25655398253038864</v>
      </c>
      <c r="M155" s="2">
        <v>7.2677865397794347E-2</v>
      </c>
      <c r="N155" s="1">
        <v>17</v>
      </c>
      <c r="O155" s="1">
        <v>2</v>
      </c>
    </row>
    <row r="156" spans="1:15" x14ac:dyDescent="0.25">
      <c r="A156" s="4" t="s">
        <v>75</v>
      </c>
      <c r="B156" s="1">
        <v>4</v>
      </c>
      <c r="C156" s="1" t="s">
        <v>77</v>
      </c>
      <c r="D156" s="1" t="s">
        <v>12</v>
      </c>
      <c r="E156" s="1">
        <v>2</v>
      </c>
      <c r="F156" s="1">
        <v>116</v>
      </c>
      <c r="G156" s="1">
        <v>115</v>
      </c>
      <c r="H156" s="1">
        <v>48</v>
      </c>
      <c r="I156" s="2">
        <v>1.8547659980897802</v>
      </c>
      <c r="J156" s="3">
        <v>15.167201995849609</v>
      </c>
      <c r="K156" s="2">
        <v>3.3937142719308513</v>
      </c>
      <c r="L156" s="2">
        <v>0.28131610548061309</v>
      </c>
      <c r="M156" s="2">
        <v>6.2945458388093567E-2</v>
      </c>
      <c r="N156" s="1">
        <v>12</v>
      </c>
      <c r="O156" s="1">
        <v>4</v>
      </c>
    </row>
    <row r="157" spans="1:15" x14ac:dyDescent="0.25">
      <c r="A157" s="4" t="s">
        <v>75</v>
      </c>
      <c r="B157" s="1">
        <v>4</v>
      </c>
      <c r="C157" s="1" t="s">
        <v>77</v>
      </c>
      <c r="D157" s="1" t="s">
        <v>12</v>
      </c>
      <c r="E157" s="1">
        <v>3</v>
      </c>
      <c r="F157" s="1">
        <v>116</v>
      </c>
      <c r="G157" s="1">
        <v>100</v>
      </c>
      <c r="H157" s="1">
        <v>48</v>
      </c>
      <c r="I157" s="2">
        <v>1.9463888888888887</v>
      </c>
      <c r="J157" s="3">
        <v>13.501585006713867</v>
      </c>
      <c r="K157" s="2">
        <v>3.5761178352311829</v>
      </c>
      <c r="L157" s="2">
        <v>0.26279335039456686</v>
      </c>
      <c r="M157" s="2">
        <v>6.9605160198513608E-2</v>
      </c>
      <c r="N157" s="1">
        <v>12</v>
      </c>
      <c r="O157" s="1">
        <v>4</v>
      </c>
    </row>
    <row r="158" spans="1:15" x14ac:dyDescent="0.25">
      <c r="A158" s="4" t="s">
        <v>75</v>
      </c>
      <c r="B158" s="1">
        <v>4</v>
      </c>
      <c r="C158" s="1" t="s">
        <v>78</v>
      </c>
      <c r="D158" s="1" t="s">
        <v>12</v>
      </c>
      <c r="E158" s="1">
        <v>1</v>
      </c>
      <c r="F158" s="1">
        <v>140</v>
      </c>
      <c r="G158" s="1">
        <v>102</v>
      </c>
      <c r="H158" s="1">
        <v>48</v>
      </c>
      <c r="I158" s="2" t="s">
        <v>13</v>
      </c>
      <c r="J158" s="2" t="s">
        <v>13</v>
      </c>
      <c r="K158" s="2" t="s">
        <v>13</v>
      </c>
      <c r="L158" s="2" t="s">
        <v>13</v>
      </c>
      <c r="M158" s="2" t="s">
        <v>13</v>
      </c>
      <c r="N158" s="1">
        <v>12</v>
      </c>
      <c r="O158" s="1">
        <v>1</v>
      </c>
    </row>
    <row r="159" spans="1:15" x14ac:dyDescent="0.25">
      <c r="A159" s="4" t="s">
        <v>75</v>
      </c>
      <c r="B159" s="1">
        <v>4</v>
      </c>
      <c r="C159" s="1" t="s">
        <v>78</v>
      </c>
      <c r="D159" s="1" t="s">
        <v>12</v>
      </c>
      <c r="E159" s="1">
        <v>2</v>
      </c>
      <c r="F159" s="1">
        <v>140</v>
      </c>
      <c r="G159" s="1">
        <v>102</v>
      </c>
      <c r="H159" s="1">
        <v>72</v>
      </c>
      <c r="I159" s="2" t="s">
        <v>13</v>
      </c>
      <c r="J159" s="2" t="s">
        <v>13</v>
      </c>
      <c r="K159" s="2" t="s">
        <v>13</v>
      </c>
      <c r="L159" s="2" t="s">
        <v>13</v>
      </c>
      <c r="M159" s="2" t="s">
        <v>13</v>
      </c>
      <c r="N159" s="1">
        <v>12</v>
      </c>
      <c r="O159" s="1">
        <v>1.5</v>
      </c>
    </row>
    <row r="160" spans="1:15" x14ac:dyDescent="0.25">
      <c r="A160" s="4" t="s">
        <v>75</v>
      </c>
      <c r="B160" s="1">
        <v>4</v>
      </c>
      <c r="C160" s="1" t="s">
        <v>78</v>
      </c>
      <c r="D160" s="1" t="s">
        <v>12</v>
      </c>
      <c r="E160" s="1">
        <v>3</v>
      </c>
      <c r="F160" s="1">
        <v>140</v>
      </c>
      <c r="G160" s="1">
        <v>117</v>
      </c>
      <c r="H160" s="1">
        <v>72</v>
      </c>
      <c r="I160" s="2" t="s">
        <v>13</v>
      </c>
      <c r="J160" s="2" t="s">
        <v>13</v>
      </c>
      <c r="K160" s="2" t="s">
        <v>13</v>
      </c>
      <c r="L160" s="2" t="s">
        <v>13</v>
      </c>
      <c r="M160" s="2" t="s">
        <v>13</v>
      </c>
      <c r="N160" s="1">
        <v>10.5</v>
      </c>
      <c r="O160" s="1">
        <v>1.2</v>
      </c>
    </row>
    <row r="161" spans="1:15" x14ac:dyDescent="0.25">
      <c r="A161" s="4" t="s">
        <v>75</v>
      </c>
      <c r="B161" s="1">
        <v>4</v>
      </c>
      <c r="C161" s="1" t="s">
        <v>79</v>
      </c>
      <c r="D161" s="1" t="s">
        <v>12</v>
      </c>
      <c r="E161" s="1">
        <v>1</v>
      </c>
      <c r="F161" s="1">
        <v>140</v>
      </c>
      <c r="G161" s="1">
        <v>130</v>
      </c>
      <c r="H161" s="5">
        <v>54</v>
      </c>
      <c r="I161" s="2">
        <v>2.8741584158415843</v>
      </c>
      <c r="J161" s="3">
        <v>15.3531494140625</v>
      </c>
      <c r="K161" s="2" t="s">
        <v>13</v>
      </c>
      <c r="L161" s="2">
        <v>0.44127383598101022</v>
      </c>
      <c r="M161" s="2" t="s">
        <v>13</v>
      </c>
      <c r="N161" s="1">
        <v>15</v>
      </c>
      <c r="O161" s="1">
        <v>0.7</v>
      </c>
    </row>
    <row r="162" spans="1:15" x14ac:dyDescent="0.25">
      <c r="A162" s="4" t="s">
        <v>75</v>
      </c>
      <c r="B162" s="1">
        <v>4</v>
      </c>
      <c r="C162" s="1" t="s">
        <v>79</v>
      </c>
      <c r="D162" s="1" t="s">
        <v>12</v>
      </c>
      <c r="E162" s="1">
        <v>2</v>
      </c>
      <c r="F162" s="1">
        <v>110</v>
      </c>
      <c r="G162" s="1">
        <v>134</v>
      </c>
      <c r="H162" s="1">
        <v>60</v>
      </c>
      <c r="I162" s="2">
        <v>2.1790476190476196</v>
      </c>
      <c r="J162" s="3">
        <v>15.229728698730469</v>
      </c>
      <c r="K162" s="2" t="s">
        <v>13</v>
      </c>
      <c r="L162" s="2">
        <v>0.33186304059709831</v>
      </c>
      <c r="M162" s="2" t="s">
        <v>13</v>
      </c>
      <c r="N162" s="1">
        <v>13</v>
      </c>
      <c r="O162" s="1">
        <v>2</v>
      </c>
    </row>
    <row r="163" spans="1:15" x14ac:dyDescent="0.25">
      <c r="A163" s="4" t="s">
        <v>75</v>
      </c>
      <c r="B163" s="1">
        <v>4</v>
      </c>
      <c r="C163" s="1" t="s">
        <v>79</v>
      </c>
      <c r="D163" s="1" t="s">
        <v>12</v>
      </c>
      <c r="E163" s="1">
        <v>3</v>
      </c>
      <c r="F163" s="1">
        <v>140</v>
      </c>
      <c r="G163" s="1">
        <v>140</v>
      </c>
      <c r="H163" s="1">
        <v>48</v>
      </c>
      <c r="I163" s="2">
        <v>2.4027988047808764</v>
      </c>
      <c r="J163" s="3">
        <v>15.273262977600098</v>
      </c>
      <c r="K163" s="2" t="s">
        <v>13</v>
      </c>
      <c r="L163" s="2">
        <v>0.36698578027681522</v>
      </c>
      <c r="M163" s="2" t="s">
        <v>13</v>
      </c>
      <c r="N163" s="1">
        <v>12</v>
      </c>
      <c r="O163" s="1">
        <v>5</v>
      </c>
    </row>
    <row r="164" spans="1:15" x14ac:dyDescent="0.25">
      <c r="A164" s="4" t="s">
        <v>64</v>
      </c>
      <c r="B164" s="1">
        <v>3</v>
      </c>
      <c r="C164" s="1" t="s">
        <v>80</v>
      </c>
      <c r="D164" s="1" t="s">
        <v>12</v>
      </c>
      <c r="E164" s="1">
        <v>1</v>
      </c>
      <c r="F164" s="1">
        <v>91</v>
      </c>
      <c r="G164" s="1">
        <v>121</v>
      </c>
      <c r="H164" s="1">
        <v>36</v>
      </c>
      <c r="I164" s="2">
        <v>0.80351063829787228</v>
      </c>
      <c r="J164" s="3">
        <v>16.51495361328125</v>
      </c>
      <c r="K164" s="2">
        <v>1.8451042716492554</v>
      </c>
      <c r="L164" s="2">
        <v>0.1326994091926737</v>
      </c>
      <c r="M164" s="2">
        <v>1.4825609110390239E-2</v>
      </c>
      <c r="N164" s="1">
        <v>11.5</v>
      </c>
      <c r="O164" s="1">
        <v>10</v>
      </c>
    </row>
    <row r="165" spans="1:15" x14ac:dyDescent="0.25">
      <c r="A165" s="4" t="s">
        <v>64</v>
      </c>
      <c r="B165" s="1">
        <v>3</v>
      </c>
      <c r="C165" s="1" t="s">
        <v>80</v>
      </c>
      <c r="D165" s="1" t="s">
        <v>12</v>
      </c>
      <c r="E165" s="1">
        <v>2</v>
      </c>
      <c r="F165" s="1">
        <v>94</v>
      </c>
      <c r="G165" s="1">
        <v>126</v>
      </c>
      <c r="H165" s="1">
        <v>36</v>
      </c>
      <c r="I165" s="2">
        <v>2.4162068965517243</v>
      </c>
      <c r="J165" s="3">
        <v>17.581155776977539</v>
      </c>
      <c r="K165" s="2">
        <v>2.9038243728460542</v>
      </c>
      <c r="L165" s="2">
        <v>0.42479709837683316</v>
      </c>
      <c r="M165" s="2">
        <v>7.0162404760456223E-2</v>
      </c>
      <c r="N165" s="1">
        <v>13</v>
      </c>
      <c r="O165" s="1">
        <v>8</v>
      </c>
    </row>
    <row r="166" spans="1:15" x14ac:dyDescent="0.25">
      <c r="A166" s="4" t="s">
        <v>64</v>
      </c>
      <c r="B166" s="1">
        <v>3</v>
      </c>
      <c r="C166" s="1" t="s">
        <v>80</v>
      </c>
      <c r="D166" s="1" t="s">
        <v>12</v>
      </c>
      <c r="E166" s="1">
        <v>3</v>
      </c>
      <c r="F166" s="1">
        <v>98</v>
      </c>
      <c r="G166" s="1">
        <v>112</v>
      </c>
      <c r="H166" s="1">
        <v>36</v>
      </c>
      <c r="I166" s="2">
        <v>2.234375</v>
      </c>
      <c r="J166" s="3">
        <v>17.227746963500977</v>
      </c>
      <c r="K166" s="2">
        <v>3.1498994712936241</v>
      </c>
      <c r="L166" s="2">
        <v>0.38493247121572494</v>
      </c>
      <c r="M166" s="2">
        <v>7.0380566311716908E-2</v>
      </c>
      <c r="N166" s="1">
        <v>16.5</v>
      </c>
      <c r="O166" s="1">
        <v>11</v>
      </c>
    </row>
    <row r="167" spans="1:15" x14ac:dyDescent="0.25">
      <c r="A167" s="4" t="s">
        <v>81</v>
      </c>
      <c r="B167" s="1">
        <v>4</v>
      </c>
      <c r="C167" s="1" t="s">
        <v>82</v>
      </c>
      <c r="D167" s="1" t="s">
        <v>12</v>
      </c>
      <c r="E167" s="1">
        <v>1</v>
      </c>
      <c r="F167" s="1">
        <v>118</v>
      </c>
      <c r="G167" s="1">
        <v>145</v>
      </c>
      <c r="H167" s="1">
        <v>72</v>
      </c>
      <c r="I167" s="2">
        <v>2.6673353293413173</v>
      </c>
      <c r="J167" s="3">
        <v>18.467063903808594</v>
      </c>
      <c r="K167" s="2">
        <v>3.7659786186311663</v>
      </c>
      <c r="L167" s="2">
        <v>0.49257851979832451</v>
      </c>
      <c r="M167" s="2">
        <v>0.1004512781901892</v>
      </c>
      <c r="N167" s="1">
        <v>14</v>
      </c>
      <c r="O167" s="1">
        <v>0.5</v>
      </c>
    </row>
    <row r="168" spans="1:15" x14ac:dyDescent="0.25">
      <c r="A168" s="4" t="s">
        <v>81</v>
      </c>
      <c r="B168" s="1">
        <v>4</v>
      </c>
      <c r="C168" s="1" t="s">
        <v>82</v>
      </c>
      <c r="D168" s="1" t="s">
        <v>12</v>
      </c>
      <c r="E168" s="1">
        <v>2</v>
      </c>
      <c r="F168" s="1">
        <v>117</v>
      </c>
      <c r="G168" s="1">
        <v>140</v>
      </c>
      <c r="H168" s="1">
        <v>84</v>
      </c>
      <c r="I168" s="2">
        <v>2.4638513513513511</v>
      </c>
      <c r="J168" s="3">
        <v>20.435573577880859</v>
      </c>
      <c r="K168" s="2">
        <v>3.6320987654319672</v>
      </c>
      <c r="L168" s="2">
        <v>0.50350215575501722</v>
      </c>
      <c r="M168" s="2">
        <v>8.9489514514511273E-2</v>
      </c>
      <c r="N168" s="1">
        <v>10.5</v>
      </c>
      <c r="O168" s="1">
        <v>0.3</v>
      </c>
    </row>
    <row r="169" spans="1:15" x14ac:dyDescent="0.25">
      <c r="A169" s="4" t="s">
        <v>81</v>
      </c>
      <c r="B169" s="1">
        <v>4</v>
      </c>
      <c r="C169" s="1" t="s">
        <v>82</v>
      </c>
      <c r="D169" s="1" t="s">
        <v>12</v>
      </c>
      <c r="E169" s="1">
        <v>3</v>
      </c>
      <c r="F169" s="1">
        <v>116</v>
      </c>
      <c r="G169" s="1">
        <v>135</v>
      </c>
      <c r="H169" s="1">
        <v>36</v>
      </c>
      <c r="I169" s="2">
        <v>0.80694817658349327</v>
      </c>
      <c r="J169" s="3">
        <v>17.530982971191406</v>
      </c>
      <c r="K169" s="2">
        <v>2.6801014462954824</v>
      </c>
      <c r="L169" s="2">
        <v>0.14146594742319177</v>
      </c>
      <c r="M169" s="2">
        <v>2.1627029751469226E-2</v>
      </c>
      <c r="N169" s="1">
        <v>11</v>
      </c>
      <c r="O169" s="1">
        <v>0.5</v>
      </c>
    </row>
    <row r="170" spans="1:15" x14ac:dyDescent="0.25">
      <c r="A170" s="4" t="s">
        <v>58</v>
      </c>
      <c r="B170" s="1">
        <v>2</v>
      </c>
      <c r="C170" s="1" t="s">
        <v>83</v>
      </c>
      <c r="D170" s="1" t="s">
        <v>12</v>
      </c>
      <c r="E170" s="1">
        <v>1</v>
      </c>
      <c r="F170" s="1">
        <v>139</v>
      </c>
      <c r="G170" s="1">
        <v>105</v>
      </c>
      <c r="H170" s="1">
        <v>48</v>
      </c>
      <c r="I170" s="2">
        <v>1.7285309278350518</v>
      </c>
      <c r="J170" s="2" t="s">
        <v>13</v>
      </c>
      <c r="K170" s="2" t="s">
        <v>13</v>
      </c>
      <c r="L170" s="2" t="s">
        <v>13</v>
      </c>
      <c r="M170" s="2" t="s">
        <v>13</v>
      </c>
      <c r="N170" s="1">
        <v>15</v>
      </c>
      <c r="O170" s="1">
        <v>2</v>
      </c>
    </row>
    <row r="171" spans="1:15" x14ac:dyDescent="0.25">
      <c r="A171" s="4" t="s">
        <v>58</v>
      </c>
      <c r="B171" s="1">
        <v>2</v>
      </c>
      <c r="C171" s="1" t="s">
        <v>83</v>
      </c>
      <c r="D171" s="1" t="s">
        <v>12</v>
      </c>
      <c r="E171" s="1">
        <v>2</v>
      </c>
      <c r="F171" s="1">
        <v>140</v>
      </c>
      <c r="G171" s="1">
        <v>117</v>
      </c>
      <c r="H171" s="1">
        <v>72</v>
      </c>
      <c r="I171" s="2">
        <v>1.8426368159203981</v>
      </c>
      <c r="J171" s="2" t="s">
        <v>13</v>
      </c>
      <c r="K171" s="2" t="s">
        <v>13</v>
      </c>
      <c r="L171" s="2" t="s">
        <v>13</v>
      </c>
      <c r="M171" s="2" t="s">
        <v>13</v>
      </c>
      <c r="N171" s="1">
        <v>19.5</v>
      </c>
      <c r="O171" s="1">
        <v>2.5</v>
      </c>
    </row>
    <row r="172" spans="1:15" x14ac:dyDescent="0.25">
      <c r="A172" s="4" t="s">
        <v>58</v>
      </c>
      <c r="B172" s="1">
        <v>2</v>
      </c>
      <c r="C172" s="1" t="s">
        <v>83</v>
      </c>
      <c r="D172" s="1" t="s">
        <v>12</v>
      </c>
      <c r="E172" s="1">
        <v>3</v>
      </c>
      <c r="F172" s="1">
        <v>140</v>
      </c>
      <c r="G172" s="1">
        <v>125</v>
      </c>
      <c r="H172" s="1">
        <v>24</v>
      </c>
      <c r="I172" s="2">
        <v>1.7212962962962963</v>
      </c>
      <c r="J172" s="2" t="s">
        <v>13</v>
      </c>
      <c r="K172" s="2" t="s">
        <v>13</v>
      </c>
      <c r="L172" s="2" t="s">
        <v>13</v>
      </c>
      <c r="M172" s="2" t="s">
        <v>13</v>
      </c>
      <c r="N172" s="1">
        <v>16</v>
      </c>
      <c r="O172" s="1">
        <v>6</v>
      </c>
    </row>
    <row r="173" spans="1:15" x14ac:dyDescent="0.25">
      <c r="A173" s="4" t="s">
        <v>58</v>
      </c>
      <c r="B173" s="1">
        <v>2</v>
      </c>
      <c r="C173" s="1" t="s">
        <v>84</v>
      </c>
      <c r="D173" s="1" t="s">
        <v>12</v>
      </c>
      <c r="E173" s="1">
        <v>1</v>
      </c>
      <c r="F173" s="1">
        <v>138</v>
      </c>
      <c r="G173" s="1">
        <v>108</v>
      </c>
      <c r="H173" s="1">
        <v>96</v>
      </c>
      <c r="I173" s="2" t="s">
        <v>13</v>
      </c>
      <c r="J173" s="2" t="s">
        <v>13</v>
      </c>
      <c r="K173" s="2" t="s">
        <v>13</v>
      </c>
      <c r="L173" s="2" t="s">
        <v>13</v>
      </c>
      <c r="M173" s="2" t="s">
        <v>13</v>
      </c>
      <c r="N173" s="1">
        <v>21</v>
      </c>
      <c r="O173" s="1">
        <v>3</v>
      </c>
    </row>
    <row r="174" spans="1:15" x14ac:dyDescent="0.25">
      <c r="A174" s="4" t="s">
        <v>58</v>
      </c>
      <c r="B174" s="1">
        <v>2</v>
      </c>
      <c r="C174" s="1" t="s">
        <v>84</v>
      </c>
      <c r="D174" s="1" t="s">
        <v>12</v>
      </c>
      <c r="E174" s="1">
        <v>2</v>
      </c>
      <c r="F174" s="1">
        <v>138</v>
      </c>
      <c r="G174" s="1">
        <v>112</v>
      </c>
      <c r="H174" s="5">
        <v>60</v>
      </c>
      <c r="I174" s="2" t="s">
        <v>13</v>
      </c>
      <c r="J174" s="2" t="s">
        <v>13</v>
      </c>
      <c r="K174" s="2" t="s">
        <v>13</v>
      </c>
      <c r="L174" s="2" t="s">
        <v>13</v>
      </c>
      <c r="M174" s="2" t="s">
        <v>13</v>
      </c>
      <c r="N174" s="1">
        <v>19</v>
      </c>
      <c r="O174" s="1">
        <v>3.5</v>
      </c>
    </row>
    <row r="175" spans="1:15" x14ac:dyDescent="0.25">
      <c r="A175" s="4" t="s">
        <v>58</v>
      </c>
      <c r="B175" s="1">
        <v>2</v>
      </c>
      <c r="C175" s="1" t="s">
        <v>84</v>
      </c>
      <c r="D175" s="1" t="s">
        <v>12</v>
      </c>
      <c r="E175" s="1">
        <v>3</v>
      </c>
      <c r="F175" s="1">
        <v>139</v>
      </c>
      <c r="G175" s="1">
        <v>109</v>
      </c>
      <c r="H175" s="1">
        <v>60</v>
      </c>
      <c r="I175" s="2" t="s">
        <v>13</v>
      </c>
      <c r="J175" s="2" t="s">
        <v>13</v>
      </c>
      <c r="K175" s="2" t="s">
        <v>13</v>
      </c>
      <c r="L175" s="2" t="s">
        <v>13</v>
      </c>
      <c r="M175" s="2" t="s">
        <v>13</v>
      </c>
      <c r="N175" s="1">
        <v>17</v>
      </c>
      <c r="O175" s="1">
        <v>0.5</v>
      </c>
    </row>
    <row r="176" spans="1:15" x14ac:dyDescent="0.25">
      <c r="A176" s="4" t="s">
        <v>58</v>
      </c>
      <c r="B176" s="1">
        <v>2</v>
      </c>
      <c r="C176" s="1" t="s">
        <v>85</v>
      </c>
      <c r="D176" s="1" t="s">
        <v>12</v>
      </c>
      <c r="E176" s="1">
        <v>1</v>
      </c>
      <c r="F176" s="1">
        <v>128</v>
      </c>
      <c r="G176" s="1">
        <v>117</v>
      </c>
      <c r="H176" s="5">
        <v>84</v>
      </c>
      <c r="I176" s="2">
        <v>1.7864307078763708</v>
      </c>
      <c r="J176" s="2" t="s">
        <v>13</v>
      </c>
      <c r="K176" s="2" t="s">
        <v>13</v>
      </c>
      <c r="L176" s="2" t="s">
        <v>13</v>
      </c>
      <c r="M176" s="2" t="s">
        <v>13</v>
      </c>
      <c r="N176" s="1">
        <v>20</v>
      </c>
      <c r="O176" s="1">
        <v>12</v>
      </c>
    </row>
    <row r="177" spans="1:15" x14ac:dyDescent="0.25">
      <c r="A177" s="4" t="s">
        <v>58</v>
      </c>
      <c r="B177" s="1">
        <v>2</v>
      </c>
      <c r="C177" s="1" t="s">
        <v>85</v>
      </c>
      <c r="D177" s="1" t="s">
        <v>12</v>
      </c>
      <c r="E177" s="1">
        <v>2</v>
      </c>
      <c r="F177" s="1">
        <v>128</v>
      </c>
      <c r="G177" s="1">
        <v>116</v>
      </c>
      <c r="H177" s="5">
        <v>60</v>
      </c>
      <c r="I177" s="2">
        <v>1.4042084168336673</v>
      </c>
      <c r="J177" s="2" t="s">
        <v>13</v>
      </c>
      <c r="K177" s="2" t="s">
        <v>13</v>
      </c>
      <c r="L177" s="2" t="s">
        <v>13</v>
      </c>
      <c r="M177" s="2" t="s">
        <v>13</v>
      </c>
      <c r="N177" s="1">
        <v>16</v>
      </c>
      <c r="O177" s="1">
        <v>6</v>
      </c>
    </row>
    <row r="178" spans="1:15" x14ac:dyDescent="0.25">
      <c r="A178" s="4" t="s">
        <v>58</v>
      </c>
      <c r="B178" s="1">
        <v>2</v>
      </c>
      <c r="C178" s="1" t="s">
        <v>85</v>
      </c>
      <c r="D178" s="1" t="s">
        <v>12</v>
      </c>
      <c r="E178" s="1">
        <v>3</v>
      </c>
      <c r="F178" s="1">
        <v>125</v>
      </c>
      <c r="G178" s="1">
        <v>130</v>
      </c>
      <c r="H178" s="1">
        <v>48</v>
      </c>
      <c r="I178" s="2">
        <v>1.9242524271844659</v>
      </c>
      <c r="J178" s="2" t="s">
        <v>13</v>
      </c>
      <c r="K178" s="2" t="s">
        <v>13</v>
      </c>
      <c r="L178" s="2" t="s">
        <v>13</v>
      </c>
      <c r="M178" s="2" t="s">
        <v>13</v>
      </c>
      <c r="N178" s="1">
        <v>19</v>
      </c>
      <c r="O178" s="1">
        <v>9</v>
      </c>
    </row>
    <row r="179" spans="1:15" x14ac:dyDescent="0.25">
      <c r="A179" s="4" t="s">
        <v>58</v>
      </c>
      <c r="B179" s="1">
        <v>2</v>
      </c>
      <c r="C179" s="1" t="s">
        <v>86</v>
      </c>
      <c r="D179" s="1" t="s">
        <v>12</v>
      </c>
      <c r="E179" s="1">
        <v>1</v>
      </c>
      <c r="F179" s="1">
        <v>139</v>
      </c>
      <c r="G179" s="1">
        <v>126</v>
      </c>
      <c r="H179" s="1">
        <v>48</v>
      </c>
      <c r="I179" s="2">
        <v>1.6501092353525322</v>
      </c>
      <c r="J179" s="3">
        <v>17.736553192138672</v>
      </c>
      <c r="K179" s="2">
        <v>3.5218909228152113</v>
      </c>
      <c r="L179" s="2">
        <v>0.29267250225669456</v>
      </c>
      <c r="M179" s="2">
        <v>5.8115047376416325E-2</v>
      </c>
      <c r="N179" s="1">
        <v>19.5</v>
      </c>
      <c r="O179" s="1">
        <v>2</v>
      </c>
    </row>
    <row r="180" spans="1:15" x14ac:dyDescent="0.25">
      <c r="A180" s="4" t="s">
        <v>58</v>
      </c>
      <c r="B180" s="1">
        <v>2</v>
      </c>
      <c r="C180" s="1" t="s">
        <v>86</v>
      </c>
      <c r="D180" s="1" t="s">
        <v>12</v>
      </c>
      <c r="E180" s="1">
        <v>2</v>
      </c>
      <c r="F180" s="1">
        <v>138</v>
      </c>
      <c r="G180" s="1">
        <v>136</v>
      </c>
      <c r="H180" s="1">
        <v>36</v>
      </c>
      <c r="I180" s="2">
        <v>1.7438681102362206</v>
      </c>
      <c r="J180" s="3">
        <v>16.124217987060547</v>
      </c>
      <c r="K180" s="2">
        <v>4.3066322136086406</v>
      </c>
      <c r="L180" s="2">
        <v>0.28118509550132154</v>
      </c>
      <c r="M180" s="2">
        <v>7.5101985798281312E-2</v>
      </c>
      <c r="N180" s="1">
        <v>16</v>
      </c>
      <c r="O180" s="1">
        <v>5.5</v>
      </c>
    </row>
    <row r="181" spans="1:15" x14ac:dyDescent="0.25">
      <c r="A181" s="4" t="s">
        <v>58</v>
      </c>
      <c r="B181" s="1">
        <v>2</v>
      </c>
      <c r="C181" s="1" t="s">
        <v>86</v>
      </c>
      <c r="D181" s="1" t="s">
        <v>12</v>
      </c>
      <c r="E181" s="1">
        <v>3</v>
      </c>
      <c r="F181" s="1">
        <v>127</v>
      </c>
      <c r="G181" s="1">
        <v>142</v>
      </c>
      <c r="H181" s="1">
        <v>24</v>
      </c>
      <c r="I181" s="2">
        <v>1.6568275862068964</v>
      </c>
      <c r="J181" s="3">
        <v>15.673581123352051</v>
      </c>
      <c r="K181" s="2">
        <v>3.9098774516022554</v>
      </c>
      <c r="L181" s="2">
        <v>0.25968421579821355</v>
      </c>
      <c r="M181" s="2">
        <v>6.4779928205029369E-2</v>
      </c>
      <c r="N181" s="1">
        <v>18.5</v>
      </c>
      <c r="O181" s="1">
        <v>7</v>
      </c>
    </row>
    <row r="182" spans="1:15" x14ac:dyDescent="0.25">
      <c r="A182" s="4" t="s">
        <v>58</v>
      </c>
      <c r="B182" s="1">
        <v>2</v>
      </c>
      <c r="C182" s="1" t="s">
        <v>87</v>
      </c>
      <c r="D182" s="1" t="s">
        <v>12</v>
      </c>
      <c r="E182" s="1">
        <v>1</v>
      </c>
      <c r="F182" s="1">
        <v>153</v>
      </c>
      <c r="G182" s="1">
        <v>106</v>
      </c>
      <c r="H182" s="1">
        <v>108</v>
      </c>
      <c r="I182" s="2" t="s">
        <v>13</v>
      </c>
      <c r="J182" s="2" t="s">
        <v>13</v>
      </c>
      <c r="K182" s="2" t="s">
        <v>13</v>
      </c>
      <c r="L182" s="2" t="s">
        <v>13</v>
      </c>
      <c r="M182" s="2" t="s">
        <v>13</v>
      </c>
      <c r="N182" s="1">
        <v>10</v>
      </c>
      <c r="O182" s="1">
        <v>1</v>
      </c>
    </row>
    <row r="183" spans="1:15" x14ac:dyDescent="0.25">
      <c r="A183" s="4" t="s">
        <v>58</v>
      </c>
      <c r="B183" s="1">
        <v>2</v>
      </c>
      <c r="C183" s="1" t="s">
        <v>87</v>
      </c>
      <c r="D183" s="1" t="s">
        <v>12</v>
      </c>
      <c r="E183" s="1">
        <v>2</v>
      </c>
      <c r="F183" s="1">
        <v>154</v>
      </c>
      <c r="G183" s="1">
        <v>118</v>
      </c>
      <c r="H183" s="1">
        <v>72</v>
      </c>
      <c r="I183" s="2" t="s">
        <v>13</v>
      </c>
      <c r="J183" s="2" t="s">
        <v>13</v>
      </c>
      <c r="K183" s="2" t="s">
        <v>13</v>
      </c>
      <c r="L183" s="2" t="s">
        <v>13</v>
      </c>
      <c r="M183" s="2" t="s">
        <v>13</v>
      </c>
      <c r="N183" s="1">
        <v>12.5</v>
      </c>
      <c r="O183" s="1">
        <v>1</v>
      </c>
    </row>
    <row r="184" spans="1:15" x14ac:dyDescent="0.25">
      <c r="A184" s="4" t="s">
        <v>58</v>
      </c>
      <c r="B184" s="1">
        <v>2</v>
      </c>
      <c r="C184" s="1" t="s">
        <v>87</v>
      </c>
      <c r="D184" s="1" t="s">
        <v>12</v>
      </c>
      <c r="E184" s="1">
        <v>3</v>
      </c>
      <c r="F184" s="1">
        <v>132</v>
      </c>
      <c r="G184" s="1">
        <v>102</v>
      </c>
      <c r="H184" s="1">
        <v>72</v>
      </c>
      <c r="I184" s="2" t="s">
        <v>13</v>
      </c>
      <c r="J184" s="2" t="s">
        <v>13</v>
      </c>
      <c r="K184" s="2" t="s">
        <v>13</v>
      </c>
      <c r="L184" s="2" t="s">
        <v>13</v>
      </c>
      <c r="M184" s="2" t="s">
        <v>13</v>
      </c>
      <c r="N184" s="1">
        <v>12</v>
      </c>
      <c r="O184" s="1">
        <v>2</v>
      </c>
    </row>
    <row r="185" spans="1:15" x14ac:dyDescent="0.25">
      <c r="A185" s="4" t="s">
        <v>64</v>
      </c>
      <c r="B185" s="1">
        <v>3</v>
      </c>
      <c r="C185" s="1" t="s">
        <v>88</v>
      </c>
      <c r="D185" s="1" t="s">
        <v>12</v>
      </c>
      <c r="E185" s="1">
        <v>1</v>
      </c>
      <c r="F185" s="1">
        <v>83</v>
      </c>
      <c r="G185" s="1">
        <v>124</v>
      </c>
      <c r="H185" s="1">
        <v>60</v>
      </c>
      <c r="I185" s="2">
        <v>2.8082795698924734</v>
      </c>
      <c r="J185" s="3">
        <v>15.54604434967041</v>
      </c>
      <c r="K185" s="2">
        <v>4.3050494534098211</v>
      </c>
      <c r="L185" s="2">
        <v>0.43657638739821736</v>
      </c>
      <c r="M185" s="2">
        <v>0.1208978242738756</v>
      </c>
      <c r="N185" s="1">
        <v>12</v>
      </c>
      <c r="O185" s="1">
        <v>9</v>
      </c>
    </row>
    <row r="186" spans="1:15" x14ac:dyDescent="0.25">
      <c r="A186" s="4" t="s">
        <v>64</v>
      </c>
      <c r="B186" s="1">
        <v>3</v>
      </c>
      <c r="C186" s="1" t="s">
        <v>88</v>
      </c>
      <c r="D186" s="1" t="s">
        <v>12</v>
      </c>
      <c r="E186" s="1">
        <v>2</v>
      </c>
      <c r="F186" s="1">
        <v>83</v>
      </c>
      <c r="G186" s="1">
        <v>124</v>
      </c>
      <c r="H186" s="1">
        <v>60</v>
      </c>
      <c r="I186" s="2">
        <v>2.9446989141164859</v>
      </c>
      <c r="J186" s="3">
        <v>15.881461143493652</v>
      </c>
      <c r="K186" s="2">
        <v>5.0375596386152601</v>
      </c>
      <c r="L186" s="2">
        <v>0.46766121383828924</v>
      </c>
      <c r="M186" s="2">
        <v>0.14834096397627394</v>
      </c>
      <c r="N186" s="1">
        <v>12</v>
      </c>
      <c r="O186" s="1">
        <v>6.5</v>
      </c>
    </row>
    <row r="187" spans="1:15" x14ac:dyDescent="0.25">
      <c r="A187" s="4" t="s">
        <v>64</v>
      </c>
      <c r="B187" s="1">
        <v>3</v>
      </c>
      <c r="C187" s="1" t="s">
        <v>88</v>
      </c>
      <c r="D187" s="1" t="s">
        <v>12</v>
      </c>
      <c r="E187" s="1">
        <v>3</v>
      </c>
      <c r="F187" s="1">
        <v>83</v>
      </c>
      <c r="G187" s="1">
        <v>116</v>
      </c>
      <c r="H187" s="1">
        <v>96</v>
      </c>
      <c r="I187" s="2">
        <v>3.0396340257171115</v>
      </c>
      <c r="J187" s="3">
        <v>17.24317741394043</v>
      </c>
      <c r="K187" s="2">
        <v>3.7476592944986962</v>
      </c>
      <c r="L187" s="2">
        <v>0.52412948778890123</v>
      </c>
      <c r="M187" s="2">
        <v>0.11391512708353221</v>
      </c>
      <c r="N187" s="1">
        <v>10</v>
      </c>
      <c r="O187" s="1">
        <v>11</v>
      </c>
    </row>
    <row r="188" spans="1:15" x14ac:dyDescent="0.25">
      <c r="A188" s="4" t="s">
        <v>14</v>
      </c>
      <c r="B188" s="1">
        <v>1</v>
      </c>
      <c r="C188" s="1" t="s">
        <v>89</v>
      </c>
      <c r="D188" s="1" t="s">
        <v>12</v>
      </c>
      <c r="E188" s="1">
        <v>1</v>
      </c>
      <c r="F188" s="1">
        <v>137</v>
      </c>
      <c r="G188" s="1">
        <v>124</v>
      </c>
      <c r="H188" s="1">
        <v>36</v>
      </c>
      <c r="I188" s="2" t="s">
        <v>13</v>
      </c>
      <c r="J188" s="2" t="s">
        <v>13</v>
      </c>
      <c r="K188" s="2" t="s">
        <v>13</v>
      </c>
      <c r="L188" s="2" t="s">
        <v>13</v>
      </c>
      <c r="M188" s="2" t="s">
        <v>13</v>
      </c>
      <c r="N188" s="6">
        <v>10</v>
      </c>
      <c r="O188" s="6">
        <v>6.5</v>
      </c>
    </row>
    <row r="189" spans="1:15" x14ac:dyDescent="0.25">
      <c r="A189" s="4" t="s">
        <v>14</v>
      </c>
      <c r="B189" s="1">
        <v>1</v>
      </c>
      <c r="C189" s="1" t="s">
        <v>89</v>
      </c>
      <c r="D189" s="1" t="s">
        <v>12</v>
      </c>
      <c r="E189" s="1">
        <v>2</v>
      </c>
      <c r="F189" s="1">
        <v>143</v>
      </c>
      <c r="G189" s="1">
        <v>118</v>
      </c>
      <c r="H189" s="1">
        <v>36</v>
      </c>
      <c r="I189" s="2" t="s">
        <v>13</v>
      </c>
      <c r="J189" s="2" t="s">
        <v>13</v>
      </c>
      <c r="K189" s="2" t="s">
        <v>13</v>
      </c>
      <c r="L189" s="2" t="s">
        <v>13</v>
      </c>
      <c r="M189" s="2" t="s">
        <v>13</v>
      </c>
      <c r="N189" s="6">
        <v>10.5</v>
      </c>
      <c r="O189" s="6">
        <v>2.5</v>
      </c>
    </row>
    <row r="190" spans="1:15" x14ac:dyDescent="0.25">
      <c r="A190" s="4" t="s">
        <v>14</v>
      </c>
      <c r="B190" s="1">
        <v>1</v>
      </c>
      <c r="C190" s="1" t="s">
        <v>89</v>
      </c>
      <c r="D190" s="1" t="s">
        <v>12</v>
      </c>
      <c r="E190" s="1">
        <v>3</v>
      </c>
      <c r="F190" s="1">
        <v>153</v>
      </c>
      <c r="G190" s="1">
        <v>110</v>
      </c>
      <c r="H190" s="1">
        <v>36</v>
      </c>
      <c r="I190" s="2" t="s">
        <v>13</v>
      </c>
      <c r="J190" s="2" t="s">
        <v>13</v>
      </c>
      <c r="K190" s="2" t="s">
        <v>13</v>
      </c>
      <c r="L190" s="2" t="s">
        <v>13</v>
      </c>
      <c r="M190" s="2" t="s">
        <v>13</v>
      </c>
      <c r="N190" s="6">
        <v>11.5</v>
      </c>
      <c r="O190" s="6">
        <v>1</v>
      </c>
    </row>
    <row r="191" spans="1:15" x14ac:dyDescent="0.25">
      <c r="A191" s="4" t="s">
        <v>14</v>
      </c>
      <c r="B191" s="1" t="s">
        <v>20</v>
      </c>
      <c r="C191" s="1" t="s">
        <v>90</v>
      </c>
      <c r="D191" s="1" t="s">
        <v>12</v>
      </c>
      <c r="E191" s="1">
        <v>1</v>
      </c>
      <c r="F191" s="1">
        <v>139</v>
      </c>
      <c r="G191" s="1">
        <v>116</v>
      </c>
      <c r="H191" s="1">
        <v>48</v>
      </c>
      <c r="I191" s="2">
        <v>2.16</v>
      </c>
      <c r="J191" s="2" t="s">
        <v>13</v>
      </c>
      <c r="K191" s="2" t="s">
        <v>13</v>
      </c>
      <c r="L191" s="2" t="s">
        <v>13</v>
      </c>
      <c r="M191" s="2" t="s">
        <v>13</v>
      </c>
      <c r="N191" s="6">
        <v>11.5</v>
      </c>
      <c r="O191" s="6">
        <v>2.5</v>
      </c>
    </row>
    <row r="192" spans="1:15" x14ac:dyDescent="0.25">
      <c r="A192" s="4" t="s">
        <v>14</v>
      </c>
      <c r="B192" s="1" t="s">
        <v>20</v>
      </c>
      <c r="C192" s="1" t="s">
        <v>90</v>
      </c>
      <c r="D192" s="1" t="s">
        <v>12</v>
      </c>
      <c r="E192" s="1">
        <v>2</v>
      </c>
      <c r="F192" s="1">
        <v>140</v>
      </c>
      <c r="G192" s="1">
        <v>120</v>
      </c>
      <c r="H192" s="1">
        <v>60</v>
      </c>
      <c r="I192" s="2">
        <v>1.9759031657355681</v>
      </c>
      <c r="J192" s="2" t="s">
        <v>13</v>
      </c>
      <c r="K192" s="2" t="s">
        <v>13</v>
      </c>
      <c r="L192" s="2" t="s">
        <v>13</v>
      </c>
      <c r="M192" s="2" t="s">
        <v>13</v>
      </c>
      <c r="N192" s="1">
        <v>9</v>
      </c>
      <c r="O192" s="1">
        <v>1</v>
      </c>
    </row>
    <row r="193" spans="1:15" x14ac:dyDescent="0.25">
      <c r="A193" s="4" t="s">
        <v>14</v>
      </c>
      <c r="B193" s="1" t="s">
        <v>20</v>
      </c>
      <c r="C193" s="1" t="s">
        <v>90</v>
      </c>
      <c r="D193" s="1" t="s">
        <v>12</v>
      </c>
      <c r="E193" s="1">
        <v>3</v>
      </c>
      <c r="F193" s="1">
        <v>141</v>
      </c>
      <c r="G193" s="1">
        <v>121</v>
      </c>
      <c r="H193" s="1">
        <v>72</v>
      </c>
      <c r="I193" s="2">
        <v>2.2763555114200593</v>
      </c>
      <c r="J193" s="2" t="s">
        <v>13</v>
      </c>
      <c r="K193" s="2" t="s">
        <v>13</v>
      </c>
      <c r="L193" s="2" t="s">
        <v>13</v>
      </c>
      <c r="M193" s="2" t="s">
        <v>13</v>
      </c>
      <c r="N193" s="1">
        <v>8</v>
      </c>
      <c r="O193" s="1">
        <v>3</v>
      </c>
    </row>
    <row r="194" spans="1:15" x14ac:dyDescent="0.25">
      <c r="A194" s="4" t="s">
        <v>14</v>
      </c>
      <c r="B194" s="1">
        <v>1</v>
      </c>
      <c r="C194" s="1" t="s">
        <v>91</v>
      </c>
      <c r="D194" s="1" t="s">
        <v>12</v>
      </c>
      <c r="E194" s="1">
        <v>1</v>
      </c>
      <c r="F194" s="1">
        <v>140</v>
      </c>
      <c r="G194" s="1">
        <v>120</v>
      </c>
      <c r="H194" s="1">
        <v>108</v>
      </c>
      <c r="I194" s="2" t="s">
        <v>13</v>
      </c>
      <c r="J194" s="2" t="s">
        <v>13</v>
      </c>
      <c r="K194" s="2" t="s">
        <v>13</v>
      </c>
      <c r="L194" s="2" t="s">
        <v>13</v>
      </c>
      <c r="M194" s="2" t="s">
        <v>13</v>
      </c>
      <c r="N194" s="6">
        <v>13</v>
      </c>
      <c r="O194" s="6">
        <v>3</v>
      </c>
    </row>
    <row r="195" spans="1:15" x14ac:dyDescent="0.25">
      <c r="A195" s="4" t="s">
        <v>14</v>
      </c>
      <c r="B195" s="1">
        <v>1</v>
      </c>
      <c r="C195" s="1" t="s">
        <v>91</v>
      </c>
      <c r="D195" s="1" t="s">
        <v>12</v>
      </c>
      <c r="E195" s="1">
        <v>2</v>
      </c>
      <c r="F195" s="1">
        <v>141</v>
      </c>
      <c r="G195" s="1">
        <v>123</v>
      </c>
      <c r="H195" s="1">
        <v>60</v>
      </c>
      <c r="I195" s="2" t="s">
        <v>13</v>
      </c>
      <c r="J195" s="2" t="s">
        <v>13</v>
      </c>
      <c r="K195" s="2" t="s">
        <v>13</v>
      </c>
      <c r="L195" s="2" t="s">
        <v>13</v>
      </c>
      <c r="M195" s="2" t="s">
        <v>13</v>
      </c>
      <c r="N195" s="1">
        <v>14</v>
      </c>
      <c r="O195" s="1">
        <v>6</v>
      </c>
    </row>
    <row r="196" spans="1:15" x14ac:dyDescent="0.25">
      <c r="A196" s="4" t="s">
        <v>14</v>
      </c>
      <c r="B196" s="1">
        <v>1</v>
      </c>
      <c r="C196" s="1" t="s">
        <v>91</v>
      </c>
      <c r="D196" s="1" t="s">
        <v>12</v>
      </c>
      <c r="E196" s="1">
        <v>3</v>
      </c>
      <c r="F196" s="1">
        <v>141</v>
      </c>
      <c r="G196" s="1">
        <v>97</v>
      </c>
      <c r="H196" s="1">
        <v>84</v>
      </c>
      <c r="I196" s="2" t="s">
        <v>13</v>
      </c>
      <c r="J196" s="2" t="s">
        <v>13</v>
      </c>
      <c r="K196" s="2" t="s">
        <v>13</v>
      </c>
      <c r="L196" s="2" t="s">
        <v>13</v>
      </c>
      <c r="M196" s="2" t="s">
        <v>13</v>
      </c>
      <c r="N196" s="1">
        <v>10.5</v>
      </c>
      <c r="O196" s="1">
        <v>6</v>
      </c>
    </row>
    <row r="197" spans="1:15" x14ac:dyDescent="0.25">
      <c r="A197" s="4" t="s">
        <v>14</v>
      </c>
      <c r="B197" s="1">
        <v>1</v>
      </c>
      <c r="C197" s="1" t="s">
        <v>92</v>
      </c>
      <c r="D197" s="1" t="s">
        <v>12</v>
      </c>
      <c r="E197" s="1">
        <v>1</v>
      </c>
      <c r="F197" s="1">
        <v>143</v>
      </c>
      <c r="G197" s="1">
        <v>113</v>
      </c>
      <c r="H197" s="1">
        <v>108</v>
      </c>
      <c r="I197" s="2" t="s">
        <v>13</v>
      </c>
      <c r="J197" s="2" t="s">
        <v>13</v>
      </c>
      <c r="K197" s="2" t="s">
        <v>13</v>
      </c>
      <c r="L197" s="2" t="s">
        <v>13</v>
      </c>
      <c r="M197" s="2" t="s">
        <v>13</v>
      </c>
      <c r="N197" s="1">
        <v>11</v>
      </c>
      <c r="O197" s="1">
        <v>1</v>
      </c>
    </row>
    <row r="198" spans="1:15" x14ac:dyDescent="0.25">
      <c r="A198" s="4" t="s">
        <v>14</v>
      </c>
      <c r="B198" s="1">
        <v>1</v>
      </c>
      <c r="C198" s="1" t="s">
        <v>92</v>
      </c>
      <c r="D198" s="1" t="s">
        <v>12</v>
      </c>
      <c r="E198" s="1">
        <v>2</v>
      </c>
      <c r="F198" s="1">
        <v>152</v>
      </c>
      <c r="G198" s="1">
        <v>115</v>
      </c>
      <c r="H198" s="1">
        <v>60</v>
      </c>
      <c r="I198" s="2" t="s">
        <v>13</v>
      </c>
      <c r="J198" s="2" t="s">
        <v>13</v>
      </c>
      <c r="K198" s="2" t="s">
        <v>13</v>
      </c>
      <c r="L198" s="2" t="s">
        <v>13</v>
      </c>
      <c r="M198" s="2" t="s">
        <v>13</v>
      </c>
      <c r="N198" s="1">
        <v>9.5</v>
      </c>
      <c r="O198" s="1">
        <v>0.5</v>
      </c>
    </row>
    <row r="199" spans="1:15" x14ac:dyDescent="0.25">
      <c r="A199" s="4" t="s">
        <v>14</v>
      </c>
      <c r="B199" s="1">
        <v>1</v>
      </c>
      <c r="C199" s="1" t="s">
        <v>92</v>
      </c>
      <c r="D199" s="1" t="s">
        <v>12</v>
      </c>
      <c r="E199" s="1">
        <v>3</v>
      </c>
      <c r="F199" s="1">
        <v>141</v>
      </c>
      <c r="G199" s="1">
        <v>107</v>
      </c>
      <c r="H199" s="1">
        <v>72</v>
      </c>
      <c r="I199" s="2" t="s">
        <v>13</v>
      </c>
      <c r="J199" s="2" t="s">
        <v>13</v>
      </c>
      <c r="K199" s="2" t="s">
        <v>13</v>
      </c>
      <c r="L199" s="2" t="s">
        <v>13</v>
      </c>
      <c r="M199" s="2" t="s">
        <v>13</v>
      </c>
      <c r="N199" s="1">
        <v>11</v>
      </c>
      <c r="O199" s="1">
        <v>1.5</v>
      </c>
    </row>
    <row r="200" spans="1:15" ht="30" x14ac:dyDescent="0.25">
      <c r="A200" s="4" t="s">
        <v>49</v>
      </c>
      <c r="B200" s="1">
        <v>5</v>
      </c>
      <c r="C200" s="1" t="s">
        <v>93</v>
      </c>
      <c r="D200" s="1" t="s">
        <v>12</v>
      </c>
      <c r="E200" s="1">
        <v>1</v>
      </c>
      <c r="F200" s="1">
        <v>89</v>
      </c>
      <c r="G200" s="1">
        <v>124</v>
      </c>
      <c r="H200" s="5">
        <v>72</v>
      </c>
      <c r="I200" s="2">
        <v>1.2782</v>
      </c>
      <c r="J200" s="3">
        <v>17.269655227661133</v>
      </c>
      <c r="K200" s="2" t="s">
        <v>13</v>
      </c>
      <c r="L200" s="2">
        <v>0.22074073311996459</v>
      </c>
      <c r="M200" s="2" t="s">
        <v>13</v>
      </c>
      <c r="N200" s="1">
        <v>10</v>
      </c>
      <c r="O200" s="1">
        <v>10.5</v>
      </c>
    </row>
    <row r="201" spans="1:15" ht="30" x14ac:dyDescent="0.25">
      <c r="A201" s="4" t="s">
        <v>49</v>
      </c>
      <c r="B201" s="1">
        <v>5</v>
      </c>
      <c r="C201" s="1" t="s">
        <v>93</v>
      </c>
      <c r="D201" s="1" t="s">
        <v>12</v>
      </c>
      <c r="E201" s="1">
        <v>2</v>
      </c>
      <c r="F201" s="1">
        <v>91</v>
      </c>
      <c r="G201" s="1">
        <v>115</v>
      </c>
      <c r="H201" s="1">
        <v>72</v>
      </c>
      <c r="I201" s="2">
        <v>1.6587999999999998</v>
      </c>
      <c r="J201" s="3">
        <v>19.314382553100586</v>
      </c>
      <c r="K201" s="2" t="s">
        <v>13</v>
      </c>
      <c r="L201" s="2">
        <v>0.32038697779083253</v>
      </c>
      <c r="M201" s="2" t="s">
        <v>13</v>
      </c>
      <c r="N201" s="1">
        <v>13</v>
      </c>
      <c r="O201" s="1">
        <v>6</v>
      </c>
    </row>
    <row r="202" spans="1:15" ht="30" x14ac:dyDescent="0.25">
      <c r="A202" s="4" t="s">
        <v>49</v>
      </c>
      <c r="B202" s="1">
        <v>5</v>
      </c>
      <c r="C202" s="1" t="s">
        <v>93</v>
      </c>
      <c r="D202" s="1" t="s">
        <v>12</v>
      </c>
      <c r="E202" s="1">
        <v>3</v>
      </c>
      <c r="F202" s="1">
        <v>89</v>
      </c>
      <c r="G202" s="1">
        <v>123</v>
      </c>
      <c r="H202" s="1">
        <v>84</v>
      </c>
      <c r="I202" s="2">
        <v>1.7408695652173913</v>
      </c>
      <c r="J202" s="3">
        <v>21.881040573120117</v>
      </c>
      <c r="K202" s="2" t="s">
        <v>13</v>
      </c>
      <c r="L202" s="2">
        <v>0.38092037589031719</v>
      </c>
      <c r="M202" s="2" t="s">
        <v>13</v>
      </c>
      <c r="N202" s="1">
        <v>10</v>
      </c>
      <c r="O202" s="1">
        <v>8</v>
      </c>
    </row>
    <row r="203" spans="1:15" x14ac:dyDescent="0.25">
      <c r="A203" s="4" t="s">
        <v>94</v>
      </c>
      <c r="B203" s="1">
        <v>4</v>
      </c>
      <c r="C203" s="1" t="s">
        <v>95</v>
      </c>
      <c r="D203" s="1" t="s">
        <v>12</v>
      </c>
      <c r="E203" s="1">
        <v>1</v>
      </c>
      <c r="F203" s="1">
        <v>139</v>
      </c>
      <c r="G203" s="1">
        <v>94</v>
      </c>
      <c r="H203" s="1">
        <v>48</v>
      </c>
      <c r="I203" s="2">
        <v>2.108902912621359</v>
      </c>
      <c r="J203" s="3">
        <v>14.903209686279297</v>
      </c>
      <c r="K203" s="2">
        <v>2.5079493035967397</v>
      </c>
      <c r="L203" s="2">
        <v>0.31429422314801259</v>
      </c>
      <c r="M203" s="2">
        <v>5.2890215910618731E-2</v>
      </c>
      <c r="N203" s="5">
        <v>13.5</v>
      </c>
      <c r="O203" s="5">
        <v>1</v>
      </c>
    </row>
    <row r="204" spans="1:15" x14ac:dyDescent="0.25">
      <c r="A204" s="4" t="s">
        <v>94</v>
      </c>
      <c r="B204" s="1">
        <v>4</v>
      </c>
      <c r="C204" s="1" t="s">
        <v>95</v>
      </c>
      <c r="D204" s="1" t="s">
        <v>12</v>
      </c>
      <c r="E204" s="1">
        <v>2</v>
      </c>
      <c r="F204" s="1">
        <v>139</v>
      </c>
      <c r="G204" s="1">
        <v>103</v>
      </c>
      <c r="H204" s="1">
        <v>48</v>
      </c>
      <c r="I204" s="2">
        <v>2.2936633663366339</v>
      </c>
      <c r="J204" s="3">
        <v>15.21705436706543</v>
      </c>
      <c r="K204" s="2">
        <v>3.3498140252196809</v>
      </c>
      <c r="L204" s="2">
        <v>0.34902800145290869</v>
      </c>
      <c r="M204" s="2">
        <v>7.6833457136870426E-2</v>
      </c>
      <c r="N204" s="5">
        <v>14</v>
      </c>
      <c r="O204" s="5">
        <v>0.5</v>
      </c>
    </row>
    <row r="205" spans="1:15" x14ac:dyDescent="0.25">
      <c r="A205" s="4" t="s">
        <v>94</v>
      </c>
      <c r="B205" s="1">
        <v>4</v>
      </c>
      <c r="C205" s="1" t="s">
        <v>95</v>
      </c>
      <c r="D205" s="1" t="s">
        <v>12</v>
      </c>
      <c r="E205" s="1">
        <v>3</v>
      </c>
      <c r="F205" s="1">
        <v>139</v>
      </c>
      <c r="G205" s="1">
        <v>113</v>
      </c>
      <c r="H205" s="1">
        <v>96</v>
      </c>
      <c r="I205" s="2">
        <v>2.6362970297029706</v>
      </c>
      <c r="J205" s="3">
        <v>15.933409690856934</v>
      </c>
      <c r="K205" s="2">
        <v>3.0469017459770797</v>
      </c>
      <c r="L205" s="2">
        <v>0.42005200641046664</v>
      </c>
      <c r="M205" s="2">
        <v>8.0325380227161708E-2</v>
      </c>
      <c r="N205" s="5">
        <v>16.5</v>
      </c>
      <c r="O205" s="5">
        <v>1.5</v>
      </c>
    </row>
    <row r="206" spans="1:15" x14ac:dyDescent="0.25">
      <c r="A206" s="4" t="s">
        <v>94</v>
      </c>
      <c r="B206" s="1">
        <v>5</v>
      </c>
      <c r="C206" s="1" t="s">
        <v>96</v>
      </c>
      <c r="D206" s="1" t="s">
        <v>12</v>
      </c>
      <c r="E206" s="1">
        <v>1</v>
      </c>
      <c r="F206" s="1">
        <v>100</v>
      </c>
      <c r="G206" s="1">
        <v>144</v>
      </c>
      <c r="H206" s="1">
        <v>36</v>
      </c>
      <c r="I206" s="2">
        <v>2.6404330708661417</v>
      </c>
      <c r="J206" s="3">
        <v>15.437230110168457</v>
      </c>
      <c r="K206" s="2">
        <v>3.6903057251234217</v>
      </c>
      <c r="L206" s="2">
        <v>0.40760972905459364</v>
      </c>
      <c r="M206" s="2">
        <v>9.7440052782225395E-2</v>
      </c>
      <c r="N206" s="1">
        <v>12</v>
      </c>
      <c r="O206" s="1">
        <v>5</v>
      </c>
    </row>
    <row r="207" spans="1:15" x14ac:dyDescent="0.25">
      <c r="A207" s="4" t="s">
        <v>94</v>
      </c>
      <c r="B207" s="1">
        <v>5</v>
      </c>
      <c r="C207" s="1" t="s">
        <v>96</v>
      </c>
      <c r="D207" s="1" t="s">
        <v>12</v>
      </c>
      <c r="E207" s="1">
        <v>2</v>
      </c>
      <c r="F207" s="1">
        <v>104</v>
      </c>
      <c r="G207" s="1">
        <v>134</v>
      </c>
      <c r="H207" s="1">
        <v>36</v>
      </c>
      <c r="I207" s="2">
        <v>2.4390838206627681</v>
      </c>
      <c r="J207" s="3">
        <v>14.35557746887207</v>
      </c>
      <c r="K207" s="2">
        <v>4.0035587188611812</v>
      </c>
      <c r="L207" s="2">
        <v>0.35014456740596844</v>
      </c>
      <c r="M207" s="2">
        <v>9.7650152962476672E-2</v>
      </c>
      <c r="N207" s="1">
        <v>12</v>
      </c>
      <c r="O207" s="1">
        <v>10.5</v>
      </c>
    </row>
    <row r="208" spans="1:15" x14ac:dyDescent="0.25">
      <c r="A208" s="4" t="s">
        <v>94</v>
      </c>
      <c r="B208" s="1">
        <v>5</v>
      </c>
      <c r="C208" s="1" t="s">
        <v>96</v>
      </c>
      <c r="D208" s="1" t="s">
        <v>12</v>
      </c>
      <c r="E208" s="1">
        <v>3</v>
      </c>
      <c r="F208" s="1">
        <v>113</v>
      </c>
      <c r="G208" s="1">
        <v>146</v>
      </c>
      <c r="H208" s="1">
        <v>36</v>
      </c>
      <c r="I208" s="2">
        <v>2.7970526315789472</v>
      </c>
      <c r="J208" s="3">
        <v>12.96833610534668</v>
      </c>
      <c r="K208" s="2">
        <v>3.986812849804644</v>
      </c>
      <c r="L208" s="2">
        <v>0.362731186306602</v>
      </c>
      <c r="M208" s="2">
        <v>0.11151325373158842</v>
      </c>
      <c r="N208" s="1">
        <v>12.5</v>
      </c>
      <c r="O208" s="1">
        <v>12</v>
      </c>
    </row>
    <row r="209" spans="1:15" x14ac:dyDescent="0.25">
      <c r="A209" s="4" t="s">
        <v>94</v>
      </c>
      <c r="B209" s="1">
        <v>4</v>
      </c>
      <c r="C209" s="1" t="s">
        <v>97</v>
      </c>
      <c r="D209" s="1" t="s">
        <v>12</v>
      </c>
      <c r="E209" s="1">
        <v>1</v>
      </c>
      <c r="F209" s="1">
        <v>114</v>
      </c>
      <c r="G209" s="1">
        <v>126</v>
      </c>
      <c r="H209" s="1">
        <v>84</v>
      </c>
      <c r="I209" s="2">
        <v>2.4558390578999019</v>
      </c>
      <c r="J209" s="3">
        <v>13.363935470581055</v>
      </c>
      <c r="K209" s="2">
        <v>4.2544487625283827</v>
      </c>
      <c r="L209" s="2">
        <v>0.32819674695906859</v>
      </c>
      <c r="M209" s="2">
        <v>0.10448241440851105</v>
      </c>
      <c r="N209" s="5">
        <v>18</v>
      </c>
      <c r="O209" s="5">
        <v>4</v>
      </c>
    </row>
    <row r="210" spans="1:15" x14ac:dyDescent="0.25">
      <c r="A210" s="4" t="s">
        <v>94</v>
      </c>
      <c r="B210" s="1">
        <v>4</v>
      </c>
      <c r="C210" s="1" t="s">
        <v>97</v>
      </c>
      <c r="D210" s="1" t="s">
        <v>12</v>
      </c>
      <c r="E210" s="1">
        <v>2</v>
      </c>
      <c r="F210" s="1">
        <v>117</v>
      </c>
      <c r="G210" s="1">
        <v>132</v>
      </c>
      <c r="H210" s="1">
        <v>84</v>
      </c>
      <c r="I210" s="2">
        <v>2.1145155038759689</v>
      </c>
      <c r="J210" s="3">
        <v>12.297842979431152</v>
      </c>
      <c r="K210" s="2">
        <v>4.0478044981009242</v>
      </c>
      <c r="L210" s="2">
        <v>0.26003979644239411</v>
      </c>
      <c r="M210" s="2">
        <v>8.5591453678932894E-2</v>
      </c>
      <c r="N210" s="5">
        <v>11.5</v>
      </c>
      <c r="O210" s="5">
        <v>5.5</v>
      </c>
    </row>
    <row r="211" spans="1:15" x14ac:dyDescent="0.25">
      <c r="A211" s="4" t="s">
        <v>94</v>
      </c>
      <c r="B211" s="1">
        <v>4</v>
      </c>
      <c r="C211" s="1" t="s">
        <v>97</v>
      </c>
      <c r="D211" s="1" t="s">
        <v>12</v>
      </c>
      <c r="E211" s="1">
        <v>3</v>
      </c>
      <c r="F211" s="1">
        <v>114</v>
      </c>
      <c r="G211" s="1">
        <v>133</v>
      </c>
      <c r="H211" s="5">
        <v>48</v>
      </c>
      <c r="I211" s="2">
        <v>1.9769267822736032</v>
      </c>
      <c r="J211" s="3">
        <v>13.658634185791016</v>
      </c>
      <c r="K211" s="2">
        <v>3.9796912662189801</v>
      </c>
      <c r="L211" s="2">
        <v>0.27002119731168067</v>
      </c>
      <c r="M211" s="2">
        <v>7.8675582493686502E-2</v>
      </c>
      <c r="N211" s="5">
        <v>17</v>
      </c>
      <c r="O211" s="5">
        <v>3.5</v>
      </c>
    </row>
    <row r="212" spans="1:15" x14ac:dyDescent="0.25">
      <c r="A212" s="4" t="s">
        <v>94</v>
      </c>
      <c r="B212" s="1">
        <v>4</v>
      </c>
      <c r="C212" s="1" t="s">
        <v>98</v>
      </c>
      <c r="D212" s="1" t="s">
        <v>12</v>
      </c>
      <c r="E212" s="1">
        <v>1</v>
      </c>
      <c r="F212" s="1">
        <v>111</v>
      </c>
      <c r="G212" s="1">
        <v>131</v>
      </c>
      <c r="H212" s="1">
        <v>48</v>
      </c>
      <c r="I212" s="2">
        <v>2.6070748299319733</v>
      </c>
      <c r="J212" s="3">
        <v>13.03428840637207</v>
      </c>
      <c r="K212" s="2">
        <v>4.6568449573020647</v>
      </c>
      <c r="L212" s="2">
        <v>0.3398136523032676</v>
      </c>
      <c r="M212" s="2">
        <v>0.12140743275077848</v>
      </c>
      <c r="N212" s="1">
        <v>10.5</v>
      </c>
      <c r="O212" s="1">
        <v>7</v>
      </c>
    </row>
    <row r="213" spans="1:15" x14ac:dyDescent="0.25">
      <c r="A213" s="4" t="s">
        <v>94</v>
      </c>
      <c r="B213" s="1">
        <v>4</v>
      </c>
      <c r="C213" s="1" t="s">
        <v>98</v>
      </c>
      <c r="D213" s="1" t="s">
        <v>12</v>
      </c>
      <c r="E213" s="1">
        <v>2</v>
      </c>
      <c r="F213" s="1">
        <v>112</v>
      </c>
      <c r="G213" s="1">
        <v>127</v>
      </c>
      <c r="H213" s="1">
        <v>60</v>
      </c>
      <c r="I213" s="2">
        <v>2.4879223300970872</v>
      </c>
      <c r="J213" s="3">
        <v>15.917598724365234</v>
      </c>
      <c r="K213" s="2">
        <v>4.3685921480370444</v>
      </c>
      <c r="L213" s="2">
        <v>0.39601749307873174</v>
      </c>
      <c r="M213" s="2">
        <v>0.10868717956188163</v>
      </c>
      <c r="N213" s="1">
        <v>14</v>
      </c>
      <c r="O213" s="1">
        <v>2</v>
      </c>
    </row>
    <row r="214" spans="1:15" x14ac:dyDescent="0.25">
      <c r="A214" s="4" t="s">
        <v>94</v>
      </c>
      <c r="B214" s="1">
        <v>4</v>
      </c>
      <c r="C214" s="1" t="s">
        <v>98</v>
      </c>
      <c r="D214" s="1" t="s">
        <v>12</v>
      </c>
      <c r="E214" s="1">
        <v>3</v>
      </c>
      <c r="F214" s="1">
        <v>111</v>
      </c>
      <c r="G214" s="1">
        <v>135</v>
      </c>
      <c r="H214" s="1">
        <v>48</v>
      </c>
      <c r="I214" s="2">
        <v>2.573459357277883</v>
      </c>
      <c r="J214" s="3">
        <v>14.454860687255859</v>
      </c>
      <c r="K214" s="2">
        <v>4.467497905475164</v>
      </c>
      <c r="L214" s="2">
        <v>0.37198996493766806</v>
      </c>
      <c r="M214" s="2">
        <v>0.11496924288464404</v>
      </c>
      <c r="N214" s="1">
        <v>14.5</v>
      </c>
      <c r="O214" s="1">
        <v>2</v>
      </c>
    </row>
    <row r="215" spans="1:15" x14ac:dyDescent="0.25">
      <c r="A215" s="4" t="s">
        <v>94</v>
      </c>
      <c r="B215" s="1">
        <v>5</v>
      </c>
      <c r="C215" s="1" t="s">
        <v>99</v>
      </c>
      <c r="D215" s="1" t="s">
        <v>12</v>
      </c>
      <c r="E215" s="1">
        <v>1</v>
      </c>
      <c r="F215" s="1">
        <v>129</v>
      </c>
      <c r="G215" s="1">
        <v>110</v>
      </c>
      <c r="H215" s="1">
        <v>48</v>
      </c>
      <c r="I215" s="2" t="s">
        <v>13</v>
      </c>
      <c r="J215" s="3">
        <v>14.336180686950684</v>
      </c>
      <c r="K215" s="2">
        <v>4.0588296434885294</v>
      </c>
      <c r="L215" s="2" t="s">
        <v>13</v>
      </c>
      <c r="M215" s="2" t="s">
        <v>13</v>
      </c>
      <c r="N215" s="1">
        <v>11.5</v>
      </c>
      <c r="O215" s="1">
        <v>3</v>
      </c>
    </row>
    <row r="216" spans="1:15" x14ac:dyDescent="0.25">
      <c r="A216" s="4" t="s">
        <v>94</v>
      </c>
      <c r="B216" s="1">
        <v>5</v>
      </c>
      <c r="C216" s="1" t="s">
        <v>99</v>
      </c>
      <c r="D216" s="1" t="s">
        <v>12</v>
      </c>
      <c r="E216" s="1">
        <v>2</v>
      </c>
      <c r="F216" s="1">
        <v>122</v>
      </c>
      <c r="G216" s="1">
        <v>102</v>
      </c>
      <c r="H216" s="1">
        <v>36</v>
      </c>
      <c r="I216" s="2" t="s">
        <v>13</v>
      </c>
      <c r="J216" s="3">
        <v>16.203542709350586</v>
      </c>
      <c r="K216" s="2">
        <v>3.8506388156563558</v>
      </c>
      <c r="L216" s="2" t="s">
        <v>13</v>
      </c>
      <c r="M216" s="2" t="s">
        <v>13</v>
      </c>
      <c r="N216" s="1">
        <v>12</v>
      </c>
      <c r="O216" s="1">
        <v>1</v>
      </c>
    </row>
    <row r="217" spans="1:15" x14ac:dyDescent="0.25">
      <c r="A217" s="4" t="s">
        <v>94</v>
      </c>
      <c r="B217" s="1">
        <v>5</v>
      </c>
      <c r="C217" s="1" t="s">
        <v>99</v>
      </c>
      <c r="D217" s="1" t="s">
        <v>12</v>
      </c>
      <c r="E217" s="1">
        <v>3</v>
      </c>
      <c r="F217" s="1">
        <v>118</v>
      </c>
      <c r="G217" s="1">
        <v>119</v>
      </c>
      <c r="H217" s="5">
        <v>48</v>
      </c>
      <c r="I217" s="2" t="s">
        <v>13</v>
      </c>
      <c r="J217" s="3">
        <v>14.727594375610352</v>
      </c>
      <c r="K217" s="2">
        <v>4.1818501671234731</v>
      </c>
      <c r="L217" s="2" t="s">
        <v>13</v>
      </c>
      <c r="M217" s="2" t="s">
        <v>13</v>
      </c>
      <c r="N217" s="1">
        <v>11.5</v>
      </c>
      <c r="O217" s="1">
        <v>4.5</v>
      </c>
    </row>
    <row r="218" spans="1:15" x14ac:dyDescent="0.25">
      <c r="A218" s="4" t="s">
        <v>94</v>
      </c>
      <c r="B218" s="1">
        <v>4</v>
      </c>
      <c r="C218" s="1" t="s">
        <v>100</v>
      </c>
      <c r="D218" s="1" t="s">
        <v>12</v>
      </c>
      <c r="E218" s="1">
        <v>1</v>
      </c>
      <c r="F218" s="1">
        <v>139</v>
      </c>
      <c r="G218" s="1">
        <v>114</v>
      </c>
      <c r="H218" s="1">
        <v>60</v>
      </c>
      <c r="I218" s="2" t="s">
        <v>13</v>
      </c>
      <c r="J218" s="2" t="s">
        <v>13</v>
      </c>
      <c r="K218" s="2" t="s">
        <v>13</v>
      </c>
      <c r="L218" s="2" t="s">
        <v>13</v>
      </c>
      <c r="M218" s="2" t="s">
        <v>13</v>
      </c>
      <c r="N218" s="1">
        <v>12</v>
      </c>
      <c r="O218" s="1">
        <v>0.5</v>
      </c>
    </row>
    <row r="219" spans="1:15" x14ac:dyDescent="0.25">
      <c r="A219" s="4" t="s">
        <v>94</v>
      </c>
      <c r="B219" s="1">
        <v>4</v>
      </c>
      <c r="C219" s="1" t="s">
        <v>100</v>
      </c>
      <c r="D219" s="1" t="s">
        <v>12</v>
      </c>
      <c r="E219" s="1">
        <v>2</v>
      </c>
      <c r="F219" s="1">
        <v>140</v>
      </c>
      <c r="G219" s="1">
        <v>121</v>
      </c>
      <c r="H219" s="1">
        <v>48</v>
      </c>
      <c r="I219" s="2" t="s">
        <v>13</v>
      </c>
      <c r="J219" s="2" t="s">
        <v>13</v>
      </c>
      <c r="K219" s="2" t="s">
        <v>13</v>
      </c>
      <c r="L219" s="2" t="s">
        <v>13</v>
      </c>
      <c r="M219" s="2" t="s">
        <v>13</v>
      </c>
      <c r="N219" s="1">
        <v>12</v>
      </c>
      <c r="O219" s="1">
        <v>1</v>
      </c>
    </row>
    <row r="220" spans="1:15" x14ac:dyDescent="0.25">
      <c r="A220" s="4" t="s">
        <v>94</v>
      </c>
      <c r="B220" s="1">
        <v>4</v>
      </c>
      <c r="C220" s="1" t="s">
        <v>100</v>
      </c>
      <c r="D220" s="1" t="s">
        <v>12</v>
      </c>
      <c r="E220" s="1">
        <v>3</v>
      </c>
      <c r="F220" s="1">
        <v>140</v>
      </c>
      <c r="G220" s="1">
        <v>125</v>
      </c>
      <c r="H220" s="1">
        <v>48</v>
      </c>
      <c r="I220" s="2" t="s">
        <v>13</v>
      </c>
      <c r="J220" s="2" t="s">
        <v>13</v>
      </c>
      <c r="K220" s="2" t="s">
        <v>13</v>
      </c>
      <c r="L220" s="2" t="s">
        <v>13</v>
      </c>
      <c r="M220" s="2" t="s">
        <v>13</v>
      </c>
      <c r="N220" s="1">
        <v>14.5</v>
      </c>
      <c r="O220" s="1">
        <v>1</v>
      </c>
    </row>
    <row r="221" spans="1:15" x14ac:dyDescent="0.25">
      <c r="A221" s="4" t="s">
        <v>94</v>
      </c>
      <c r="B221" s="1">
        <v>4</v>
      </c>
      <c r="C221" s="1" t="s">
        <v>101</v>
      </c>
      <c r="D221" s="1" t="s">
        <v>12</v>
      </c>
      <c r="E221" s="1">
        <v>1</v>
      </c>
      <c r="F221" s="1">
        <v>111</v>
      </c>
      <c r="G221" s="1">
        <v>120</v>
      </c>
      <c r="H221" s="5">
        <v>54</v>
      </c>
      <c r="I221" s="2">
        <v>2.047276302851524</v>
      </c>
      <c r="J221" s="2" t="s">
        <v>13</v>
      </c>
      <c r="K221" s="2" t="s">
        <v>13</v>
      </c>
      <c r="L221" s="2" t="s">
        <v>13</v>
      </c>
      <c r="M221" s="2" t="s">
        <v>13</v>
      </c>
      <c r="N221" s="1">
        <v>12</v>
      </c>
      <c r="O221" s="1">
        <v>4.5</v>
      </c>
    </row>
    <row r="222" spans="1:15" x14ac:dyDescent="0.25">
      <c r="A222" s="4" t="s">
        <v>94</v>
      </c>
      <c r="B222" s="1">
        <v>4</v>
      </c>
      <c r="C222" s="1" t="s">
        <v>101</v>
      </c>
      <c r="D222" s="1" t="s">
        <v>12</v>
      </c>
      <c r="E222" s="1">
        <v>2</v>
      </c>
      <c r="F222" s="1">
        <v>86</v>
      </c>
      <c r="G222" s="1">
        <v>132</v>
      </c>
      <c r="H222" s="1">
        <v>48</v>
      </c>
      <c r="I222" s="2">
        <v>2.1696551724137936</v>
      </c>
      <c r="J222" s="2" t="s">
        <v>13</v>
      </c>
      <c r="K222" s="2" t="s">
        <v>13</v>
      </c>
      <c r="L222" s="2" t="s">
        <v>13</v>
      </c>
      <c r="M222" s="2" t="s">
        <v>13</v>
      </c>
      <c r="N222" s="1">
        <v>12</v>
      </c>
      <c r="O222" s="1">
        <v>8.5</v>
      </c>
    </row>
    <row r="223" spans="1:15" x14ac:dyDescent="0.25">
      <c r="A223" s="4" t="s">
        <v>94</v>
      </c>
      <c r="B223" s="1">
        <v>4</v>
      </c>
      <c r="C223" s="1" t="s">
        <v>101</v>
      </c>
      <c r="D223" s="1" t="s">
        <v>12</v>
      </c>
      <c r="E223" s="1">
        <v>3</v>
      </c>
      <c r="F223" s="1">
        <v>105</v>
      </c>
      <c r="G223" s="1">
        <v>128</v>
      </c>
      <c r="H223" s="1">
        <v>48</v>
      </c>
      <c r="I223" s="2">
        <v>2.8516860465116278</v>
      </c>
      <c r="J223" s="2" t="s">
        <v>13</v>
      </c>
      <c r="K223" s="2" t="s">
        <v>13</v>
      </c>
      <c r="L223" s="2" t="s">
        <v>13</v>
      </c>
      <c r="M223" s="2" t="s">
        <v>13</v>
      </c>
      <c r="N223" s="1">
        <v>11.5</v>
      </c>
      <c r="O223" s="1">
        <v>8</v>
      </c>
    </row>
    <row r="224" spans="1:15" x14ac:dyDescent="0.25">
      <c r="A224" s="4" t="s">
        <v>94</v>
      </c>
      <c r="B224" s="1">
        <v>4</v>
      </c>
      <c r="C224" s="1" t="s">
        <v>102</v>
      </c>
      <c r="D224" s="1" t="s">
        <v>12</v>
      </c>
      <c r="E224" s="1">
        <v>1</v>
      </c>
      <c r="F224" s="1">
        <v>108</v>
      </c>
      <c r="G224" s="1">
        <v>109</v>
      </c>
      <c r="H224" s="1">
        <v>36</v>
      </c>
      <c r="I224" s="2">
        <v>2.8458835143139192</v>
      </c>
      <c r="J224" s="3">
        <v>14.412087440490723</v>
      </c>
      <c r="K224" s="2">
        <v>4.7715736040612411</v>
      </c>
      <c r="L224" s="2">
        <v>0.41015122053743236</v>
      </c>
      <c r="M224" s="2">
        <v>0.13579342657133339</v>
      </c>
      <c r="N224" s="1">
        <v>15</v>
      </c>
      <c r="O224" s="1">
        <v>3</v>
      </c>
    </row>
    <row r="225" spans="1:15" x14ac:dyDescent="0.25">
      <c r="A225" s="4" t="s">
        <v>94</v>
      </c>
      <c r="B225" s="1">
        <v>4</v>
      </c>
      <c r="C225" s="1" t="s">
        <v>102</v>
      </c>
      <c r="D225" s="1" t="s">
        <v>12</v>
      </c>
      <c r="E225" s="1">
        <v>2</v>
      </c>
      <c r="F225" s="1">
        <v>109</v>
      </c>
      <c r="G225" s="1">
        <v>119</v>
      </c>
      <c r="H225" s="1">
        <v>48</v>
      </c>
      <c r="I225" s="2">
        <v>2.5832258064516127</v>
      </c>
      <c r="J225" s="3">
        <v>13.512351036071777</v>
      </c>
      <c r="K225" s="2">
        <v>4.1713827579706093</v>
      </c>
      <c r="L225" s="2">
        <v>0.34905453902213801</v>
      </c>
      <c r="M225" s="2">
        <v>0.10775623588976979</v>
      </c>
      <c r="N225" s="1">
        <v>13.5</v>
      </c>
      <c r="O225" s="1">
        <v>7</v>
      </c>
    </row>
    <row r="226" spans="1:15" x14ac:dyDescent="0.25">
      <c r="A226" s="4" t="s">
        <v>94</v>
      </c>
      <c r="B226" s="1">
        <v>4</v>
      </c>
      <c r="C226" s="1" t="s">
        <v>102</v>
      </c>
      <c r="D226" s="1" t="s">
        <v>12</v>
      </c>
      <c r="E226" s="1">
        <v>3</v>
      </c>
      <c r="F226" s="1">
        <v>109</v>
      </c>
      <c r="G226" s="1">
        <v>109</v>
      </c>
      <c r="H226" s="1">
        <v>24</v>
      </c>
      <c r="I226" s="2">
        <v>2.8265822784810126</v>
      </c>
      <c r="J226" s="3">
        <v>11.643946647644043</v>
      </c>
      <c r="K226" s="2">
        <v>3.9591376705593486</v>
      </c>
      <c r="L226" s="2">
        <v>0.32912573245809051</v>
      </c>
      <c r="M226" s="2">
        <v>0.11190828377669652</v>
      </c>
      <c r="N226" s="1">
        <v>14</v>
      </c>
      <c r="O226" s="1">
        <v>3.5</v>
      </c>
    </row>
    <row r="227" spans="1:15" x14ac:dyDescent="0.25">
      <c r="A227" s="4" t="s">
        <v>94</v>
      </c>
      <c r="B227" s="1">
        <v>5</v>
      </c>
      <c r="C227" s="1" t="s">
        <v>103</v>
      </c>
      <c r="D227" s="1" t="s">
        <v>12</v>
      </c>
      <c r="E227" s="1">
        <v>1</v>
      </c>
      <c r="F227" s="1">
        <v>111</v>
      </c>
      <c r="G227" s="1">
        <v>119</v>
      </c>
      <c r="H227" s="1">
        <v>36</v>
      </c>
      <c r="I227" s="2">
        <v>2.382858565737052</v>
      </c>
      <c r="J227" s="3">
        <v>16.169275283813477</v>
      </c>
      <c r="K227" s="2">
        <v>3.9648954075496206</v>
      </c>
      <c r="L227" s="2">
        <v>0.38529096111795347</v>
      </c>
      <c r="M227" s="2">
        <v>9.4477849841311135E-2</v>
      </c>
      <c r="N227" s="1">
        <v>11.5</v>
      </c>
      <c r="O227" s="1">
        <v>1.5</v>
      </c>
    </row>
    <row r="228" spans="1:15" x14ac:dyDescent="0.25">
      <c r="A228" s="4" t="s">
        <v>94</v>
      </c>
      <c r="B228" s="1">
        <v>5</v>
      </c>
      <c r="C228" s="1" t="s">
        <v>103</v>
      </c>
      <c r="D228" s="1" t="s">
        <v>12</v>
      </c>
      <c r="E228" s="1">
        <v>2</v>
      </c>
      <c r="F228" s="1">
        <v>113</v>
      </c>
      <c r="G228" s="1">
        <v>121</v>
      </c>
      <c r="H228" s="1">
        <v>36</v>
      </c>
      <c r="I228" s="2">
        <v>2.6471106758080314</v>
      </c>
      <c r="J228" s="3">
        <v>15.118085861206055</v>
      </c>
      <c r="K228" s="2">
        <v>3.8137629296174556</v>
      </c>
      <c r="L228" s="2">
        <v>0.40019246480981002</v>
      </c>
      <c r="M228" s="2">
        <v>0.10095452565991281</v>
      </c>
      <c r="N228" s="1">
        <v>14.5</v>
      </c>
      <c r="O228" s="1">
        <v>3</v>
      </c>
    </row>
    <row r="229" spans="1:15" x14ac:dyDescent="0.25">
      <c r="A229" s="4" t="s">
        <v>94</v>
      </c>
      <c r="B229" s="1">
        <v>5</v>
      </c>
      <c r="C229" s="1" t="s">
        <v>103</v>
      </c>
      <c r="D229" s="1" t="s">
        <v>12</v>
      </c>
      <c r="E229" s="1">
        <v>3</v>
      </c>
      <c r="F229" s="1">
        <v>118</v>
      </c>
      <c r="G229" s="1">
        <v>113</v>
      </c>
      <c r="H229" s="1">
        <v>36</v>
      </c>
      <c r="I229" s="2">
        <v>2.5980901077375123</v>
      </c>
      <c r="J229" s="3">
        <v>13.978921890258789</v>
      </c>
      <c r="K229" s="2">
        <v>4.1109523323467556</v>
      </c>
      <c r="L229" s="2">
        <v>0.36318498679916722</v>
      </c>
      <c r="M229" s="2">
        <v>0.10680624588050559</v>
      </c>
      <c r="N229" s="1">
        <v>11</v>
      </c>
      <c r="O229" s="1">
        <v>3.5</v>
      </c>
    </row>
    <row r="230" spans="1:15" x14ac:dyDescent="0.25">
      <c r="A230" s="4" t="s">
        <v>94</v>
      </c>
      <c r="B230" s="1">
        <v>4</v>
      </c>
      <c r="C230" s="1" t="s">
        <v>104</v>
      </c>
      <c r="D230" s="1" t="s">
        <v>12</v>
      </c>
      <c r="E230" s="1">
        <v>1</v>
      </c>
      <c r="F230" s="1">
        <v>137</v>
      </c>
      <c r="G230" s="1">
        <v>146</v>
      </c>
      <c r="H230" s="5">
        <v>58</v>
      </c>
      <c r="I230" s="2">
        <v>2.3251574803149606</v>
      </c>
      <c r="J230" s="3">
        <v>14.022434234619141</v>
      </c>
      <c r="K230" s="2" t="s">
        <v>13</v>
      </c>
      <c r="L230" s="2">
        <v>0.32604367852849286</v>
      </c>
      <c r="M230" s="2" t="s">
        <v>13</v>
      </c>
      <c r="N230" s="1">
        <v>11.5</v>
      </c>
      <c r="O230" s="1">
        <v>3.5</v>
      </c>
    </row>
    <row r="231" spans="1:15" x14ac:dyDescent="0.25">
      <c r="A231" s="4" t="s">
        <v>94</v>
      </c>
      <c r="B231" s="1">
        <v>4</v>
      </c>
      <c r="C231" s="1" t="s">
        <v>104</v>
      </c>
      <c r="D231" s="1" t="s">
        <v>12</v>
      </c>
      <c r="E231" s="1">
        <v>2</v>
      </c>
      <c r="F231" s="1">
        <v>122</v>
      </c>
      <c r="G231" s="1">
        <v>138</v>
      </c>
      <c r="H231" s="1">
        <v>36</v>
      </c>
      <c r="I231" s="2">
        <v>2.1245310957551826</v>
      </c>
      <c r="J231" s="3">
        <v>13.788568496704102</v>
      </c>
      <c r="K231" s="2" t="s">
        <v>13</v>
      </c>
      <c r="L231" s="2">
        <v>0.29294242537198156</v>
      </c>
      <c r="M231" s="2" t="s">
        <v>13</v>
      </c>
      <c r="N231" s="1">
        <v>10</v>
      </c>
      <c r="O231" s="1">
        <v>3</v>
      </c>
    </row>
    <row r="232" spans="1:15" x14ac:dyDescent="0.25">
      <c r="A232" s="4" t="s">
        <v>94</v>
      </c>
      <c r="B232" s="1">
        <v>4</v>
      </c>
      <c r="C232" s="1" t="s">
        <v>104</v>
      </c>
      <c r="D232" s="1" t="s">
        <v>12</v>
      </c>
      <c r="E232" s="1">
        <v>3</v>
      </c>
      <c r="F232" s="1">
        <v>118</v>
      </c>
      <c r="G232" s="1">
        <v>136</v>
      </c>
      <c r="H232" s="1">
        <v>72</v>
      </c>
      <c r="I232" s="2">
        <v>2.4801783944499505</v>
      </c>
      <c r="J232" s="3">
        <v>13.490494728088379</v>
      </c>
      <c r="K232" s="2" t="s">
        <v>13</v>
      </c>
      <c r="L232" s="2">
        <v>0.33458833555045758</v>
      </c>
      <c r="M232" s="2" t="s">
        <v>13</v>
      </c>
      <c r="N232" s="1">
        <v>11</v>
      </c>
      <c r="O232" s="1">
        <v>4</v>
      </c>
    </row>
    <row r="233" spans="1:15" x14ac:dyDescent="0.25">
      <c r="A233" s="4" t="s">
        <v>94</v>
      </c>
      <c r="B233" s="1">
        <v>5</v>
      </c>
      <c r="C233" s="1" t="s">
        <v>105</v>
      </c>
      <c r="D233" s="1" t="s">
        <v>12</v>
      </c>
      <c r="E233" s="1">
        <v>1</v>
      </c>
      <c r="F233" s="1">
        <v>116</v>
      </c>
      <c r="G233" s="1">
        <v>108</v>
      </c>
      <c r="H233" s="1">
        <v>48</v>
      </c>
      <c r="I233" s="2">
        <v>2.2941625857002936</v>
      </c>
      <c r="J233" s="3">
        <v>20.137483596801758</v>
      </c>
      <c r="K233" s="2">
        <v>4.2188040951582035</v>
      </c>
      <c r="L233" s="2">
        <v>0.46198661437935973</v>
      </c>
      <c r="M233" s="2">
        <v>9.6786225115111327E-2</v>
      </c>
      <c r="N233" s="1">
        <v>14.5</v>
      </c>
      <c r="O233" s="1">
        <v>4</v>
      </c>
    </row>
    <row r="234" spans="1:15" x14ac:dyDescent="0.25">
      <c r="A234" s="4" t="s">
        <v>94</v>
      </c>
      <c r="B234" s="1">
        <v>5</v>
      </c>
      <c r="C234" s="1" t="s">
        <v>105</v>
      </c>
      <c r="D234" s="1" t="s">
        <v>12</v>
      </c>
      <c r="E234" s="1">
        <v>2</v>
      </c>
      <c r="F234" s="1">
        <v>120</v>
      </c>
      <c r="G234" s="1">
        <v>113</v>
      </c>
      <c r="H234" s="1">
        <v>36</v>
      </c>
      <c r="I234" s="2">
        <v>2.418844317096466</v>
      </c>
      <c r="J234" s="3">
        <v>16.393707275390625</v>
      </c>
      <c r="K234" s="2">
        <v>3.9041321476526987</v>
      </c>
      <c r="L234" s="2">
        <v>0.39653825679221605</v>
      </c>
      <c r="M234" s="2">
        <v>9.4434878585433507E-2</v>
      </c>
      <c r="N234" s="1">
        <v>12</v>
      </c>
      <c r="O234" s="1">
        <v>5</v>
      </c>
    </row>
    <row r="235" spans="1:15" x14ac:dyDescent="0.25">
      <c r="A235" s="4" t="s">
        <v>94</v>
      </c>
      <c r="B235" s="1">
        <v>5</v>
      </c>
      <c r="C235" s="1" t="s">
        <v>105</v>
      </c>
      <c r="D235" s="1" t="s">
        <v>12</v>
      </c>
      <c r="E235" s="1">
        <v>3</v>
      </c>
      <c r="F235" s="1">
        <v>124</v>
      </c>
      <c r="G235" s="1">
        <v>110</v>
      </c>
      <c r="H235" s="1">
        <v>36</v>
      </c>
      <c r="I235" s="2">
        <v>2.2069291338582677</v>
      </c>
      <c r="J235" s="3">
        <v>12.933114051818848</v>
      </c>
      <c r="K235" s="2">
        <v>4.2354630294327702</v>
      </c>
      <c r="L235" s="2">
        <v>0.28542466192470761</v>
      </c>
      <c r="M235" s="2">
        <v>9.3473667550347792E-2</v>
      </c>
      <c r="N235" s="1">
        <v>14</v>
      </c>
      <c r="O235" s="1">
        <v>4</v>
      </c>
    </row>
    <row r="236" spans="1:15" x14ac:dyDescent="0.25">
      <c r="A236" s="4" t="s">
        <v>94</v>
      </c>
      <c r="B236" s="1">
        <v>4</v>
      </c>
      <c r="C236" s="1" t="s">
        <v>106</v>
      </c>
      <c r="D236" s="1" t="s">
        <v>12</v>
      </c>
      <c r="E236" s="1">
        <v>1</v>
      </c>
      <c r="F236" s="1">
        <v>114</v>
      </c>
      <c r="G236" s="1">
        <v>121</v>
      </c>
      <c r="H236" s="5">
        <v>60</v>
      </c>
      <c r="I236" s="2">
        <v>2.8004166666666666</v>
      </c>
      <c r="J236" s="2" t="s">
        <v>13</v>
      </c>
      <c r="K236" s="2">
        <v>3.8845197115509502</v>
      </c>
      <c r="L236" s="2" t="s">
        <v>13</v>
      </c>
      <c r="M236" s="2">
        <v>0.10878273742222473</v>
      </c>
      <c r="N236" s="1">
        <v>21.5</v>
      </c>
      <c r="O236" s="1">
        <v>2.5</v>
      </c>
    </row>
    <row r="237" spans="1:15" x14ac:dyDescent="0.25">
      <c r="A237" s="4" t="s">
        <v>94</v>
      </c>
      <c r="B237" s="1">
        <v>4</v>
      </c>
      <c r="C237" s="1" t="s">
        <v>106</v>
      </c>
      <c r="D237" s="1" t="s">
        <v>12</v>
      </c>
      <c r="E237" s="1">
        <v>2</v>
      </c>
      <c r="F237" s="1">
        <v>114</v>
      </c>
      <c r="G237" s="1">
        <v>128</v>
      </c>
      <c r="H237" s="1">
        <v>84</v>
      </c>
      <c r="I237" s="2">
        <v>2.906437440305635</v>
      </c>
      <c r="J237" s="2" t="s">
        <v>13</v>
      </c>
      <c r="K237" s="2">
        <v>4.2384605709979368</v>
      </c>
      <c r="L237" s="2" t="s">
        <v>13</v>
      </c>
      <c r="M237" s="2">
        <v>0.12318820492807603</v>
      </c>
      <c r="N237" s="1">
        <v>15</v>
      </c>
      <c r="O237" s="1">
        <v>5</v>
      </c>
    </row>
    <row r="238" spans="1:15" x14ac:dyDescent="0.25">
      <c r="A238" s="4" t="s">
        <v>94</v>
      </c>
      <c r="B238" s="1">
        <v>4</v>
      </c>
      <c r="C238" s="1" t="s">
        <v>106</v>
      </c>
      <c r="D238" s="1" t="s">
        <v>12</v>
      </c>
      <c r="E238" s="1">
        <v>3</v>
      </c>
      <c r="F238" s="1">
        <v>114</v>
      </c>
      <c r="G238" s="1">
        <v>130</v>
      </c>
      <c r="H238" s="1">
        <v>48</v>
      </c>
      <c r="I238" s="2">
        <v>2.9304637681159416</v>
      </c>
      <c r="J238" s="2" t="s">
        <v>13</v>
      </c>
      <c r="K238" s="2">
        <v>3.753630744022955</v>
      </c>
      <c r="L238" s="2" t="s">
        <v>13</v>
      </c>
      <c r="M238" s="2">
        <v>0.10999878894245355</v>
      </c>
      <c r="N238" s="1">
        <v>21</v>
      </c>
      <c r="O238" s="1">
        <v>9</v>
      </c>
    </row>
    <row r="239" spans="1:15" x14ac:dyDescent="0.25">
      <c r="A239" s="4" t="s">
        <v>94</v>
      </c>
      <c r="B239" s="1">
        <v>4</v>
      </c>
      <c r="C239" s="1" t="s">
        <v>107</v>
      </c>
      <c r="D239" s="1" t="s">
        <v>12</v>
      </c>
      <c r="E239" s="1">
        <v>1</v>
      </c>
      <c r="F239" s="1">
        <v>118</v>
      </c>
      <c r="G239" s="1">
        <v>99</v>
      </c>
      <c r="H239" s="1">
        <v>24</v>
      </c>
      <c r="I239" s="2">
        <v>2.6138872403560836</v>
      </c>
      <c r="J239" s="2" t="s">
        <v>13</v>
      </c>
      <c r="K239" s="2" t="s">
        <v>13</v>
      </c>
      <c r="L239" s="2" t="s">
        <v>13</v>
      </c>
      <c r="M239" s="2" t="s">
        <v>13</v>
      </c>
      <c r="N239" s="2" t="s">
        <v>13</v>
      </c>
      <c r="O239" s="2" t="s">
        <v>13</v>
      </c>
    </row>
    <row r="240" spans="1:15" x14ac:dyDescent="0.25">
      <c r="A240" s="4" t="s">
        <v>94</v>
      </c>
      <c r="B240" s="1">
        <v>4</v>
      </c>
      <c r="C240" s="1" t="s">
        <v>107</v>
      </c>
      <c r="D240" s="1" t="s">
        <v>12</v>
      </c>
      <c r="E240" s="1">
        <v>2</v>
      </c>
      <c r="F240" s="1">
        <v>128</v>
      </c>
      <c r="G240" s="1">
        <v>98</v>
      </c>
      <c r="H240" s="1">
        <v>0</v>
      </c>
      <c r="I240" s="2">
        <v>3.1137786640079765</v>
      </c>
      <c r="J240" s="2" t="s">
        <v>13</v>
      </c>
      <c r="K240" s="2" t="s">
        <v>13</v>
      </c>
      <c r="L240" s="2" t="s">
        <v>13</v>
      </c>
      <c r="M240" s="2" t="s">
        <v>13</v>
      </c>
      <c r="N240" s="2" t="s">
        <v>13</v>
      </c>
      <c r="O240" s="2" t="s">
        <v>13</v>
      </c>
    </row>
    <row r="241" spans="1:15" x14ac:dyDescent="0.25">
      <c r="A241" s="4" t="s">
        <v>94</v>
      </c>
      <c r="B241" s="1">
        <v>4</v>
      </c>
      <c r="C241" s="1" t="s">
        <v>107</v>
      </c>
      <c r="D241" s="1" t="s">
        <v>12</v>
      </c>
      <c r="E241" s="1">
        <v>3</v>
      </c>
      <c r="F241" s="1">
        <v>118</v>
      </c>
      <c r="G241" s="1">
        <v>85</v>
      </c>
      <c r="H241" s="1">
        <v>12</v>
      </c>
      <c r="I241" s="2">
        <v>3.1454347826086959</v>
      </c>
      <c r="J241" s="2" t="s">
        <v>13</v>
      </c>
      <c r="K241" s="2" t="s">
        <v>13</v>
      </c>
      <c r="L241" s="2" t="s">
        <v>13</v>
      </c>
      <c r="M241" s="2" t="s">
        <v>13</v>
      </c>
      <c r="N241" s="2" t="s">
        <v>13</v>
      </c>
      <c r="O241" s="2" t="s">
        <v>13</v>
      </c>
    </row>
    <row r="242" spans="1:15" x14ac:dyDescent="0.25">
      <c r="A242" s="4" t="s">
        <v>94</v>
      </c>
      <c r="B242" s="1">
        <v>4</v>
      </c>
      <c r="C242" s="1" t="s">
        <v>108</v>
      </c>
      <c r="D242" s="1" t="s">
        <v>12</v>
      </c>
      <c r="E242" s="1">
        <v>1</v>
      </c>
      <c r="F242" s="1">
        <v>105</v>
      </c>
      <c r="G242" s="1">
        <v>136</v>
      </c>
      <c r="H242" s="1">
        <v>108</v>
      </c>
      <c r="I242" s="2">
        <v>2.5049272550921438</v>
      </c>
      <c r="J242" s="3">
        <v>9.0338125228881836</v>
      </c>
      <c r="K242" s="2">
        <v>3.2527835853546816</v>
      </c>
      <c r="L242" s="2">
        <v>0.22629043205975333</v>
      </c>
      <c r="M242" s="2">
        <v>8.1479862578712842E-2</v>
      </c>
      <c r="N242" s="1">
        <v>13</v>
      </c>
      <c r="O242" s="1">
        <v>6</v>
      </c>
    </row>
    <row r="243" spans="1:15" x14ac:dyDescent="0.25">
      <c r="A243" s="4" t="s">
        <v>94</v>
      </c>
      <c r="B243" s="1">
        <v>4</v>
      </c>
      <c r="C243" s="1" t="s">
        <v>108</v>
      </c>
      <c r="D243" s="1" t="s">
        <v>12</v>
      </c>
      <c r="E243" s="1">
        <v>2</v>
      </c>
      <c r="F243" s="1">
        <v>103</v>
      </c>
      <c r="G243" s="1">
        <v>135</v>
      </c>
      <c r="H243" s="1">
        <v>96</v>
      </c>
      <c r="I243" s="2">
        <v>2.4486301369863011</v>
      </c>
      <c r="J243" s="3">
        <v>9.3904104232788086</v>
      </c>
      <c r="K243" s="2">
        <v>3.0354372986520985</v>
      </c>
      <c r="L243" s="2">
        <v>0.22993641961110778</v>
      </c>
      <c r="M243" s="2">
        <v>7.4326632484118152E-2</v>
      </c>
      <c r="N243" s="1">
        <v>15</v>
      </c>
      <c r="O243" s="1">
        <v>10</v>
      </c>
    </row>
    <row r="244" spans="1:15" x14ac:dyDescent="0.25">
      <c r="A244" s="4" t="s">
        <v>94</v>
      </c>
      <c r="B244" s="1">
        <v>4</v>
      </c>
      <c r="C244" s="1" t="s">
        <v>108</v>
      </c>
      <c r="D244" s="1" t="s">
        <v>12</v>
      </c>
      <c r="E244" s="1">
        <v>3</v>
      </c>
      <c r="F244" s="1">
        <v>111</v>
      </c>
      <c r="G244" s="1">
        <v>135</v>
      </c>
      <c r="H244" s="1">
        <v>60</v>
      </c>
      <c r="I244" s="2">
        <v>2.5532753623188404</v>
      </c>
      <c r="J244" s="3">
        <v>13.114645004272461</v>
      </c>
      <c r="K244" s="2">
        <v>3.4550303259150836</v>
      </c>
      <c r="L244" s="2">
        <v>0.33485299974966737</v>
      </c>
      <c r="M244" s="2">
        <v>8.8216438072234171E-2</v>
      </c>
      <c r="N244" s="1">
        <v>15.5</v>
      </c>
      <c r="O244" s="1">
        <v>6.5</v>
      </c>
    </row>
    <row r="245" spans="1:15" x14ac:dyDescent="0.25">
      <c r="A245" s="4" t="s">
        <v>94</v>
      </c>
      <c r="B245" s="1">
        <v>4</v>
      </c>
      <c r="C245" s="1" t="s">
        <v>109</v>
      </c>
      <c r="D245" s="1" t="s">
        <v>12</v>
      </c>
      <c r="E245" s="1">
        <v>1</v>
      </c>
      <c r="F245" s="1">
        <v>120</v>
      </c>
      <c r="G245" s="1">
        <v>125</v>
      </c>
      <c r="H245" s="1">
        <v>60</v>
      </c>
      <c r="I245" s="2">
        <v>2.6321505376344083</v>
      </c>
      <c r="J245" s="3">
        <v>10.799895286560059</v>
      </c>
      <c r="K245" s="2">
        <v>2.8320740921275189</v>
      </c>
      <c r="L245" s="2">
        <v>0.28426950184914368</v>
      </c>
      <c r="M245" s="2">
        <v>7.454445344213928E-2</v>
      </c>
      <c r="N245" s="1">
        <v>19</v>
      </c>
      <c r="O245" s="1">
        <v>1.5</v>
      </c>
    </row>
    <row r="246" spans="1:15" x14ac:dyDescent="0.25">
      <c r="A246" s="4" t="s">
        <v>94</v>
      </c>
      <c r="B246" s="1">
        <v>4</v>
      </c>
      <c r="C246" s="1" t="s">
        <v>109</v>
      </c>
      <c r="D246" s="1" t="s">
        <v>12</v>
      </c>
      <c r="E246" s="1">
        <v>2</v>
      </c>
      <c r="F246" s="1">
        <v>121</v>
      </c>
      <c r="G246" s="1">
        <v>126</v>
      </c>
      <c r="H246" s="1">
        <v>60</v>
      </c>
      <c r="I246" s="2">
        <v>2.4233695652173917</v>
      </c>
      <c r="J246" s="3">
        <v>11.989435195922852</v>
      </c>
      <c r="K246" s="2">
        <v>2.6726057906461169</v>
      </c>
      <c r="L246" s="2">
        <v>0.29054832357945654</v>
      </c>
      <c r="M246" s="2">
        <v>6.4767115328755634E-2</v>
      </c>
      <c r="N246" s="1">
        <v>14.5</v>
      </c>
      <c r="O246" s="1">
        <v>2.5</v>
      </c>
    </row>
    <row r="247" spans="1:15" x14ac:dyDescent="0.25">
      <c r="A247" s="4" t="s">
        <v>94</v>
      </c>
      <c r="B247" s="1">
        <v>4</v>
      </c>
      <c r="C247" s="1" t="s">
        <v>109</v>
      </c>
      <c r="D247" s="1" t="s">
        <v>12</v>
      </c>
      <c r="E247" s="1">
        <v>3</v>
      </c>
      <c r="F247" s="1">
        <v>118</v>
      </c>
      <c r="G247" s="1">
        <v>111</v>
      </c>
      <c r="H247" s="1">
        <v>48</v>
      </c>
      <c r="I247" s="2">
        <v>2.4098148148148151</v>
      </c>
      <c r="J247" s="3">
        <v>14.702360153198242</v>
      </c>
      <c r="K247" s="2">
        <v>2.714605275421802</v>
      </c>
      <c r="L247" s="2">
        <v>0.35429965309920142</v>
      </c>
      <c r="M247" s="2">
        <v>6.5416960090859094E-2</v>
      </c>
      <c r="N247" s="1">
        <v>13</v>
      </c>
      <c r="O247" s="1">
        <v>0.5</v>
      </c>
    </row>
    <row r="248" spans="1:15" x14ac:dyDescent="0.25">
      <c r="A248" s="4" t="s">
        <v>94</v>
      </c>
      <c r="B248" s="1">
        <v>4</v>
      </c>
      <c r="C248" s="1" t="s">
        <v>110</v>
      </c>
      <c r="D248" s="1" t="s">
        <v>12</v>
      </c>
      <c r="E248" s="1">
        <v>1</v>
      </c>
      <c r="F248" s="1">
        <v>119</v>
      </c>
      <c r="G248" s="1">
        <v>132</v>
      </c>
      <c r="H248" s="1">
        <v>96</v>
      </c>
      <c r="I248" s="2">
        <v>2.5219747081712058</v>
      </c>
      <c r="J248" s="3">
        <v>14.579607963562012</v>
      </c>
      <c r="K248" s="2">
        <v>4.7601274012146035</v>
      </c>
      <c r="L248" s="2">
        <v>0.36769402539154888</v>
      </c>
      <c r="M248" s="2">
        <v>0.1200492091353596</v>
      </c>
      <c r="N248" s="1">
        <v>15</v>
      </c>
      <c r="O248" s="1">
        <v>2.5</v>
      </c>
    </row>
    <row r="249" spans="1:15" x14ac:dyDescent="0.25">
      <c r="A249" s="4" t="s">
        <v>94</v>
      </c>
      <c r="B249" s="1">
        <v>4</v>
      </c>
      <c r="C249" s="1" t="s">
        <v>110</v>
      </c>
      <c r="D249" s="1" t="s">
        <v>12</v>
      </c>
      <c r="E249" s="1">
        <v>2</v>
      </c>
      <c r="F249" s="1">
        <v>118</v>
      </c>
      <c r="G249" s="1">
        <v>138</v>
      </c>
      <c r="H249" s="1">
        <v>72</v>
      </c>
      <c r="I249" s="2">
        <v>2.3922037218413323</v>
      </c>
      <c r="J249" s="3">
        <v>15.201328277587891</v>
      </c>
      <c r="K249" s="2">
        <v>4.0038429206201531</v>
      </c>
      <c r="L249" s="2">
        <v>0.36364674082577647</v>
      </c>
      <c r="M249" s="2">
        <v>9.5780079363756002E-2</v>
      </c>
      <c r="N249" s="1">
        <v>14</v>
      </c>
      <c r="O249" s="1">
        <v>1.5</v>
      </c>
    </row>
    <row r="250" spans="1:15" x14ac:dyDescent="0.25">
      <c r="A250" s="4" t="s">
        <v>94</v>
      </c>
      <c r="B250" s="1">
        <v>4</v>
      </c>
      <c r="C250" s="1" t="s">
        <v>110</v>
      </c>
      <c r="D250" s="1" t="s">
        <v>12</v>
      </c>
      <c r="E250" s="1">
        <v>3</v>
      </c>
      <c r="F250" s="1">
        <v>114</v>
      </c>
      <c r="G250" s="1">
        <v>127</v>
      </c>
      <c r="H250" s="1">
        <v>84</v>
      </c>
      <c r="I250" s="2">
        <v>2.6271455938697321</v>
      </c>
      <c r="J250" s="3">
        <v>15.835891723632813</v>
      </c>
      <c r="K250" s="2">
        <v>3.7315503973758752</v>
      </c>
      <c r="L250" s="2">
        <v>0.41603193166740099</v>
      </c>
      <c r="M250" s="2">
        <v>9.8033261847688791E-2</v>
      </c>
      <c r="N250" s="1">
        <v>12.5</v>
      </c>
      <c r="O250" s="1">
        <v>2</v>
      </c>
    </row>
    <row r="251" spans="1:15" x14ac:dyDescent="0.25">
      <c r="A251" s="4" t="s">
        <v>94</v>
      </c>
      <c r="B251" s="1">
        <v>5</v>
      </c>
      <c r="C251" s="1" t="s">
        <v>111</v>
      </c>
      <c r="D251" s="1" t="s">
        <v>12</v>
      </c>
      <c r="E251" s="1">
        <v>1</v>
      </c>
      <c r="F251" s="1">
        <v>107</v>
      </c>
      <c r="G251" s="1">
        <v>144</v>
      </c>
      <c r="H251" s="1">
        <v>36</v>
      </c>
      <c r="I251" s="2">
        <v>2.8047821782178217</v>
      </c>
      <c r="J251" s="3">
        <v>13.840368270874023</v>
      </c>
      <c r="K251" s="2">
        <v>4.0801362410706563</v>
      </c>
      <c r="L251" s="2">
        <v>0.38819218266118871</v>
      </c>
      <c r="M251" s="2">
        <v>0.1144389341365563</v>
      </c>
      <c r="N251" s="1">
        <v>11</v>
      </c>
      <c r="O251" s="1">
        <v>3</v>
      </c>
    </row>
    <row r="252" spans="1:15" x14ac:dyDescent="0.25">
      <c r="A252" s="4" t="s">
        <v>94</v>
      </c>
      <c r="B252" s="1">
        <v>5</v>
      </c>
      <c r="C252" s="1" t="s">
        <v>111</v>
      </c>
      <c r="D252" s="1" t="s">
        <v>12</v>
      </c>
      <c r="E252" s="1">
        <v>2</v>
      </c>
      <c r="F252" s="1">
        <v>109</v>
      </c>
      <c r="G252" s="1">
        <v>140</v>
      </c>
      <c r="H252" s="1">
        <v>12</v>
      </c>
      <c r="I252" s="2">
        <v>3.098099902056807</v>
      </c>
      <c r="J252" s="3">
        <v>16.678874969482422</v>
      </c>
      <c r="K252" s="2">
        <v>4.0523527874773135</v>
      </c>
      <c r="L252" s="2">
        <v>0.5167282090937122</v>
      </c>
      <c r="M252" s="2">
        <v>0.12554593773983092</v>
      </c>
      <c r="N252" s="1">
        <v>13.5</v>
      </c>
      <c r="O252" s="1">
        <v>1</v>
      </c>
    </row>
    <row r="253" spans="1:15" x14ac:dyDescent="0.25">
      <c r="A253" s="4" t="s">
        <v>94</v>
      </c>
      <c r="B253" s="1">
        <v>5</v>
      </c>
      <c r="C253" s="1" t="s">
        <v>111</v>
      </c>
      <c r="D253" s="1" t="s">
        <v>12</v>
      </c>
      <c r="E253" s="1">
        <v>3</v>
      </c>
      <c r="F253" s="1">
        <v>109</v>
      </c>
      <c r="G253" s="1">
        <v>150</v>
      </c>
      <c r="H253" s="1">
        <v>24</v>
      </c>
      <c r="I253" s="2">
        <v>3.1251655629139075</v>
      </c>
      <c r="J253" s="3">
        <v>14.78993034362793</v>
      </c>
      <c r="K253" s="2">
        <v>3.5548934219574702</v>
      </c>
      <c r="L253" s="2">
        <v>0.46220980987801463</v>
      </c>
      <c r="M253" s="2">
        <v>0.11109630502130664</v>
      </c>
      <c r="N253" s="1">
        <v>11</v>
      </c>
      <c r="O253" s="1">
        <v>7</v>
      </c>
    </row>
    <row r="254" spans="1:15" x14ac:dyDescent="0.25">
      <c r="A254" s="4" t="s">
        <v>94</v>
      </c>
      <c r="B254" s="1">
        <v>4</v>
      </c>
      <c r="C254" s="1" t="s">
        <v>112</v>
      </c>
      <c r="D254" s="1" t="s">
        <v>12</v>
      </c>
      <c r="E254" s="1">
        <v>1</v>
      </c>
      <c r="F254" s="1">
        <v>107</v>
      </c>
      <c r="G254" s="1">
        <v>132</v>
      </c>
      <c r="H254" s="1">
        <v>84</v>
      </c>
      <c r="I254" s="2">
        <v>2.4506219151036523</v>
      </c>
      <c r="J254" s="3">
        <v>10.81941032409668</v>
      </c>
      <c r="K254" s="2">
        <v>3.9259041989126282</v>
      </c>
      <c r="L254" s="2">
        <v>0.26514284048730036</v>
      </c>
      <c r="M254" s="2">
        <v>9.6209068664527345E-2</v>
      </c>
      <c r="N254" s="1">
        <v>19</v>
      </c>
      <c r="O254" s="1">
        <v>2</v>
      </c>
    </row>
    <row r="255" spans="1:15" x14ac:dyDescent="0.25">
      <c r="A255" s="4" t="s">
        <v>94</v>
      </c>
      <c r="B255" s="1">
        <v>4</v>
      </c>
      <c r="C255" s="1" t="s">
        <v>112</v>
      </c>
      <c r="D255" s="1" t="s">
        <v>12</v>
      </c>
      <c r="E255" s="1">
        <v>2</v>
      </c>
      <c r="F255" s="1">
        <v>108</v>
      </c>
      <c r="G255" s="1">
        <v>126</v>
      </c>
      <c r="H255" s="5">
        <v>54</v>
      </c>
      <c r="I255" s="2">
        <v>2.7398913043478261</v>
      </c>
      <c r="J255" s="3">
        <v>12.165926933288574</v>
      </c>
      <c r="K255" s="2">
        <v>3.3598274366371395</v>
      </c>
      <c r="L255" s="2">
        <v>0.33333317413848379</v>
      </c>
      <c r="M255" s="2">
        <v>9.2055619777513462E-2</v>
      </c>
      <c r="N255" s="1">
        <v>16</v>
      </c>
      <c r="O255" s="1">
        <v>2</v>
      </c>
    </row>
    <row r="256" spans="1:15" x14ac:dyDescent="0.25">
      <c r="A256" s="4" t="s">
        <v>94</v>
      </c>
      <c r="B256" s="1">
        <v>4</v>
      </c>
      <c r="C256" s="1" t="s">
        <v>112</v>
      </c>
      <c r="D256" s="1" t="s">
        <v>12</v>
      </c>
      <c r="E256" s="1">
        <v>3</v>
      </c>
      <c r="F256" s="1">
        <v>111</v>
      </c>
      <c r="G256" s="1">
        <v>123</v>
      </c>
      <c r="H256" s="1">
        <v>48</v>
      </c>
      <c r="J256" s="3">
        <v>11.196000099182129</v>
      </c>
      <c r="K256" s="2">
        <v>3.5347722949015266</v>
      </c>
      <c r="L256" s="2">
        <v>0</v>
      </c>
      <c r="M256" s="2">
        <v>0</v>
      </c>
      <c r="N256" s="1">
        <v>21</v>
      </c>
      <c r="O256" s="1">
        <v>5.5</v>
      </c>
    </row>
    <row r="257" spans="1:15" x14ac:dyDescent="0.25">
      <c r="A257" s="4" t="s">
        <v>94</v>
      </c>
      <c r="B257" s="1">
        <v>4</v>
      </c>
      <c r="C257" s="1" t="s">
        <v>113</v>
      </c>
      <c r="D257" s="1" t="s">
        <v>12</v>
      </c>
      <c r="E257" s="1">
        <v>1</v>
      </c>
      <c r="F257" s="1">
        <v>109</v>
      </c>
      <c r="G257" s="1">
        <v>120</v>
      </c>
      <c r="H257" s="1">
        <v>36</v>
      </c>
      <c r="I257" s="2">
        <v>2.5394100294985251</v>
      </c>
      <c r="J257" s="3">
        <v>13.263683319091797</v>
      </c>
      <c r="K257" s="2">
        <v>3.6149988773290045</v>
      </c>
      <c r="L257" s="2">
        <v>0.33681930448593994</v>
      </c>
      <c r="M257" s="2">
        <v>9.1799644057151825E-2</v>
      </c>
      <c r="N257" s="1">
        <v>15</v>
      </c>
      <c r="O257" s="1">
        <v>3</v>
      </c>
    </row>
    <row r="258" spans="1:15" x14ac:dyDescent="0.25">
      <c r="A258" s="4" t="s">
        <v>94</v>
      </c>
      <c r="B258" s="1">
        <v>4</v>
      </c>
      <c r="C258" s="1" t="s">
        <v>113</v>
      </c>
      <c r="D258" s="1" t="s">
        <v>12</v>
      </c>
      <c r="E258" s="1">
        <v>2</v>
      </c>
      <c r="F258" s="1">
        <v>109</v>
      </c>
      <c r="G258" s="1">
        <v>117</v>
      </c>
      <c r="H258" s="1">
        <v>48</v>
      </c>
      <c r="I258" s="2">
        <v>2.61513698630137</v>
      </c>
      <c r="J258" s="3">
        <v>13.251766204833984</v>
      </c>
      <c r="K258" s="2">
        <v>3.3961431966870874</v>
      </c>
      <c r="L258" s="2">
        <v>0.34655183936079886</v>
      </c>
      <c r="M258" s="2">
        <v>8.881379684432171E-2</v>
      </c>
      <c r="N258" s="1">
        <v>14.5</v>
      </c>
      <c r="O258" s="1">
        <v>3</v>
      </c>
    </row>
    <row r="259" spans="1:15" x14ac:dyDescent="0.25">
      <c r="A259" s="4" t="s">
        <v>94</v>
      </c>
      <c r="B259" s="1">
        <v>4</v>
      </c>
      <c r="C259" s="1" t="s">
        <v>113</v>
      </c>
      <c r="D259" s="1" t="s">
        <v>12</v>
      </c>
      <c r="E259" s="1">
        <v>3</v>
      </c>
      <c r="F259" s="1">
        <v>112</v>
      </c>
      <c r="G259" s="1">
        <v>135</v>
      </c>
      <c r="H259" s="1">
        <v>72</v>
      </c>
      <c r="I259" s="2">
        <v>2.3847352941176472</v>
      </c>
      <c r="J259" s="3">
        <v>14.188222885131836</v>
      </c>
      <c r="K259" s="2">
        <v>3.4459702720769982</v>
      </c>
      <c r="L259" s="2">
        <v>0.33835155874981598</v>
      </c>
      <c r="M259" s="2">
        <v>8.2177269303022091E-2</v>
      </c>
      <c r="N259" s="1">
        <v>10</v>
      </c>
      <c r="O259" s="1">
        <v>6</v>
      </c>
    </row>
    <row r="260" spans="1:15" x14ac:dyDescent="0.25">
      <c r="A260" s="4" t="s">
        <v>94</v>
      </c>
      <c r="B260" s="1">
        <v>4</v>
      </c>
      <c r="C260" s="1" t="s">
        <v>114</v>
      </c>
      <c r="D260" s="1" t="s">
        <v>12</v>
      </c>
      <c r="E260" s="1">
        <v>1</v>
      </c>
      <c r="F260" s="1">
        <v>118</v>
      </c>
      <c r="G260" s="1">
        <v>125</v>
      </c>
      <c r="H260" s="1">
        <v>72</v>
      </c>
      <c r="I260" s="2">
        <v>2.4608325171400582</v>
      </c>
      <c r="J260" s="3">
        <v>15.869077682495117</v>
      </c>
      <c r="K260" s="2">
        <v>3.527227722772118</v>
      </c>
      <c r="L260" s="2">
        <v>0.3905114237810558</v>
      </c>
      <c r="M260" s="2">
        <v>8.679916675555506E-2</v>
      </c>
      <c r="N260" s="1">
        <v>15</v>
      </c>
      <c r="O260" s="1">
        <v>3.5</v>
      </c>
    </row>
    <row r="261" spans="1:15" x14ac:dyDescent="0.25">
      <c r="A261" s="4" t="s">
        <v>94</v>
      </c>
      <c r="B261" s="1">
        <v>4</v>
      </c>
      <c r="C261" s="1" t="s">
        <v>114</v>
      </c>
      <c r="D261" s="1" t="s">
        <v>12</v>
      </c>
      <c r="E261" s="1">
        <v>2</v>
      </c>
      <c r="F261" s="1">
        <v>115</v>
      </c>
      <c r="G261" s="1">
        <v>118</v>
      </c>
      <c r="H261" s="1">
        <v>84</v>
      </c>
      <c r="I261" s="2">
        <v>2.5198612487611496</v>
      </c>
      <c r="J261" s="3">
        <v>15.554248809814453</v>
      </c>
      <c r="K261" s="2">
        <v>3.2489549465864251</v>
      </c>
      <c r="L261" s="2">
        <v>0.39194548829440673</v>
      </c>
      <c r="M261" s="2">
        <v>8.1869156688739828E-2</v>
      </c>
      <c r="N261" s="1">
        <v>16</v>
      </c>
      <c r="O261" s="1">
        <v>4.5</v>
      </c>
    </row>
    <row r="262" spans="1:15" x14ac:dyDescent="0.25">
      <c r="A262" s="4" t="s">
        <v>94</v>
      </c>
      <c r="B262" s="1">
        <v>4</v>
      </c>
      <c r="C262" s="1" t="s">
        <v>114</v>
      </c>
      <c r="D262" s="1" t="s">
        <v>12</v>
      </c>
      <c r="E262" s="1">
        <v>3</v>
      </c>
      <c r="F262" s="1">
        <v>114</v>
      </c>
      <c r="G262" s="1">
        <v>122</v>
      </c>
      <c r="H262" s="1">
        <v>60</v>
      </c>
      <c r="I262" s="2">
        <v>2.5711960784313725</v>
      </c>
      <c r="J262" s="3">
        <v>12.593786239624023</v>
      </c>
      <c r="K262" s="2">
        <v>3.2334913842953195</v>
      </c>
      <c r="L262" s="2">
        <v>0.32381093791924276</v>
      </c>
      <c r="M262" s="2">
        <v>8.313940366941755E-2</v>
      </c>
      <c r="N262" s="1">
        <v>15</v>
      </c>
      <c r="O262" s="1">
        <v>1</v>
      </c>
    </row>
    <row r="263" spans="1:15" x14ac:dyDescent="0.25">
      <c r="A263" s="4" t="s">
        <v>94</v>
      </c>
      <c r="B263" s="1">
        <v>5</v>
      </c>
      <c r="C263" s="1" t="s">
        <v>115</v>
      </c>
      <c r="D263" s="1" t="s">
        <v>12</v>
      </c>
      <c r="E263" s="1">
        <v>1</v>
      </c>
      <c r="F263" s="1">
        <v>104</v>
      </c>
      <c r="G263" s="1">
        <v>134</v>
      </c>
      <c r="H263" s="1">
        <v>108</v>
      </c>
      <c r="I263" s="2">
        <v>2.1963689320388347</v>
      </c>
      <c r="J263" s="3">
        <v>15.811750411987305</v>
      </c>
      <c r="K263" s="2">
        <v>4.232492997199266</v>
      </c>
      <c r="L263" s="2">
        <v>0.34728437366041159</v>
      </c>
      <c r="M263" s="2">
        <v>9.2961161241203974E-2</v>
      </c>
      <c r="N263" s="1">
        <v>11</v>
      </c>
      <c r="O263" s="1">
        <v>8</v>
      </c>
    </row>
    <row r="264" spans="1:15" x14ac:dyDescent="0.25">
      <c r="A264" s="4" t="s">
        <v>94</v>
      </c>
      <c r="B264" s="1">
        <v>5</v>
      </c>
      <c r="C264" s="1" t="s">
        <v>115</v>
      </c>
      <c r="D264" s="1" t="s">
        <v>12</v>
      </c>
      <c r="E264" s="1">
        <v>2</v>
      </c>
      <c r="F264" s="1">
        <v>109</v>
      </c>
      <c r="G264" s="1">
        <v>127</v>
      </c>
      <c r="H264" s="1">
        <v>72</v>
      </c>
      <c r="I264" s="2">
        <v>2.0315862068965518</v>
      </c>
      <c r="J264" s="3">
        <v>16.130899429321289</v>
      </c>
      <c r="K264" s="2">
        <v>3.7966694178761662</v>
      </c>
      <c r="L264" s="2">
        <v>0.3277131278544459</v>
      </c>
      <c r="M264" s="2">
        <v>7.7132612215031801E-2</v>
      </c>
      <c r="N264" s="1">
        <v>11</v>
      </c>
      <c r="O264" s="1">
        <v>5</v>
      </c>
    </row>
    <row r="265" spans="1:15" x14ac:dyDescent="0.25">
      <c r="A265" s="4" t="s">
        <v>94</v>
      </c>
      <c r="B265" s="1">
        <v>5</v>
      </c>
      <c r="C265" s="1" t="s">
        <v>115</v>
      </c>
      <c r="D265" s="1" t="s">
        <v>12</v>
      </c>
      <c r="E265" s="1">
        <v>3</v>
      </c>
      <c r="F265" s="1">
        <v>109</v>
      </c>
      <c r="G265" s="1">
        <v>116</v>
      </c>
      <c r="H265" s="1">
        <v>72</v>
      </c>
      <c r="I265" s="2">
        <v>2.3945490196078429</v>
      </c>
      <c r="J265" s="3">
        <v>15.192031860351563</v>
      </c>
      <c r="K265" s="2">
        <v>4.4458329328078987</v>
      </c>
      <c r="L265" s="2">
        <v>0.36378064997055948</v>
      </c>
      <c r="M265" s="2">
        <v>0.10645764890595415</v>
      </c>
      <c r="N265" s="1">
        <v>10.5</v>
      </c>
      <c r="O265" s="1">
        <v>9</v>
      </c>
    </row>
    <row r="266" spans="1:15" x14ac:dyDescent="0.25">
      <c r="A266" s="4" t="s">
        <v>94</v>
      </c>
      <c r="B266" s="1">
        <v>4</v>
      </c>
      <c r="C266" s="1" t="s">
        <v>116</v>
      </c>
      <c r="D266" s="1" t="s">
        <v>12</v>
      </c>
      <c r="E266" s="1">
        <v>1</v>
      </c>
      <c r="F266" s="1">
        <v>128</v>
      </c>
      <c r="G266" s="1">
        <v>133</v>
      </c>
      <c r="H266" s="1">
        <v>96</v>
      </c>
      <c r="I266" s="2">
        <v>2.5609241245136185</v>
      </c>
      <c r="J266" s="3">
        <v>16.56995964050293</v>
      </c>
      <c r="K266" s="2">
        <v>3.6614301056471565</v>
      </c>
      <c r="L266" s="2">
        <v>0.42434409385580957</v>
      </c>
      <c r="M266" s="2">
        <v>9.3766446877722495E-2</v>
      </c>
      <c r="N266" s="1">
        <v>12</v>
      </c>
      <c r="O266" s="1">
        <v>5.5</v>
      </c>
    </row>
    <row r="267" spans="1:15" x14ac:dyDescent="0.25">
      <c r="A267" s="4" t="s">
        <v>94</v>
      </c>
      <c r="B267" s="1">
        <v>4</v>
      </c>
      <c r="C267" s="1" t="s">
        <v>116</v>
      </c>
      <c r="D267" s="1" t="s">
        <v>12</v>
      </c>
      <c r="E267" s="1">
        <v>2</v>
      </c>
      <c r="F267" s="1">
        <v>137</v>
      </c>
      <c r="G267" s="1">
        <v>124</v>
      </c>
      <c r="H267" s="1">
        <v>96</v>
      </c>
      <c r="I267" s="2">
        <v>2.2584703632887186</v>
      </c>
      <c r="J267" s="3">
        <v>16.786523818969727</v>
      </c>
      <c r="K267" s="2">
        <v>3.3887909223344561</v>
      </c>
      <c r="L267" s="2">
        <v>0.37911866547783285</v>
      </c>
      <c r="M267" s="2">
        <v>7.6534838654742102E-2</v>
      </c>
      <c r="N267" s="1">
        <v>11.5</v>
      </c>
      <c r="O267" s="1">
        <v>4.5</v>
      </c>
    </row>
    <row r="268" spans="1:15" x14ac:dyDescent="0.25">
      <c r="A268" s="4" t="s">
        <v>94</v>
      </c>
      <c r="B268" s="1">
        <v>4</v>
      </c>
      <c r="C268" s="1" t="s">
        <v>116</v>
      </c>
      <c r="D268" s="1" t="s">
        <v>12</v>
      </c>
      <c r="E268" s="1">
        <v>3</v>
      </c>
      <c r="F268" s="1">
        <v>127</v>
      </c>
      <c r="G268" s="1">
        <v>126</v>
      </c>
      <c r="H268" s="1">
        <v>72</v>
      </c>
      <c r="I268" s="2">
        <v>2.252001982160555</v>
      </c>
      <c r="J268" s="3">
        <v>14.576180458068848</v>
      </c>
      <c r="K268" s="2">
        <v>3.4954407294836702</v>
      </c>
      <c r="L268" s="2">
        <v>0.32825587283900987</v>
      </c>
      <c r="M268" s="2">
        <v>7.8717394513219616E-2</v>
      </c>
      <c r="N268" s="1">
        <v>10.5</v>
      </c>
      <c r="O268" s="1">
        <v>4.5</v>
      </c>
    </row>
    <row r="269" spans="1:15" x14ac:dyDescent="0.25">
      <c r="A269" s="4" t="s">
        <v>94</v>
      </c>
      <c r="B269" s="1">
        <v>4</v>
      </c>
      <c r="C269" s="1" t="s">
        <v>117</v>
      </c>
      <c r="D269" s="1" t="s">
        <v>12</v>
      </c>
      <c r="E269" s="1">
        <v>1</v>
      </c>
      <c r="F269" s="1">
        <v>121</v>
      </c>
      <c r="G269" s="1">
        <v>132</v>
      </c>
      <c r="H269" s="1">
        <v>84</v>
      </c>
      <c r="I269" s="2">
        <v>2.4209772951628827</v>
      </c>
      <c r="J269" s="3">
        <v>14.561921119689941</v>
      </c>
      <c r="K269" s="2">
        <v>3.9234857601282114</v>
      </c>
      <c r="L269" s="2">
        <v>0.3525408040472221</v>
      </c>
      <c r="M269" s="2">
        <v>9.4986699431652832E-2</v>
      </c>
      <c r="N269" s="1">
        <v>17</v>
      </c>
      <c r="O269" s="1">
        <v>5.5</v>
      </c>
    </row>
    <row r="270" spans="1:15" x14ac:dyDescent="0.25">
      <c r="A270" s="4" t="s">
        <v>94</v>
      </c>
      <c r="B270" s="1">
        <v>4</v>
      </c>
      <c r="C270" s="1" t="s">
        <v>117</v>
      </c>
      <c r="D270" s="1" t="s">
        <v>12</v>
      </c>
      <c r="E270" s="1">
        <v>2</v>
      </c>
      <c r="F270" s="1">
        <v>121</v>
      </c>
      <c r="G270" s="1">
        <v>124</v>
      </c>
      <c r="H270" s="1">
        <v>96</v>
      </c>
      <c r="I270" s="2">
        <v>1.9864956437560499</v>
      </c>
      <c r="J270" s="3">
        <v>17.140081405639648</v>
      </c>
      <c r="K270" s="2">
        <v>2.9333998503369951</v>
      </c>
      <c r="L270" s="2">
        <v>0.34048697045927234</v>
      </c>
      <c r="M270" s="2">
        <v>5.8271860240890892E-2</v>
      </c>
      <c r="N270" s="1">
        <v>10</v>
      </c>
      <c r="O270" s="1">
        <v>2.5</v>
      </c>
    </row>
    <row r="271" spans="1:15" x14ac:dyDescent="0.25">
      <c r="A271" s="4" t="s">
        <v>94</v>
      </c>
      <c r="B271" s="1">
        <v>4</v>
      </c>
      <c r="C271" s="1" t="s">
        <v>117</v>
      </c>
      <c r="D271" s="1" t="s">
        <v>12</v>
      </c>
      <c r="E271" s="1">
        <v>3</v>
      </c>
      <c r="F271" s="1">
        <v>120</v>
      </c>
      <c r="G271" s="1">
        <v>150</v>
      </c>
      <c r="H271" s="1">
        <v>108</v>
      </c>
      <c r="I271" s="2">
        <v>2.2893684210526315</v>
      </c>
      <c r="J271" s="3">
        <v>15.678318977355957</v>
      </c>
      <c r="K271" s="2">
        <v>3.7408133268008341</v>
      </c>
      <c r="L271" s="2">
        <v>0.35893448361948915</v>
      </c>
      <c r="M271" s="2">
        <v>8.5640998994306675E-2</v>
      </c>
      <c r="N271" s="1">
        <v>16</v>
      </c>
      <c r="O271" s="1">
        <v>7</v>
      </c>
    </row>
    <row r="272" spans="1:15" x14ac:dyDescent="0.25">
      <c r="A272" s="4" t="s">
        <v>14</v>
      </c>
      <c r="B272" s="1">
        <v>1</v>
      </c>
      <c r="C272" s="1" t="s">
        <v>118</v>
      </c>
      <c r="D272" s="1" t="s">
        <v>12</v>
      </c>
      <c r="E272" s="1">
        <v>1</v>
      </c>
      <c r="F272" s="1">
        <v>137</v>
      </c>
      <c r="G272" s="1">
        <v>135</v>
      </c>
      <c r="H272" s="1">
        <v>84</v>
      </c>
      <c r="I272" s="2">
        <v>2.1386350148367952</v>
      </c>
      <c r="J272" s="3">
        <v>16.314651489257813</v>
      </c>
      <c r="K272" s="2" t="s">
        <v>13</v>
      </c>
      <c r="L272" s="2">
        <v>0.3489108492978602</v>
      </c>
      <c r="M272" s="2" t="s">
        <v>13</v>
      </c>
      <c r="N272" s="1">
        <v>9</v>
      </c>
      <c r="O272" s="1">
        <v>1.5</v>
      </c>
    </row>
    <row r="273" spans="1:15" x14ac:dyDescent="0.25">
      <c r="A273" s="4" t="s">
        <v>14</v>
      </c>
      <c r="B273" s="1">
        <v>1</v>
      </c>
      <c r="C273" s="1" t="s">
        <v>118</v>
      </c>
      <c r="D273" s="1" t="s">
        <v>12</v>
      </c>
      <c r="E273" s="1">
        <v>2</v>
      </c>
      <c r="F273" s="1">
        <v>139</v>
      </c>
      <c r="G273" s="1">
        <v>139</v>
      </c>
      <c r="H273" s="1">
        <v>96</v>
      </c>
      <c r="I273" s="2">
        <v>2.3541304347826086</v>
      </c>
      <c r="J273" s="3">
        <v>18.424850463867188</v>
      </c>
      <c r="K273" s="2" t="s">
        <v>13</v>
      </c>
      <c r="L273" s="2">
        <v>0.4337450123330821</v>
      </c>
      <c r="M273" s="2" t="s">
        <v>13</v>
      </c>
      <c r="N273" s="1">
        <v>13</v>
      </c>
      <c r="O273" s="1">
        <v>3</v>
      </c>
    </row>
    <row r="274" spans="1:15" x14ac:dyDescent="0.25">
      <c r="A274" s="4" t="s">
        <v>14</v>
      </c>
      <c r="B274" s="1">
        <v>1</v>
      </c>
      <c r="C274" s="1" t="s">
        <v>118</v>
      </c>
      <c r="D274" s="1" t="s">
        <v>12</v>
      </c>
      <c r="E274" s="1">
        <v>3</v>
      </c>
      <c r="F274" s="1">
        <v>128</v>
      </c>
      <c r="G274" s="1">
        <v>137</v>
      </c>
      <c r="H274" s="1">
        <v>48</v>
      </c>
      <c r="I274" s="2">
        <v>2.0696620278330022</v>
      </c>
      <c r="J274" s="3">
        <v>19.163795471191406</v>
      </c>
      <c r="K274" s="2" t="s">
        <v>13</v>
      </c>
      <c r="L274" s="2">
        <v>0.39662579795882907</v>
      </c>
      <c r="M274" s="2" t="s">
        <v>13</v>
      </c>
      <c r="N274" s="1">
        <v>10</v>
      </c>
      <c r="O274" s="1">
        <v>2</v>
      </c>
    </row>
    <row r="275" spans="1:15" x14ac:dyDescent="0.25">
      <c r="A275" s="4" t="s">
        <v>94</v>
      </c>
      <c r="B275" s="1">
        <v>4</v>
      </c>
      <c r="C275" s="1" t="s">
        <v>119</v>
      </c>
      <c r="D275" s="1" t="s">
        <v>12</v>
      </c>
      <c r="E275" s="1">
        <v>1</v>
      </c>
      <c r="F275" s="1">
        <v>108</v>
      </c>
      <c r="G275" s="1">
        <v>132</v>
      </c>
      <c r="H275" s="1">
        <v>120</v>
      </c>
      <c r="I275" s="2">
        <v>2.9714102564102562</v>
      </c>
      <c r="J275" s="3">
        <v>16.656822204589844</v>
      </c>
      <c r="K275" s="2">
        <v>3.8880805285883855</v>
      </c>
      <c r="L275" s="2">
        <v>0.49494252337920358</v>
      </c>
      <c r="M275" s="2">
        <v>0.1155308236039654</v>
      </c>
      <c r="N275" s="1">
        <v>12</v>
      </c>
      <c r="O275" s="1">
        <v>2.5</v>
      </c>
    </row>
    <row r="276" spans="1:15" x14ac:dyDescent="0.25">
      <c r="A276" s="4" t="s">
        <v>94</v>
      </c>
      <c r="B276" s="1">
        <v>4</v>
      </c>
      <c r="C276" s="1" t="s">
        <v>119</v>
      </c>
      <c r="D276" s="1" t="s">
        <v>12</v>
      </c>
      <c r="E276" s="1">
        <v>2</v>
      </c>
      <c r="F276" s="1">
        <v>108</v>
      </c>
      <c r="G276" s="1">
        <v>142</v>
      </c>
      <c r="H276" s="1">
        <v>96</v>
      </c>
      <c r="I276" s="2">
        <v>2.4579009900990099</v>
      </c>
      <c r="J276" s="3">
        <v>15.291018486022949</v>
      </c>
      <c r="K276" s="2">
        <v>3.4830035514969659</v>
      </c>
      <c r="L276" s="2">
        <v>0.37583809476418073</v>
      </c>
      <c r="M276" s="2">
        <v>8.5608778777427605E-2</v>
      </c>
      <c r="N276" s="1">
        <v>11</v>
      </c>
      <c r="O276" s="1">
        <v>2.5</v>
      </c>
    </row>
    <row r="277" spans="1:15" x14ac:dyDescent="0.25">
      <c r="A277" s="4" t="s">
        <v>94</v>
      </c>
      <c r="B277" s="1">
        <v>4</v>
      </c>
      <c r="C277" s="1" t="s">
        <v>119</v>
      </c>
      <c r="D277" s="1" t="s">
        <v>12</v>
      </c>
      <c r="E277" s="1">
        <v>3</v>
      </c>
      <c r="F277" s="1">
        <v>113</v>
      </c>
      <c r="G277" s="1">
        <v>130</v>
      </c>
      <c r="H277" s="1">
        <v>72</v>
      </c>
      <c r="I277" s="2">
        <v>2.9236170212765957</v>
      </c>
      <c r="J277" s="3">
        <v>15.399821281433105</v>
      </c>
      <c r="K277" s="2">
        <v>3.7503053994626971</v>
      </c>
      <c r="L277" s="2">
        <v>0.4502317962301538</v>
      </c>
      <c r="M277" s="2">
        <v>0.10964456700854665</v>
      </c>
      <c r="N277" s="1">
        <v>15</v>
      </c>
      <c r="O277" s="1">
        <v>2.5</v>
      </c>
    </row>
    <row r="278" spans="1:15" x14ac:dyDescent="0.25">
      <c r="A278" s="4" t="s">
        <v>94</v>
      </c>
      <c r="B278" s="1">
        <v>4</v>
      </c>
      <c r="C278" s="1" t="s">
        <v>120</v>
      </c>
      <c r="D278" s="1" t="s">
        <v>12</v>
      </c>
      <c r="E278" s="1">
        <v>1</v>
      </c>
      <c r="F278" s="1">
        <v>109</v>
      </c>
      <c r="G278" s="1">
        <v>122</v>
      </c>
      <c r="H278" s="1">
        <v>72</v>
      </c>
      <c r="I278" s="2">
        <v>2.5684195121951219</v>
      </c>
      <c r="J278" s="3">
        <v>15.565861701965332</v>
      </c>
      <c r="K278" s="2">
        <v>4.0711253986992855</v>
      </c>
      <c r="L278" s="2">
        <v>0.39979662919458531</v>
      </c>
      <c r="M278" s="2">
        <v>0.10456357910612389</v>
      </c>
      <c r="N278" s="1">
        <v>14.5</v>
      </c>
      <c r="O278" s="1">
        <v>5</v>
      </c>
    </row>
    <row r="279" spans="1:15" x14ac:dyDescent="0.25">
      <c r="A279" s="4" t="s">
        <v>94</v>
      </c>
      <c r="B279" s="1">
        <v>4</v>
      </c>
      <c r="C279" s="1" t="s">
        <v>120</v>
      </c>
      <c r="D279" s="1" t="s">
        <v>12</v>
      </c>
      <c r="E279" s="1">
        <v>2</v>
      </c>
      <c r="F279" s="1">
        <v>109</v>
      </c>
      <c r="G279" s="1">
        <v>130</v>
      </c>
      <c r="H279" s="1">
        <v>96</v>
      </c>
      <c r="I279" s="2">
        <v>0.77225585937500008</v>
      </c>
      <c r="J279" s="3">
        <v>14.081846237182617</v>
      </c>
      <c r="K279" s="2">
        <v>3.8359915449650903</v>
      </c>
      <c r="L279" s="2">
        <v>0.10874788267482072</v>
      </c>
      <c r="M279" s="2">
        <v>2.96236694711225E-2</v>
      </c>
      <c r="N279" s="1">
        <v>11</v>
      </c>
      <c r="O279" s="1">
        <v>3</v>
      </c>
    </row>
    <row r="280" spans="1:15" x14ac:dyDescent="0.25">
      <c r="A280" s="4" t="s">
        <v>94</v>
      </c>
      <c r="B280" s="1">
        <v>4</v>
      </c>
      <c r="C280" s="1" t="s">
        <v>120</v>
      </c>
      <c r="D280" s="1" t="s">
        <v>12</v>
      </c>
      <c r="E280" s="1">
        <v>3</v>
      </c>
      <c r="F280" s="1">
        <v>114</v>
      </c>
      <c r="G280" s="1">
        <v>150</v>
      </c>
      <c r="H280" s="1">
        <v>60</v>
      </c>
      <c r="I280" s="2">
        <v>2.7772843137254903</v>
      </c>
      <c r="J280" s="3">
        <v>14.214992523193359</v>
      </c>
      <c r="K280" s="2">
        <v>2.371366849961301</v>
      </c>
      <c r="L280" s="2">
        <v>0.39479075754390047</v>
      </c>
      <c r="M280" s="2">
        <v>6.5859599544861494E-2</v>
      </c>
      <c r="N280" s="1">
        <v>11</v>
      </c>
      <c r="O280" s="1">
        <v>11</v>
      </c>
    </row>
    <row r="281" spans="1:15" x14ac:dyDescent="0.25">
      <c r="A281" s="4" t="s">
        <v>94</v>
      </c>
      <c r="B281" s="1">
        <v>5</v>
      </c>
      <c r="C281" s="1" t="s">
        <v>121</v>
      </c>
      <c r="D281" s="1" t="s">
        <v>12</v>
      </c>
      <c r="E281" s="1">
        <v>1</v>
      </c>
      <c r="F281" s="1">
        <v>116</v>
      </c>
      <c r="G281" s="1">
        <v>126</v>
      </c>
      <c r="H281" s="1">
        <v>72</v>
      </c>
      <c r="I281" s="2">
        <v>2.6448794599807135</v>
      </c>
      <c r="J281" s="3">
        <v>14.360427856445313</v>
      </c>
      <c r="K281" s="2">
        <v>3.4012918853447789</v>
      </c>
      <c r="L281" s="2">
        <v>0.37981600674047072</v>
      </c>
      <c r="M281" s="2">
        <v>8.9960070449474808E-2</v>
      </c>
      <c r="N281" s="1">
        <v>18</v>
      </c>
      <c r="O281" s="1">
        <v>6</v>
      </c>
    </row>
    <row r="282" spans="1:15" x14ac:dyDescent="0.25">
      <c r="A282" s="4" t="s">
        <v>94</v>
      </c>
      <c r="B282" s="1">
        <v>5</v>
      </c>
      <c r="C282" s="1" t="s">
        <v>121</v>
      </c>
      <c r="D282" s="1" t="s">
        <v>12</v>
      </c>
      <c r="E282" s="1">
        <v>2</v>
      </c>
      <c r="F282" s="1">
        <v>110</v>
      </c>
      <c r="G282" s="1">
        <v>134</v>
      </c>
      <c r="H282" s="1">
        <v>24</v>
      </c>
      <c r="I282" s="2">
        <v>2.7882185039370082</v>
      </c>
      <c r="J282" s="3">
        <v>11.590969085693359</v>
      </c>
      <c r="K282" s="2">
        <v>3.6980687590488697</v>
      </c>
      <c r="L282" s="2">
        <v>0.3231815448329205</v>
      </c>
      <c r="M282" s="2">
        <v>0.10311023742811429</v>
      </c>
      <c r="N282" s="1">
        <v>16</v>
      </c>
      <c r="O282" s="1">
        <v>6.5</v>
      </c>
    </row>
    <row r="283" spans="1:15" x14ac:dyDescent="0.25">
      <c r="A283" s="4" t="s">
        <v>94</v>
      </c>
      <c r="B283" s="1">
        <v>5</v>
      </c>
      <c r="C283" s="1" t="s">
        <v>121</v>
      </c>
      <c r="D283" s="1" t="s">
        <v>12</v>
      </c>
      <c r="E283" s="1">
        <v>3</v>
      </c>
      <c r="F283" s="1">
        <v>107</v>
      </c>
      <c r="G283" s="1">
        <v>128</v>
      </c>
      <c r="H283" s="1">
        <v>36</v>
      </c>
      <c r="I283" s="2">
        <v>2.662854368932039</v>
      </c>
      <c r="J283" s="3">
        <v>13.122127532958984</v>
      </c>
      <c r="K283" s="2">
        <v>3.6626764338035391</v>
      </c>
      <c r="L283" s="2">
        <v>0.34942314630823235</v>
      </c>
      <c r="M283" s="2">
        <v>9.7531739437381734E-2</v>
      </c>
      <c r="N283" s="1">
        <v>18.5</v>
      </c>
      <c r="O283" s="1">
        <v>4</v>
      </c>
    </row>
    <row r="284" spans="1:15" x14ac:dyDescent="0.25">
      <c r="A284" s="4" t="s">
        <v>94</v>
      </c>
      <c r="B284" s="1">
        <v>4</v>
      </c>
      <c r="C284" s="1" t="s">
        <v>122</v>
      </c>
      <c r="D284" s="1" t="s">
        <v>12</v>
      </c>
      <c r="E284" s="1">
        <v>1</v>
      </c>
      <c r="F284" s="1">
        <v>118</v>
      </c>
      <c r="G284" s="1">
        <v>102</v>
      </c>
      <c r="H284" s="1">
        <v>72</v>
      </c>
      <c r="I284" s="2">
        <v>2.5590953785644053</v>
      </c>
      <c r="J284" s="3">
        <v>14.195625305175781</v>
      </c>
      <c r="K284" s="2">
        <v>3.7105668549486159</v>
      </c>
      <c r="L284" s="2">
        <v>0.36327959114307268</v>
      </c>
      <c r="M284" s="2">
        <v>9.4956944903532625E-2</v>
      </c>
      <c r="N284" s="1">
        <v>14</v>
      </c>
      <c r="O284" s="1">
        <v>3</v>
      </c>
    </row>
    <row r="285" spans="1:15" x14ac:dyDescent="0.25">
      <c r="A285" s="4" t="s">
        <v>94</v>
      </c>
      <c r="B285" s="1">
        <v>4</v>
      </c>
      <c r="C285" s="1" t="s">
        <v>122</v>
      </c>
      <c r="D285" s="1" t="s">
        <v>12</v>
      </c>
      <c r="E285" s="1">
        <v>2</v>
      </c>
      <c r="F285" s="1">
        <v>118</v>
      </c>
      <c r="G285" s="1">
        <v>116</v>
      </c>
      <c r="H285" s="1">
        <v>60</v>
      </c>
      <c r="I285" s="2">
        <v>2.4660911736178468</v>
      </c>
      <c r="J285" s="3">
        <v>16.076364517211914</v>
      </c>
      <c r="K285" s="2">
        <v>2.9890409670291347</v>
      </c>
      <c r="L285" s="2">
        <v>0.39645780639759437</v>
      </c>
      <c r="M285" s="2">
        <v>7.3712475463727029E-2</v>
      </c>
      <c r="N285" s="1">
        <v>14</v>
      </c>
      <c r="O285" s="1">
        <v>2.5</v>
      </c>
    </row>
    <row r="286" spans="1:15" x14ac:dyDescent="0.25">
      <c r="A286" s="4" t="s">
        <v>94</v>
      </c>
      <c r="B286" s="1">
        <v>4</v>
      </c>
      <c r="C286" s="1" t="s">
        <v>122</v>
      </c>
      <c r="D286" s="1" t="s">
        <v>12</v>
      </c>
      <c r="E286" s="1">
        <v>3</v>
      </c>
      <c r="F286" s="1">
        <v>120</v>
      </c>
      <c r="G286" s="1">
        <v>123</v>
      </c>
      <c r="H286" s="1">
        <v>72</v>
      </c>
      <c r="I286" s="2">
        <v>2.6362970297029706</v>
      </c>
      <c r="J286" s="3">
        <v>12.319354057312012</v>
      </c>
      <c r="K286" s="2">
        <v>3.3989657432813321</v>
      </c>
      <c r="L286" s="2">
        <v>0.32477476509150893</v>
      </c>
      <c r="M286" s="2">
        <v>8.9606832930747254E-2</v>
      </c>
      <c r="N286" s="1">
        <v>19</v>
      </c>
      <c r="O286" s="1">
        <v>5</v>
      </c>
    </row>
    <row r="287" spans="1:15" x14ac:dyDescent="0.25">
      <c r="A287" s="4" t="s">
        <v>94</v>
      </c>
      <c r="B287" s="1">
        <v>4</v>
      </c>
      <c r="C287" s="1" t="s">
        <v>123</v>
      </c>
      <c r="D287" s="1" t="s">
        <v>12</v>
      </c>
      <c r="E287" s="1">
        <v>1</v>
      </c>
      <c r="F287" s="1">
        <v>108</v>
      </c>
      <c r="G287" s="1">
        <v>126</v>
      </c>
      <c r="H287" s="1">
        <v>96</v>
      </c>
      <c r="I287" s="2">
        <v>2.3964827586206896</v>
      </c>
      <c r="J287" s="2" t="s">
        <v>13</v>
      </c>
      <c r="K287" s="2">
        <v>3.8202911401759763</v>
      </c>
      <c r="L287" s="2" t="s">
        <v>13</v>
      </c>
      <c r="M287" s="2">
        <v>9.1552618503431035E-2</v>
      </c>
      <c r="N287" s="1">
        <v>14</v>
      </c>
      <c r="O287" s="1">
        <v>4.5</v>
      </c>
    </row>
    <row r="288" spans="1:15" x14ac:dyDescent="0.25">
      <c r="A288" s="4" t="s">
        <v>94</v>
      </c>
      <c r="B288" s="1">
        <v>4</v>
      </c>
      <c r="C288" s="1" t="s">
        <v>123</v>
      </c>
      <c r="D288" s="1" t="s">
        <v>12</v>
      </c>
      <c r="E288" s="1">
        <v>2</v>
      </c>
      <c r="F288" s="1">
        <v>104</v>
      </c>
      <c r="G288" s="1">
        <v>137</v>
      </c>
      <c r="H288" s="1">
        <v>72</v>
      </c>
      <c r="I288" s="2">
        <v>2.3552941176470585</v>
      </c>
      <c r="J288" s="2" t="s">
        <v>13</v>
      </c>
      <c r="K288" s="2">
        <v>3.7410253180504531</v>
      </c>
      <c r="L288" s="2" t="s">
        <v>13</v>
      </c>
      <c r="M288" s="2">
        <v>8.8112149255729494E-2</v>
      </c>
      <c r="N288" s="1">
        <v>14</v>
      </c>
      <c r="O288" s="1">
        <v>10</v>
      </c>
    </row>
    <row r="289" spans="1:15" x14ac:dyDescent="0.25">
      <c r="A289" s="4" t="s">
        <v>94</v>
      </c>
      <c r="B289" s="1">
        <v>4</v>
      </c>
      <c r="C289" s="1" t="s">
        <v>123</v>
      </c>
      <c r="D289" s="1" t="s">
        <v>12</v>
      </c>
      <c r="E289" s="1">
        <v>3</v>
      </c>
      <c r="F289" s="1">
        <v>108</v>
      </c>
      <c r="G289" s="1">
        <v>137</v>
      </c>
      <c r="H289" s="1">
        <v>60</v>
      </c>
      <c r="I289" s="2">
        <v>2.4730588235294118</v>
      </c>
      <c r="J289" s="2" t="s">
        <v>13</v>
      </c>
      <c r="K289" s="2">
        <v>3.8738413386300241</v>
      </c>
      <c r="L289" s="2" t="s">
        <v>13</v>
      </c>
      <c r="M289" s="2">
        <v>9.5802375034519688E-2</v>
      </c>
      <c r="N289" s="1">
        <v>15</v>
      </c>
      <c r="O289" s="1">
        <v>10.5</v>
      </c>
    </row>
    <row r="290" spans="1:15" x14ac:dyDescent="0.25">
      <c r="A290" s="4" t="s">
        <v>94</v>
      </c>
      <c r="B290" s="1">
        <v>4</v>
      </c>
      <c r="C290" s="1" t="s">
        <v>124</v>
      </c>
      <c r="D290" s="1" t="s">
        <v>12</v>
      </c>
      <c r="E290" s="1">
        <v>1</v>
      </c>
      <c r="F290" s="1">
        <v>102</v>
      </c>
      <c r="G290" s="1">
        <v>130</v>
      </c>
      <c r="H290" s="1">
        <v>72</v>
      </c>
      <c r="I290" s="2">
        <v>1.8155868089233753</v>
      </c>
      <c r="J290" s="3">
        <v>12.480607986450195</v>
      </c>
      <c r="K290" s="2">
        <v>3.3598437946469772</v>
      </c>
      <c r="L290" s="2">
        <v>0.22659627227542703</v>
      </c>
      <c r="M290" s="2">
        <v>6.1000880736041097E-2</v>
      </c>
      <c r="N290" s="1">
        <v>17</v>
      </c>
      <c r="O290" s="1">
        <v>5.5</v>
      </c>
    </row>
    <row r="291" spans="1:15" x14ac:dyDescent="0.25">
      <c r="A291" s="4" t="s">
        <v>94</v>
      </c>
      <c r="B291" s="1">
        <v>4</v>
      </c>
      <c r="C291" s="1" t="s">
        <v>124</v>
      </c>
      <c r="D291" s="1" t="s">
        <v>12</v>
      </c>
      <c r="E291" s="1">
        <v>2</v>
      </c>
      <c r="F291" s="1">
        <v>102</v>
      </c>
      <c r="G291" s="1">
        <v>124</v>
      </c>
      <c r="H291" s="1">
        <v>84</v>
      </c>
      <c r="I291" s="2">
        <v>1.7193879565646595</v>
      </c>
      <c r="J291" s="3">
        <v>12.014033317565918</v>
      </c>
      <c r="K291" s="2">
        <v>3.4596956031567392</v>
      </c>
      <c r="L291" s="2">
        <v>0.206567841959894</v>
      </c>
      <c r="M291" s="2">
        <v>5.9485589534474033E-2</v>
      </c>
      <c r="N291" s="1">
        <v>20</v>
      </c>
      <c r="O291" s="1">
        <v>6.5</v>
      </c>
    </row>
    <row r="292" spans="1:15" x14ac:dyDescent="0.25">
      <c r="A292" s="4" t="s">
        <v>94</v>
      </c>
      <c r="B292" s="1">
        <v>4</v>
      </c>
      <c r="C292" s="1" t="s">
        <v>124</v>
      </c>
      <c r="D292" s="1" t="s">
        <v>12</v>
      </c>
      <c r="E292" s="1">
        <v>3</v>
      </c>
      <c r="F292" s="1">
        <v>102</v>
      </c>
      <c r="G292" s="1">
        <v>123</v>
      </c>
      <c r="H292" s="1">
        <v>48</v>
      </c>
      <c r="I292" s="2">
        <v>2.0812871287128716</v>
      </c>
      <c r="J292" s="3">
        <v>11.408017158508301</v>
      </c>
      <c r="K292" s="2">
        <v>3.091299579601555</v>
      </c>
      <c r="L292" s="2">
        <v>0.23743359276138912</v>
      </c>
      <c r="M292" s="2">
        <v>6.4338820260202281E-2</v>
      </c>
      <c r="N292" s="1">
        <v>16</v>
      </c>
      <c r="O292" s="1">
        <v>3.5</v>
      </c>
    </row>
    <row r="293" spans="1:15" x14ac:dyDescent="0.25">
      <c r="A293" s="4" t="s">
        <v>94</v>
      </c>
      <c r="B293" s="1">
        <v>5</v>
      </c>
      <c r="C293" s="1" t="s">
        <v>125</v>
      </c>
      <c r="D293" s="1" t="s">
        <v>12</v>
      </c>
      <c r="E293" s="1">
        <v>1</v>
      </c>
      <c r="F293" s="1">
        <v>113</v>
      </c>
      <c r="G293" s="1">
        <v>143</v>
      </c>
      <c r="H293" s="1">
        <v>96</v>
      </c>
      <c r="I293" s="2">
        <v>2.8418634146341466</v>
      </c>
      <c r="J293" s="3">
        <v>14.172800064086914</v>
      </c>
      <c r="K293" s="2">
        <v>4.5514049277662165</v>
      </c>
      <c r="L293" s="2">
        <v>0.40277161985053084</v>
      </c>
      <c r="M293" s="2">
        <v>0.12934471149404381</v>
      </c>
      <c r="N293" s="1">
        <v>11</v>
      </c>
      <c r="O293" s="1">
        <v>2</v>
      </c>
    </row>
    <row r="294" spans="1:15" x14ac:dyDescent="0.25">
      <c r="A294" s="4" t="s">
        <v>94</v>
      </c>
      <c r="B294" s="1">
        <v>5</v>
      </c>
      <c r="C294" s="1" t="s">
        <v>125</v>
      </c>
      <c r="D294" s="1" t="s">
        <v>12</v>
      </c>
      <c r="E294" s="1">
        <v>2</v>
      </c>
      <c r="F294" s="1">
        <v>108</v>
      </c>
      <c r="G294" s="1">
        <v>137</v>
      </c>
      <c r="H294" s="1">
        <v>72</v>
      </c>
      <c r="I294" s="2">
        <v>2.6621295387634936</v>
      </c>
      <c r="J294" s="3">
        <v>13.36500072479248</v>
      </c>
      <c r="K294" s="2">
        <v>3.5290480606877601</v>
      </c>
      <c r="L294" s="2">
        <v>0.35579363215065563</v>
      </c>
      <c r="M294" s="2">
        <v>9.3947830860729081E-2</v>
      </c>
      <c r="N294" s="1">
        <v>12.5</v>
      </c>
      <c r="O294" s="1">
        <v>6.5</v>
      </c>
    </row>
    <row r="295" spans="1:15" x14ac:dyDescent="0.25">
      <c r="A295" s="4" t="s">
        <v>94</v>
      </c>
      <c r="B295" s="1">
        <v>5</v>
      </c>
      <c r="C295" s="1" t="s">
        <v>125</v>
      </c>
      <c r="D295" s="1" t="s">
        <v>12</v>
      </c>
      <c r="E295" s="1">
        <v>3</v>
      </c>
      <c r="F295" s="1">
        <v>112</v>
      </c>
      <c r="G295" s="1">
        <v>134</v>
      </c>
      <c r="H295" s="1">
        <v>48</v>
      </c>
      <c r="I295" s="2">
        <v>3.2811643835616442</v>
      </c>
      <c r="J295" s="3">
        <v>12.770898818969727</v>
      </c>
      <c r="K295" s="2">
        <v>3.3849334053693911</v>
      </c>
      <c r="L295" s="2">
        <v>0.41903418350872929</v>
      </c>
      <c r="M295" s="2">
        <v>0.11106522930426076</v>
      </c>
      <c r="N295" s="1">
        <v>12</v>
      </c>
      <c r="O295" s="1">
        <v>2</v>
      </c>
    </row>
    <row r="296" spans="1:15" x14ac:dyDescent="0.25">
      <c r="A296" s="4" t="s">
        <v>94</v>
      </c>
      <c r="B296" s="1">
        <v>5</v>
      </c>
      <c r="C296" s="1" t="s">
        <v>126</v>
      </c>
      <c r="D296" s="1" t="s">
        <v>12</v>
      </c>
      <c r="E296" s="1">
        <v>1</v>
      </c>
      <c r="F296" s="1">
        <v>98</v>
      </c>
      <c r="G296" s="1">
        <v>109</v>
      </c>
      <c r="H296" s="1">
        <v>84</v>
      </c>
      <c r="I296" s="2">
        <v>2.1582536585365855</v>
      </c>
      <c r="J296" s="3">
        <v>14.790204048156738</v>
      </c>
      <c r="K296" s="2">
        <v>3.532652730513191</v>
      </c>
      <c r="L296" s="2">
        <v>0.31921011997436899</v>
      </c>
      <c r="M296" s="2">
        <v>7.6243606799693525E-2</v>
      </c>
      <c r="N296" s="1">
        <v>13.5</v>
      </c>
      <c r="O296" s="1">
        <v>2.5</v>
      </c>
    </row>
    <row r="297" spans="1:15" x14ac:dyDescent="0.25">
      <c r="A297" s="4" t="s">
        <v>94</v>
      </c>
      <c r="B297" s="1">
        <v>5</v>
      </c>
      <c r="C297" s="1" t="s">
        <v>126</v>
      </c>
      <c r="D297" s="1" t="s">
        <v>12</v>
      </c>
      <c r="E297" s="1">
        <v>2</v>
      </c>
      <c r="F297" s="1">
        <v>100</v>
      </c>
      <c r="G297" s="1">
        <v>110</v>
      </c>
      <c r="H297" s="1">
        <v>72</v>
      </c>
      <c r="I297" s="2">
        <v>2.2331506849315068</v>
      </c>
      <c r="J297" s="3">
        <v>13.663394927978516</v>
      </c>
      <c r="K297" s="2">
        <v>3.3675172907225805</v>
      </c>
      <c r="L297" s="2">
        <v>0.30512419741904895</v>
      </c>
      <c r="M297" s="2">
        <v>7.5201735442958231E-2</v>
      </c>
      <c r="N297" s="1">
        <v>16</v>
      </c>
      <c r="O297" s="1">
        <v>5</v>
      </c>
    </row>
    <row r="298" spans="1:15" x14ac:dyDescent="0.25">
      <c r="A298" s="4" t="s">
        <v>94</v>
      </c>
      <c r="B298" s="1">
        <v>5</v>
      </c>
      <c r="C298" s="1" t="s">
        <v>126</v>
      </c>
      <c r="D298" s="1" t="s">
        <v>12</v>
      </c>
      <c r="E298" s="1">
        <v>3</v>
      </c>
      <c r="F298" s="1">
        <v>99</v>
      </c>
      <c r="G298" s="1">
        <v>120</v>
      </c>
      <c r="H298" s="1">
        <v>60</v>
      </c>
      <c r="I298" s="2">
        <v>2.5570099009900993</v>
      </c>
      <c r="J298" s="3">
        <v>15.486903190612793</v>
      </c>
      <c r="K298" s="2">
        <v>3.9352366827338643</v>
      </c>
      <c r="L298" s="2">
        <v>0.39600164794072074</v>
      </c>
      <c r="M298" s="2">
        <v>0.10062439160489925</v>
      </c>
      <c r="N298" s="1">
        <v>14</v>
      </c>
      <c r="O298" s="1">
        <v>4.5</v>
      </c>
    </row>
    <row r="299" spans="1:15" x14ac:dyDescent="0.25">
      <c r="A299" s="4" t="s">
        <v>94</v>
      </c>
      <c r="B299" s="1">
        <v>5</v>
      </c>
      <c r="C299" s="1" t="s">
        <v>127</v>
      </c>
      <c r="D299" s="1" t="s">
        <v>12</v>
      </c>
      <c r="E299" s="1">
        <v>1</v>
      </c>
      <c r="F299" s="1">
        <v>114</v>
      </c>
      <c r="G299" s="1">
        <v>127</v>
      </c>
      <c r="H299" s="1">
        <v>96</v>
      </c>
      <c r="I299" s="2">
        <v>2.1782393669634028</v>
      </c>
      <c r="J299" s="3">
        <v>14.498259544372559</v>
      </c>
      <c r="K299" s="2">
        <v>3.465391829452368</v>
      </c>
      <c r="L299" s="2">
        <v>0.31580679692005192</v>
      </c>
      <c r="M299" s="2">
        <v>7.5484529048664747E-2</v>
      </c>
      <c r="N299" s="1">
        <v>12.5</v>
      </c>
      <c r="O299" s="1">
        <v>5.5</v>
      </c>
    </row>
    <row r="300" spans="1:15" x14ac:dyDescent="0.25">
      <c r="A300" s="4" t="s">
        <v>94</v>
      </c>
      <c r="B300" s="1">
        <v>5</v>
      </c>
      <c r="C300" s="1" t="s">
        <v>127</v>
      </c>
      <c r="D300" s="1" t="s">
        <v>12</v>
      </c>
      <c r="E300" s="1">
        <v>2</v>
      </c>
      <c r="F300" s="1">
        <v>114</v>
      </c>
      <c r="G300" s="1">
        <v>137</v>
      </c>
      <c r="H300" s="1">
        <v>60</v>
      </c>
      <c r="I300" s="2">
        <v>2.2408974358974358</v>
      </c>
      <c r="J300" s="3">
        <v>13.568021774291992</v>
      </c>
      <c r="K300" s="2">
        <v>2.9806924413963038</v>
      </c>
      <c r="L300" s="2">
        <v>0.30404545204211503</v>
      </c>
      <c r="M300" s="2">
        <v>6.6794260491238461E-2</v>
      </c>
      <c r="N300" s="1">
        <v>12.5</v>
      </c>
      <c r="O300" s="1">
        <v>1.5</v>
      </c>
    </row>
    <row r="301" spans="1:15" x14ac:dyDescent="0.25">
      <c r="A301" s="4" t="s">
        <v>94</v>
      </c>
      <c r="B301" s="1">
        <v>5</v>
      </c>
      <c r="C301" s="1" t="s">
        <v>127</v>
      </c>
      <c r="D301" s="1" t="s">
        <v>12</v>
      </c>
      <c r="E301" s="1">
        <v>3</v>
      </c>
      <c r="F301" s="1">
        <v>116</v>
      </c>
      <c r="G301" s="1">
        <v>127</v>
      </c>
      <c r="H301" s="1">
        <v>60</v>
      </c>
      <c r="I301" s="2">
        <v>2.2180706781279844</v>
      </c>
      <c r="J301" s="3">
        <v>15.859064102172852</v>
      </c>
      <c r="K301" s="2">
        <v>3.508896797153529</v>
      </c>
      <c r="L301" s="2">
        <v>0.3517652506758171</v>
      </c>
      <c r="M301" s="2">
        <v>7.7829810983434403E-2</v>
      </c>
      <c r="N301" s="1">
        <v>16.5</v>
      </c>
      <c r="O301" s="1">
        <v>4</v>
      </c>
    </row>
    <row r="302" spans="1:15" x14ac:dyDescent="0.25">
      <c r="A302" s="4" t="s">
        <v>94</v>
      </c>
      <c r="B302" s="1">
        <v>5</v>
      </c>
      <c r="C302" s="1" t="s">
        <v>128</v>
      </c>
      <c r="D302" s="1" t="s">
        <v>12</v>
      </c>
      <c r="E302" s="1">
        <v>1</v>
      </c>
      <c r="F302" s="1">
        <v>107</v>
      </c>
      <c r="G302" s="1">
        <v>138</v>
      </c>
      <c r="H302" s="1">
        <v>48</v>
      </c>
      <c r="I302" s="2">
        <v>2.8698620689655172</v>
      </c>
      <c r="J302" s="2" t="s">
        <v>13</v>
      </c>
      <c r="K302" s="2" t="s">
        <v>13</v>
      </c>
      <c r="L302" s="2" t="s">
        <v>13</v>
      </c>
      <c r="M302" s="2" t="s">
        <v>13</v>
      </c>
      <c r="N302" s="1">
        <v>12</v>
      </c>
      <c r="O302" s="1">
        <v>2</v>
      </c>
    </row>
    <row r="303" spans="1:15" x14ac:dyDescent="0.25">
      <c r="A303" s="4" t="s">
        <v>94</v>
      </c>
      <c r="B303" s="1">
        <v>5</v>
      </c>
      <c r="C303" s="1" t="s">
        <v>128</v>
      </c>
      <c r="D303" s="1" t="s">
        <v>12</v>
      </c>
      <c r="E303" s="1">
        <v>2</v>
      </c>
      <c r="F303" s="1">
        <v>113</v>
      </c>
      <c r="G303" s="1">
        <v>132</v>
      </c>
      <c r="H303" s="1">
        <v>36</v>
      </c>
      <c r="I303" s="2">
        <v>2.925252427184466</v>
      </c>
      <c r="J303" s="2" t="s">
        <v>13</v>
      </c>
      <c r="K303" s="2" t="s">
        <v>13</v>
      </c>
      <c r="L303" s="2" t="s">
        <v>13</v>
      </c>
      <c r="M303" s="2" t="s">
        <v>13</v>
      </c>
      <c r="N303" s="1">
        <v>11.5</v>
      </c>
      <c r="O303" s="1">
        <v>1.5</v>
      </c>
    </row>
    <row r="304" spans="1:15" x14ac:dyDescent="0.25">
      <c r="A304" s="4" t="s">
        <v>94</v>
      </c>
      <c r="B304" s="1">
        <v>5</v>
      </c>
      <c r="C304" s="1" t="s">
        <v>128</v>
      </c>
      <c r="D304" s="1" t="s">
        <v>12</v>
      </c>
      <c r="E304" s="1">
        <v>3</v>
      </c>
      <c r="F304" s="1">
        <v>113</v>
      </c>
      <c r="G304" s="1">
        <v>135</v>
      </c>
      <c r="H304" s="1">
        <v>48</v>
      </c>
      <c r="I304" s="2">
        <v>3.0274146341463415</v>
      </c>
      <c r="J304" s="2" t="s">
        <v>13</v>
      </c>
      <c r="K304" s="2" t="s">
        <v>13</v>
      </c>
      <c r="L304" s="2" t="s">
        <v>13</v>
      </c>
      <c r="M304" s="2" t="s">
        <v>13</v>
      </c>
      <c r="N304" s="1">
        <v>13</v>
      </c>
      <c r="O304" s="1">
        <v>4</v>
      </c>
    </row>
    <row r="305" spans="1:15" x14ac:dyDescent="0.25">
      <c r="A305" s="4" t="s">
        <v>94</v>
      </c>
      <c r="B305" s="1">
        <v>5</v>
      </c>
      <c r="C305" s="1" t="s">
        <v>129</v>
      </c>
      <c r="D305" s="1" t="s">
        <v>12</v>
      </c>
      <c r="E305" s="1">
        <v>1</v>
      </c>
      <c r="F305" s="1">
        <v>111</v>
      </c>
      <c r="G305" s="1">
        <v>126</v>
      </c>
      <c r="H305" s="1">
        <v>60</v>
      </c>
      <c r="I305" s="2">
        <v>2.4138947368421051</v>
      </c>
      <c r="J305" s="3">
        <v>15.855850219726563</v>
      </c>
      <c r="K305" s="2">
        <v>4.4212542851380379</v>
      </c>
      <c r="L305" s="2">
        <v>0.38274353393554689</v>
      </c>
      <c r="M305" s="2">
        <v>0.10672442449135312</v>
      </c>
      <c r="N305" s="1">
        <v>10</v>
      </c>
      <c r="O305" s="1">
        <v>4</v>
      </c>
    </row>
    <row r="306" spans="1:15" x14ac:dyDescent="0.25">
      <c r="A306" s="4" t="s">
        <v>94</v>
      </c>
      <c r="B306" s="1">
        <v>5</v>
      </c>
      <c r="C306" s="1" t="s">
        <v>129</v>
      </c>
      <c r="D306" s="1" t="s">
        <v>12</v>
      </c>
      <c r="E306" s="1">
        <v>2</v>
      </c>
      <c r="F306" s="1">
        <v>109</v>
      </c>
      <c r="G306" s="1">
        <v>133</v>
      </c>
      <c r="H306" s="1">
        <v>60</v>
      </c>
      <c r="I306" s="2">
        <v>2.4669194312796212</v>
      </c>
      <c r="J306" s="3">
        <v>15.048663139343262</v>
      </c>
      <c r="K306" s="2">
        <v>4.0210685459293609</v>
      </c>
      <c r="L306" s="2">
        <v>0.3712383951322728</v>
      </c>
      <c r="M306" s="2">
        <v>9.9196521304604324E-2</v>
      </c>
      <c r="N306" s="1">
        <v>6</v>
      </c>
      <c r="O306" s="1">
        <v>8.5</v>
      </c>
    </row>
    <row r="307" spans="1:15" x14ac:dyDescent="0.25">
      <c r="A307" s="4" t="s">
        <v>94</v>
      </c>
      <c r="B307" s="1">
        <v>5</v>
      </c>
      <c r="C307" s="1" t="s">
        <v>129</v>
      </c>
      <c r="D307" s="1" t="s">
        <v>12</v>
      </c>
      <c r="E307" s="1">
        <v>3</v>
      </c>
      <c r="F307" s="1">
        <v>114</v>
      </c>
      <c r="G307" s="1">
        <v>131</v>
      </c>
      <c r="H307" s="1">
        <v>36</v>
      </c>
      <c r="I307" s="2">
        <v>2.5737193326790972</v>
      </c>
      <c r="J307" s="3">
        <v>15.129192352294922</v>
      </c>
      <c r="K307" s="2">
        <v>5.1979218208810316</v>
      </c>
      <c r="L307" s="2">
        <v>0.38938294844922183</v>
      </c>
      <c r="M307" s="2">
        <v>0.13377991880156048</v>
      </c>
      <c r="N307" s="1">
        <v>9.5</v>
      </c>
      <c r="O307" s="1">
        <v>5.5</v>
      </c>
    </row>
    <row r="308" spans="1:15" x14ac:dyDescent="0.25">
      <c r="A308" s="4" t="s">
        <v>94</v>
      </c>
      <c r="B308" s="1">
        <v>5</v>
      </c>
      <c r="C308" s="1" t="s">
        <v>130</v>
      </c>
      <c r="D308" s="1" t="s">
        <v>12</v>
      </c>
      <c r="E308" s="1">
        <v>1</v>
      </c>
      <c r="F308" s="1">
        <v>99</v>
      </c>
      <c r="G308" s="1">
        <v>125</v>
      </c>
      <c r="H308" s="1">
        <v>96</v>
      </c>
      <c r="I308" s="2">
        <v>2.29025641025641</v>
      </c>
      <c r="J308" s="3">
        <v>17.071916580200195</v>
      </c>
      <c r="K308" s="2">
        <v>3.9867352661480844</v>
      </c>
      <c r="L308" s="2">
        <v>0.39099066383166187</v>
      </c>
      <c r="M308" s="2">
        <v>9.1306459992909456E-2</v>
      </c>
      <c r="N308" s="1">
        <v>14</v>
      </c>
      <c r="O308" s="1">
        <v>5</v>
      </c>
    </row>
    <row r="309" spans="1:15" x14ac:dyDescent="0.25">
      <c r="A309" s="4" t="s">
        <v>94</v>
      </c>
      <c r="B309" s="1">
        <v>5</v>
      </c>
      <c r="C309" s="1" t="s">
        <v>130</v>
      </c>
      <c r="D309" s="1" t="s">
        <v>12</v>
      </c>
      <c r="E309" s="1">
        <v>2</v>
      </c>
      <c r="F309" s="1">
        <v>100</v>
      </c>
      <c r="G309" s="1">
        <v>140</v>
      </c>
      <c r="H309" s="1">
        <v>72</v>
      </c>
      <c r="I309" s="2">
        <v>2.3570058139534886</v>
      </c>
      <c r="J309" s="3">
        <v>15.678540229797363</v>
      </c>
      <c r="K309" s="2">
        <v>4.6470529669454868</v>
      </c>
      <c r="L309" s="2">
        <v>0.3695441047593605</v>
      </c>
      <c r="M309" s="2">
        <v>0.10953130860840322</v>
      </c>
      <c r="N309" s="1">
        <v>13</v>
      </c>
      <c r="O309" s="1">
        <v>4</v>
      </c>
    </row>
    <row r="310" spans="1:15" x14ac:dyDescent="0.25">
      <c r="A310" s="4" t="s">
        <v>94</v>
      </c>
      <c r="B310" s="1">
        <v>5</v>
      </c>
      <c r="C310" s="1" t="s">
        <v>130</v>
      </c>
      <c r="D310" s="1" t="s">
        <v>12</v>
      </c>
      <c r="E310" s="1">
        <v>3</v>
      </c>
      <c r="F310" s="1">
        <v>105</v>
      </c>
      <c r="G310" s="1">
        <v>132</v>
      </c>
      <c r="H310" s="1">
        <v>72</v>
      </c>
      <c r="I310" s="2">
        <v>2.4506219151036523</v>
      </c>
      <c r="J310" s="3">
        <v>15.927963256835938</v>
      </c>
      <c r="K310" s="2">
        <v>4.5959383580280608</v>
      </c>
      <c r="L310" s="2">
        <v>0.39033415820167888</v>
      </c>
      <c r="M310" s="2">
        <v>0.11262907260649062</v>
      </c>
      <c r="N310" s="1">
        <v>11</v>
      </c>
      <c r="O310" s="1">
        <v>2.5</v>
      </c>
    </row>
    <row r="311" spans="1:15" x14ac:dyDescent="0.25">
      <c r="A311" s="4" t="s">
        <v>94</v>
      </c>
      <c r="B311" s="1">
        <v>5</v>
      </c>
      <c r="C311" s="1" t="s">
        <v>131</v>
      </c>
      <c r="D311" s="1" t="s">
        <v>12</v>
      </c>
      <c r="E311" s="1">
        <v>1</v>
      </c>
      <c r="F311" s="1">
        <v>110</v>
      </c>
      <c r="G311" s="1">
        <v>143</v>
      </c>
      <c r="H311" s="1">
        <v>60</v>
      </c>
      <c r="I311" s="2">
        <v>2.5540726202158983</v>
      </c>
      <c r="J311" s="3">
        <v>15.116172790527344</v>
      </c>
      <c r="K311" s="2">
        <v>4.7820672478201462</v>
      </c>
      <c r="L311" s="2">
        <v>0.38607803046738437</v>
      </c>
      <c r="M311" s="2">
        <v>0.1221374702568863</v>
      </c>
      <c r="N311" s="1">
        <v>11.5</v>
      </c>
      <c r="O311" s="1">
        <v>4</v>
      </c>
    </row>
    <row r="312" spans="1:15" x14ac:dyDescent="0.25">
      <c r="A312" s="4" t="s">
        <v>94</v>
      </c>
      <c r="B312" s="1">
        <v>5</v>
      </c>
      <c r="C312" s="1" t="s">
        <v>131</v>
      </c>
      <c r="D312" s="1" t="s">
        <v>12</v>
      </c>
      <c r="E312" s="1">
        <v>2</v>
      </c>
      <c r="F312" s="1">
        <v>111</v>
      </c>
      <c r="G312" s="1">
        <v>142</v>
      </c>
      <c r="H312" s="1">
        <v>72</v>
      </c>
      <c r="I312" s="2">
        <v>2.3847352941176472</v>
      </c>
      <c r="J312" s="3">
        <v>13.569535255432129</v>
      </c>
      <c r="K312" s="2">
        <v>5.0629050705296867</v>
      </c>
      <c r="L312" s="2">
        <v>0.32359749648402725</v>
      </c>
      <c r="M312" s="2">
        <v>0.12073688412459339</v>
      </c>
      <c r="N312" s="1">
        <v>12</v>
      </c>
      <c r="O312" s="1">
        <v>5.5</v>
      </c>
    </row>
    <row r="313" spans="1:15" x14ac:dyDescent="0.25">
      <c r="A313" s="4" t="s">
        <v>94</v>
      </c>
      <c r="B313" s="1">
        <v>5</v>
      </c>
      <c r="C313" s="1" t="s">
        <v>131</v>
      </c>
      <c r="D313" s="1" t="s">
        <v>12</v>
      </c>
      <c r="E313" s="1">
        <v>3</v>
      </c>
      <c r="F313" s="1">
        <v>110</v>
      </c>
      <c r="G313" s="1">
        <v>130</v>
      </c>
      <c r="H313" s="1">
        <v>36</v>
      </c>
      <c r="I313" s="2">
        <v>2.4582514734774068</v>
      </c>
      <c r="J313" s="3">
        <v>15.657238960266113</v>
      </c>
      <c r="K313" s="2">
        <v>4.9879110251450394</v>
      </c>
      <c r="L313" s="2">
        <v>0.38489430744662029</v>
      </c>
      <c r="M313" s="2">
        <v>0.12261539627136996</v>
      </c>
      <c r="N313" s="1">
        <v>12.5</v>
      </c>
      <c r="O313" s="1">
        <v>1.5</v>
      </c>
    </row>
    <row r="314" spans="1:15" x14ac:dyDescent="0.25">
      <c r="A314" s="4" t="s">
        <v>94</v>
      </c>
      <c r="B314" s="1">
        <v>5</v>
      </c>
      <c r="C314" s="1" t="s">
        <v>132</v>
      </c>
      <c r="D314" s="1" t="s">
        <v>12</v>
      </c>
      <c r="E314" s="1">
        <v>1</v>
      </c>
      <c r="F314" s="1">
        <v>104</v>
      </c>
      <c r="G314" s="1">
        <v>146</v>
      </c>
      <c r="H314" s="1">
        <v>48</v>
      </c>
      <c r="I314" s="2">
        <v>2.5717391304347825</v>
      </c>
      <c r="J314" s="2" t="s">
        <v>13</v>
      </c>
      <c r="K314" s="2" t="s">
        <v>13</v>
      </c>
      <c r="L314" s="2" t="s">
        <v>13</v>
      </c>
      <c r="M314" s="2" t="s">
        <v>13</v>
      </c>
      <c r="N314" s="1">
        <v>11.5</v>
      </c>
      <c r="O314" s="1">
        <v>7</v>
      </c>
    </row>
    <row r="315" spans="1:15" x14ac:dyDescent="0.25">
      <c r="A315" s="4" t="s">
        <v>94</v>
      </c>
      <c r="B315" s="1">
        <v>5</v>
      </c>
      <c r="C315" s="1" t="s">
        <v>132</v>
      </c>
      <c r="D315" s="1" t="s">
        <v>12</v>
      </c>
      <c r="E315" s="1">
        <v>2</v>
      </c>
      <c r="F315" s="1">
        <v>105</v>
      </c>
      <c r="G315" s="1">
        <v>138</v>
      </c>
      <c r="H315" s="1">
        <v>84</v>
      </c>
      <c r="I315" s="2">
        <v>1.8720251937984496</v>
      </c>
      <c r="J315" s="2" t="s">
        <v>13</v>
      </c>
      <c r="K315" s="2" t="s">
        <v>13</v>
      </c>
      <c r="L315" s="2" t="s">
        <v>13</v>
      </c>
      <c r="M315" s="2" t="s">
        <v>13</v>
      </c>
      <c r="N315" s="1">
        <v>13.5</v>
      </c>
      <c r="O315" s="1">
        <v>8.5</v>
      </c>
    </row>
    <row r="316" spans="1:15" x14ac:dyDescent="0.25">
      <c r="A316" s="4" t="s">
        <v>94</v>
      </c>
      <c r="B316" s="1">
        <v>5</v>
      </c>
      <c r="C316" s="1" t="s">
        <v>132</v>
      </c>
      <c r="D316" s="1" t="s">
        <v>12</v>
      </c>
      <c r="E316" s="1">
        <v>3</v>
      </c>
      <c r="F316" s="1">
        <v>103</v>
      </c>
      <c r="G316" s="1">
        <v>152</v>
      </c>
      <c r="H316" s="1">
        <v>48</v>
      </c>
      <c r="I316" s="2">
        <v>2.4055809334657394</v>
      </c>
      <c r="J316" s="2" t="s">
        <v>13</v>
      </c>
      <c r="K316" s="2" t="s">
        <v>13</v>
      </c>
      <c r="L316" s="2" t="s">
        <v>13</v>
      </c>
      <c r="M316" s="2" t="s">
        <v>13</v>
      </c>
      <c r="N316" s="1">
        <v>11</v>
      </c>
      <c r="O316" s="1">
        <v>8</v>
      </c>
    </row>
    <row r="317" spans="1:15" x14ac:dyDescent="0.25">
      <c r="A317" s="4" t="s">
        <v>94</v>
      </c>
      <c r="B317" s="1">
        <v>5</v>
      </c>
      <c r="C317" s="1" t="s">
        <v>133</v>
      </c>
      <c r="D317" s="1" t="s">
        <v>12</v>
      </c>
      <c r="E317" s="1">
        <v>1</v>
      </c>
      <c r="F317" s="1">
        <v>112</v>
      </c>
      <c r="G317" s="1">
        <v>117</v>
      </c>
      <c r="H317" s="1">
        <v>84</v>
      </c>
      <c r="I317" s="2">
        <v>2.3484999999999996</v>
      </c>
      <c r="J317" s="3">
        <v>16.585969924926758</v>
      </c>
      <c r="K317" s="2">
        <v>4.0575762556647614</v>
      </c>
      <c r="L317" s="2">
        <v>0.38952150368690486</v>
      </c>
      <c r="M317" s="2">
        <v>9.5292178364286897E-2</v>
      </c>
      <c r="N317" s="1">
        <v>9</v>
      </c>
      <c r="O317" s="1">
        <v>5</v>
      </c>
    </row>
    <row r="318" spans="1:15" x14ac:dyDescent="0.25">
      <c r="A318" s="4" t="s">
        <v>94</v>
      </c>
      <c r="B318" s="1">
        <v>5</v>
      </c>
      <c r="C318" s="1" t="s">
        <v>133</v>
      </c>
      <c r="D318" s="1" t="s">
        <v>12</v>
      </c>
      <c r="E318" s="1">
        <v>2</v>
      </c>
      <c r="F318" s="1">
        <v>113</v>
      </c>
      <c r="G318" s="1">
        <v>133</v>
      </c>
      <c r="H318" s="1">
        <v>72</v>
      </c>
      <c r="I318" s="2">
        <v>2.48294921875</v>
      </c>
      <c r="J318" s="3">
        <v>15.689370155334473</v>
      </c>
      <c r="K318" s="2">
        <v>3.8497586578564418</v>
      </c>
      <c r="L318" s="2">
        <v>0.38955909369867292</v>
      </c>
      <c r="M318" s="2">
        <v>9.558755251900701E-2</v>
      </c>
      <c r="N318" s="1">
        <v>7</v>
      </c>
      <c r="O318" s="1">
        <v>3</v>
      </c>
    </row>
    <row r="319" spans="1:15" x14ac:dyDescent="0.25">
      <c r="A319" s="4" t="s">
        <v>94</v>
      </c>
      <c r="B319" s="1">
        <v>5</v>
      </c>
      <c r="C319" s="1" t="s">
        <v>133</v>
      </c>
      <c r="D319" s="1" t="s">
        <v>12</v>
      </c>
      <c r="E319" s="1">
        <v>3</v>
      </c>
      <c r="F319" s="1">
        <v>112</v>
      </c>
      <c r="G319" s="1">
        <v>135</v>
      </c>
      <c r="H319" s="1">
        <v>48</v>
      </c>
      <c r="I319" s="2">
        <v>2.3599214145383103</v>
      </c>
      <c r="J319" s="3">
        <v>14.756443023681641</v>
      </c>
      <c r="K319" s="2">
        <v>4.1274264847201234</v>
      </c>
      <c r="L319" s="2">
        <v>0.34824045894000755</v>
      </c>
      <c r="M319" s="2">
        <v>9.7404021482235981E-2</v>
      </c>
      <c r="N319" s="1">
        <v>9.5</v>
      </c>
      <c r="O319" s="1">
        <v>4.5</v>
      </c>
    </row>
    <row r="320" spans="1:15" x14ac:dyDescent="0.25">
      <c r="A320" s="4" t="s">
        <v>94</v>
      </c>
      <c r="B320" s="1">
        <v>5</v>
      </c>
      <c r="C320" s="1" t="s">
        <v>134</v>
      </c>
      <c r="D320" s="1" t="s">
        <v>12</v>
      </c>
      <c r="E320" s="1">
        <v>1</v>
      </c>
      <c r="F320" s="1">
        <v>104</v>
      </c>
      <c r="G320" s="1">
        <v>128</v>
      </c>
      <c r="H320" s="1">
        <v>36</v>
      </c>
      <c r="I320" s="2">
        <v>2.6803797468354427</v>
      </c>
      <c r="J320" s="3">
        <v>14.782251358032227</v>
      </c>
      <c r="K320" s="2">
        <v>3.534841016719739</v>
      </c>
      <c r="L320" s="2">
        <v>0.39622047152700302</v>
      </c>
      <c r="M320" s="2">
        <v>9.4747162694987938E-2</v>
      </c>
      <c r="N320" s="1">
        <v>13</v>
      </c>
      <c r="O320" s="1">
        <v>5</v>
      </c>
    </row>
    <row r="321" spans="1:15" x14ac:dyDescent="0.25">
      <c r="A321" s="4" t="s">
        <v>94</v>
      </c>
      <c r="B321" s="1">
        <v>5</v>
      </c>
      <c r="C321" s="1" t="s">
        <v>134</v>
      </c>
      <c r="D321" s="1" t="s">
        <v>12</v>
      </c>
      <c r="E321" s="1">
        <v>2</v>
      </c>
      <c r="F321" s="1">
        <v>107</v>
      </c>
      <c r="G321" s="1">
        <v>132</v>
      </c>
      <c r="H321" s="1">
        <v>48</v>
      </c>
      <c r="I321" s="2">
        <v>3.0618823529411765</v>
      </c>
      <c r="J321" s="3">
        <v>15.311819076538086</v>
      </c>
      <c r="K321" s="2">
        <v>3.3941520467832778</v>
      </c>
      <c r="L321" s="2">
        <v>0.46882988621880028</v>
      </c>
      <c r="M321" s="2">
        <v>0.10392494255244893</v>
      </c>
      <c r="N321" s="1">
        <v>9.5</v>
      </c>
      <c r="O321" s="1">
        <v>5.5</v>
      </c>
    </row>
    <row r="322" spans="1:15" x14ac:dyDescent="0.25">
      <c r="A322" s="4" t="s">
        <v>94</v>
      </c>
      <c r="B322" s="1">
        <v>5</v>
      </c>
      <c r="C322" s="1" t="s">
        <v>134</v>
      </c>
      <c r="D322" s="1" t="s">
        <v>12</v>
      </c>
      <c r="E322" s="1">
        <v>3</v>
      </c>
      <c r="F322" s="1">
        <v>111</v>
      </c>
      <c r="G322" s="1">
        <v>127</v>
      </c>
      <c r="H322" s="1">
        <v>48</v>
      </c>
      <c r="I322" s="2">
        <v>2.342765957446808</v>
      </c>
      <c r="J322" s="3">
        <v>13.890537261962891</v>
      </c>
      <c r="K322" s="2">
        <v>3.1916603522302953</v>
      </c>
      <c r="L322" s="2">
        <v>0.32542277827973054</v>
      </c>
      <c r="M322" s="2">
        <v>7.4773132209378243E-2</v>
      </c>
      <c r="N322" s="1">
        <v>9</v>
      </c>
      <c r="O322" s="1">
        <v>3</v>
      </c>
    </row>
    <row r="323" spans="1:15" x14ac:dyDescent="0.25">
      <c r="A323" s="4" t="s">
        <v>94</v>
      </c>
      <c r="B323" s="1">
        <v>5</v>
      </c>
      <c r="C323" s="1" t="s">
        <v>135</v>
      </c>
      <c r="D323" s="1" t="s">
        <v>12</v>
      </c>
      <c r="E323" s="1">
        <v>1</v>
      </c>
      <c r="F323" s="1">
        <v>106</v>
      </c>
      <c r="G323" s="1">
        <v>146</v>
      </c>
      <c r="H323" s="5">
        <v>60</v>
      </c>
      <c r="I323" s="2">
        <v>2.3396153846153847</v>
      </c>
      <c r="J323" s="3">
        <v>14.572544097900391</v>
      </c>
      <c r="K323" s="2">
        <v>4.0663235579728632</v>
      </c>
      <c r="L323" s="2">
        <v>0.34094148364433879</v>
      </c>
      <c r="M323" s="2">
        <v>9.51363315505728E-2</v>
      </c>
      <c r="N323" s="1">
        <v>10</v>
      </c>
      <c r="O323" s="1">
        <v>9</v>
      </c>
    </row>
    <row r="324" spans="1:15" x14ac:dyDescent="0.25">
      <c r="A324" s="4" t="s">
        <v>94</v>
      </c>
      <c r="B324" s="1">
        <v>5</v>
      </c>
      <c r="C324" s="1" t="s">
        <v>135</v>
      </c>
      <c r="D324" s="1" t="s">
        <v>12</v>
      </c>
      <c r="E324" s="1">
        <v>2</v>
      </c>
      <c r="F324" s="1">
        <v>107</v>
      </c>
      <c r="G324" s="1">
        <v>140</v>
      </c>
      <c r="H324" s="1">
        <v>48</v>
      </c>
      <c r="I324" s="2">
        <v>2.1800000000000002</v>
      </c>
      <c r="J324" s="3">
        <v>15.300506591796875</v>
      </c>
      <c r="K324" s="2">
        <v>4.1598654597612059</v>
      </c>
      <c r="L324" s="2">
        <v>0.33355104370117189</v>
      </c>
      <c r="M324" s="2">
        <v>9.0685067022794288E-2</v>
      </c>
      <c r="N324" s="1">
        <v>10</v>
      </c>
      <c r="O324" s="1">
        <v>8</v>
      </c>
    </row>
    <row r="325" spans="1:15" x14ac:dyDescent="0.25">
      <c r="A325" s="4" t="s">
        <v>94</v>
      </c>
      <c r="B325" s="1">
        <v>5</v>
      </c>
      <c r="C325" s="1" t="s">
        <v>135</v>
      </c>
      <c r="D325" s="1" t="s">
        <v>12</v>
      </c>
      <c r="E325" s="1">
        <v>3</v>
      </c>
      <c r="F325" s="1">
        <v>103</v>
      </c>
      <c r="G325" s="1">
        <v>144</v>
      </c>
      <c r="H325" s="1">
        <v>72</v>
      </c>
      <c r="I325" s="2">
        <v>2.3092567567567568</v>
      </c>
      <c r="J325" s="3">
        <v>13.197869300842285</v>
      </c>
      <c r="K325" s="2">
        <v>3.948809879494247</v>
      </c>
      <c r="L325" s="2">
        <v>0.30477268857762624</v>
      </c>
      <c r="M325" s="2">
        <v>9.118815895369925E-2</v>
      </c>
      <c r="N325" s="1">
        <v>13</v>
      </c>
      <c r="O325" s="1">
        <v>4</v>
      </c>
    </row>
    <row r="326" spans="1:15" x14ac:dyDescent="0.25">
      <c r="A326" s="4" t="s">
        <v>94</v>
      </c>
      <c r="B326" s="1">
        <v>5</v>
      </c>
      <c r="C326" s="1" t="s">
        <v>136</v>
      </c>
      <c r="D326" s="1" t="s">
        <v>12</v>
      </c>
      <c r="E326" s="1">
        <v>1</v>
      </c>
      <c r="F326" s="1">
        <v>107</v>
      </c>
      <c r="G326" s="1">
        <v>126</v>
      </c>
      <c r="H326" s="1">
        <v>36</v>
      </c>
      <c r="I326" s="2">
        <v>2.8813645418326694</v>
      </c>
      <c r="J326" s="2" t="s">
        <v>13</v>
      </c>
      <c r="K326" s="2" t="s">
        <v>13</v>
      </c>
      <c r="L326" s="2" t="s">
        <v>13</v>
      </c>
      <c r="M326" s="2" t="s">
        <v>13</v>
      </c>
      <c r="N326" s="1">
        <v>14.5</v>
      </c>
      <c r="O326" s="1">
        <v>2.5</v>
      </c>
    </row>
    <row r="327" spans="1:15" x14ac:dyDescent="0.25">
      <c r="A327" s="4" t="s">
        <v>94</v>
      </c>
      <c r="B327" s="1">
        <v>5</v>
      </c>
      <c r="C327" s="1" t="s">
        <v>136</v>
      </c>
      <c r="D327" s="1" t="s">
        <v>12</v>
      </c>
      <c r="E327" s="1">
        <v>2</v>
      </c>
      <c r="F327" s="1">
        <v>104</v>
      </c>
      <c r="G327" s="1">
        <v>133</v>
      </c>
      <c r="H327" s="1">
        <v>60</v>
      </c>
      <c r="I327" s="2">
        <v>2.4807810993249757</v>
      </c>
      <c r="J327" s="2" t="s">
        <v>13</v>
      </c>
      <c r="K327" s="2" t="s">
        <v>13</v>
      </c>
      <c r="L327" s="2" t="s">
        <v>13</v>
      </c>
      <c r="M327" s="2" t="s">
        <v>13</v>
      </c>
      <c r="N327" s="1">
        <v>12</v>
      </c>
      <c r="O327" s="1">
        <v>4</v>
      </c>
    </row>
    <row r="328" spans="1:15" x14ac:dyDescent="0.25">
      <c r="A328" s="4" t="s">
        <v>94</v>
      </c>
      <c r="B328" s="1">
        <v>5</v>
      </c>
      <c r="C328" s="1" t="s">
        <v>136</v>
      </c>
      <c r="D328" s="1" t="s">
        <v>12</v>
      </c>
      <c r="E328" s="1">
        <v>3</v>
      </c>
      <c r="F328" s="1">
        <v>107</v>
      </c>
      <c r="G328" s="1">
        <v>137</v>
      </c>
      <c r="H328" s="1">
        <v>60</v>
      </c>
      <c r="I328" s="2">
        <v>2.8131380337636545</v>
      </c>
      <c r="J328" s="2" t="s">
        <v>13</v>
      </c>
      <c r="K328" s="2" t="s">
        <v>13</v>
      </c>
      <c r="L328" s="2" t="s">
        <v>13</v>
      </c>
      <c r="M328" s="2" t="s">
        <v>13</v>
      </c>
      <c r="N328" s="1">
        <v>12.5</v>
      </c>
      <c r="O328" s="1">
        <v>8</v>
      </c>
    </row>
    <row r="329" spans="1:15" x14ac:dyDescent="0.25">
      <c r="A329" s="4" t="s">
        <v>94</v>
      </c>
      <c r="B329" s="1">
        <v>5</v>
      </c>
      <c r="C329" s="1" t="s">
        <v>137</v>
      </c>
      <c r="D329" s="1" t="s">
        <v>12</v>
      </c>
      <c r="E329" s="1">
        <v>1</v>
      </c>
      <c r="F329" s="1">
        <v>112</v>
      </c>
      <c r="G329" s="1">
        <v>144</v>
      </c>
      <c r="H329" s="1">
        <v>84</v>
      </c>
      <c r="I329" s="2">
        <v>2.7291233140655109</v>
      </c>
      <c r="J329" s="3">
        <v>17.063966751098633</v>
      </c>
      <c r="K329" s="2">
        <v>4.4363818341049033</v>
      </c>
      <c r="L329" s="2">
        <v>0.46569669490861992</v>
      </c>
      <c r="M329" s="2">
        <v>0.12107433093552404</v>
      </c>
      <c r="N329" s="1">
        <v>13</v>
      </c>
      <c r="O329" s="1">
        <v>5</v>
      </c>
    </row>
    <row r="330" spans="1:15" x14ac:dyDescent="0.25">
      <c r="A330" s="4" t="s">
        <v>94</v>
      </c>
      <c r="B330" s="1">
        <v>5</v>
      </c>
      <c r="C330" s="1" t="s">
        <v>137</v>
      </c>
      <c r="D330" s="1" t="s">
        <v>12</v>
      </c>
      <c r="E330" s="1">
        <v>2</v>
      </c>
      <c r="F330" s="1">
        <v>113</v>
      </c>
      <c r="G330" s="1">
        <v>148</v>
      </c>
      <c r="H330" s="1">
        <v>48</v>
      </c>
      <c r="I330" s="2">
        <v>2.8557941176470591</v>
      </c>
      <c r="J330" s="3">
        <v>14.995281219482422</v>
      </c>
      <c r="K330" s="2">
        <v>4.1283953042882686</v>
      </c>
      <c r="L330" s="2">
        <v>0.42823435899061324</v>
      </c>
      <c r="M330" s="2">
        <v>0.1178984702530818</v>
      </c>
      <c r="N330" s="1">
        <v>12</v>
      </c>
      <c r="O330" s="1">
        <v>2.5</v>
      </c>
    </row>
    <row r="331" spans="1:15" x14ac:dyDescent="0.25">
      <c r="A331" s="4" t="s">
        <v>94</v>
      </c>
      <c r="B331" s="1">
        <v>5</v>
      </c>
      <c r="C331" s="1" t="s">
        <v>137</v>
      </c>
      <c r="D331" s="1" t="s">
        <v>12</v>
      </c>
      <c r="E331" s="1">
        <v>3</v>
      </c>
      <c r="F331" s="1">
        <v>109</v>
      </c>
      <c r="G331" s="1">
        <v>142</v>
      </c>
      <c r="H331" s="1">
        <v>96</v>
      </c>
      <c r="I331" s="2">
        <v>2.8261204343534057</v>
      </c>
      <c r="J331" s="3">
        <v>16.463682174682617</v>
      </c>
      <c r="K331" s="2">
        <v>3.8266204052897232</v>
      </c>
      <c r="L331" s="2">
        <v>0.46528348618570459</v>
      </c>
      <c r="M331" s="2">
        <v>0.10814490121902998</v>
      </c>
      <c r="N331" s="1">
        <v>10.5</v>
      </c>
      <c r="O331" s="1">
        <v>2</v>
      </c>
    </row>
    <row r="332" spans="1:15" x14ac:dyDescent="0.25">
      <c r="A332" s="4" t="s">
        <v>94</v>
      </c>
      <c r="B332" s="1">
        <v>5</v>
      </c>
      <c r="C332" s="1" t="s">
        <v>138</v>
      </c>
      <c r="D332" s="1" t="s">
        <v>12</v>
      </c>
      <c r="E332" s="1">
        <v>1</v>
      </c>
      <c r="F332" s="1">
        <v>115</v>
      </c>
      <c r="G332" s="1">
        <v>105</v>
      </c>
      <c r="H332" s="1">
        <v>60</v>
      </c>
      <c r="I332" s="2">
        <v>2.2732261208576996</v>
      </c>
      <c r="J332" s="3">
        <v>15.051080703735352</v>
      </c>
      <c r="K332" s="2">
        <v>3.8586350268733765</v>
      </c>
      <c r="L332" s="2">
        <v>0.34214509802868487</v>
      </c>
      <c r="M332" s="2">
        <v>8.7715499339450109E-2</v>
      </c>
      <c r="N332" s="1">
        <v>14</v>
      </c>
      <c r="O332" s="1">
        <v>3</v>
      </c>
    </row>
    <row r="333" spans="1:15" x14ac:dyDescent="0.25">
      <c r="A333" s="4" t="s">
        <v>94</v>
      </c>
      <c r="B333" s="1">
        <v>5</v>
      </c>
      <c r="C333" s="1" t="s">
        <v>138</v>
      </c>
      <c r="D333" s="1" t="s">
        <v>12</v>
      </c>
      <c r="E333" s="1">
        <v>2</v>
      </c>
      <c r="F333" s="1">
        <v>118</v>
      </c>
      <c r="G333" s="1">
        <v>110</v>
      </c>
      <c r="H333" s="1">
        <v>72</v>
      </c>
      <c r="I333" s="2">
        <v>2.392828685258964</v>
      </c>
      <c r="J333" s="3">
        <v>14.528020858764648</v>
      </c>
      <c r="K333" s="2">
        <v>3.7976576127585373</v>
      </c>
      <c r="L333" s="2">
        <v>0.34763065050892616</v>
      </c>
      <c r="M333" s="2">
        <v>9.0871440726007058E-2</v>
      </c>
      <c r="N333" s="1">
        <v>11</v>
      </c>
      <c r="O333" s="1">
        <v>1.5</v>
      </c>
    </row>
    <row r="334" spans="1:15" x14ac:dyDescent="0.25">
      <c r="A334" s="4" t="s">
        <v>94</v>
      </c>
      <c r="B334" s="1">
        <v>5</v>
      </c>
      <c r="C334" s="1" t="s">
        <v>138</v>
      </c>
      <c r="D334" s="1" t="s">
        <v>12</v>
      </c>
      <c r="E334" s="1">
        <v>3</v>
      </c>
      <c r="F334" s="1">
        <v>114</v>
      </c>
      <c r="G334" s="1">
        <v>99</v>
      </c>
      <c r="H334" s="1">
        <v>48</v>
      </c>
      <c r="I334" s="2">
        <v>2.3842716535433071</v>
      </c>
      <c r="J334" s="3">
        <v>15.518218040466309</v>
      </c>
      <c r="K334" s="2">
        <v>3.9259905912023574</v>
      </c>
      <c r="L334" s="2">
        <v>0.36999647387388185</v>
      </c>
      <c r="M334" s="2">
        <v>9.3606280786815099E-2</v>
      </c>
      <c r="N334" s="1">
        <v>12</v>
      </c>
      <c r="O334" s="1">
        <v>3</v>
      </c>
    </row>
    <row r="335" spans="1:15" x14ac:dyDescent="0.25">
      <c r="A335" s="4" t="s">
        <v>94</v>
      </c>
      <c r="B335" s="1" t="s">
        <v>20</v>
      </c>
      <c r="C335" s="1" t="s">
        <v>139</v>
      </c>
      <c r="D335" s="1" t="s">
        <v>12</v>
      </c>
      <c r="E335" s="1">
        <v>1</v>
      </c>
      <c r="F335" s="1">
        <v>138</v>
      </c>
      <c r="G335" s="1">
        <v>120</v>
      </c>
      <c r="H335" s="5">
        <v>60</v>
      </c>
      <c r="I335" s="2">
        <v>1.4741094527363183</v>
      </c>
      <c r="J335" s="3">
        <v>13.627857208251953</v>
      </c>
      <c r="K335" s="2" t="s">
        <v>13</v>
      </c>
      <c r="L335" s="2">
        <v>0.20088953131224979</v>
      </c>
      <c r="M335" s="2" t="s">
        <v>13</v>
      </c>
      <c r="N335" s="1">
        <v>13</v>
      </c>
      <c r="O335" s="1">
        <v>1.5</v>
      </c>
    </row>
    <row r="336" spans="1:15" x14ac:dyDescent="0.25">
      <c r="A336" s="4" t="s">
        <v>94</v>
      </c>
      <c r="B336" s="1" t="s">
        <v>20</v>
      </c>
      <c r="C336" s="1" t="s">
        <v>139</v>
      </c>
      <c r="D336" s="1" t="s">
        <v>12</v>
      </c>
      <c r="E336" s="1">
        <v>2</v>
      </c>
      <c r="F336" s="1">
        <v>139</v>
      </c>
      <c r="G336" s="1">
        <v>116</v>
      </c>
      <c r="H336" s="1">
        <v>60</v>
      </c>
      <c r="I336" s="2">
        <v>1.9395402298850575</v>
      </c>
      <c r="J336" s="3">
        <v>13.198898315429688</v>
      </c>
      <c r="K336" s="2" t="s">
        <v>13</v>
      </c>
      <c r="L336" s="2">
        <v>0.25599794272937998</v>
      </c>
      <c r="M336" s="2" t="s">
        <v>13</v>
      </c>
      <c r="N336" s="1">
        <v>11.5</v>
      </c>
      <c r="O336" s="1">
        <v>2.5</v>
      </c>
    </row>
    <row r="337" spans="1:135" x14ac:dyDescent="0.25">
      <c r="A337" s="4" t="s">
        <v>94</v>
      </c>
      <c r="B337" s="1" t="s">
        <v>20</v>
      </c>
      <c r="C337" s="1" t="s">
        <v>139</v>
      </c>
      <c r="D337" s="1" t="s">
        <v>12</v>
      </c>
      <c r="E337" s="1">
        <v>3</v>
      </c>
      <c r="F337" s="1">
        <v>127</v>
      </c>
      <c r="G337" s="1">
        <v>129</v>
      </c>
      <c r="H337" s="1">
        <v>84</v>
      </c>
      <c r="I337" s="2">
        <v>2.8134615384615382</v>
      </c>
      <c r="J337" s="3">
        <v>11.685407638549805</v>
      </c>
      <c r="K337" s="2" t="s">
        <v>13</v>
      </c>
      <c r="L337" s="2">
        <v>0.32876444952304545</v>
      </c>
      <c r="M337" s="2" t="s">
        <v>13</v>
      </c>
      <c r="N337" s="1">
        <v>14.5</v>
      </c>
      <c r="O337" s="1">
        <v>2</v>
      </c>
      <c r="ED337" s="1"/>
      <c r="EE337" s="1"/>
    </row>
    <row r="338" spans="1:135" x14ac:dyDescent="0.25">
      <c r="A338" s="4" t="s">
        <v>94</v>
      </c>
      <c r="B338" s="1">
        <v>5</v>
      </c>
      <c r="C338" s="1" t="s">
        <v>140</v>
      </c>
      <c r="D338" s="1" t="s">
        <v>12</v>
      </c>
      <c r="E338" s="1">
        <v>1</v>
      </c>
      <c r="F338" s="1">
        <v>107</v>
      </c>
      <c r="G338" s="1">
        <v>138</v>
      </c>
      <c r="H338" s="1">
        <v>60</v>
      </c>
      <c r="I338" s="2">
        <v>2.6485603112840472</v>
      </c>
      <c r="J338" s="3">
        <v>16.351001739501953</v>
      </c>
      <c r="K338" s="2">
        <v>4.7551105753861407</v>
      </c>
      <c r="L338" s="2">
        <v>0.43306614256981291</v>
      </c>
      <c r="M338" s="2">
        <v>0.12594197145734781</v>
      </c>
      <c r="N338" s="1">
        <v>15</v>
      </c>
      <c r="O338" s="1">
        <v>2</v>
      </c>
      <c r="ED338" s="1"/>
      <c r="EE338" s="1"/>
    </row>
    <row r="339" spans="1:135" x14ac:dyDescent="0.25">
      <c r="A339" s="4" t="s">
        <v>94</v>
      </c>
      <c r="B339" s="1">
        <v>5</v>
      </c>
      <c r="C339" s="1" t="s">
        <v>140</v>
      </c>
      <c r="D339" s="1" t="s">
        <v>12</v>
      </c>
      <c r="E339" s="1">
        <v>2</v>
      </c>
      <c r="F339" s="1">
        <v>105</v>
      </c>
      <c r="G339" s="1">
        <v>142</v>
      </c>
      <c r="H339" s="1">
        <v>48</v>
      </c>
      <c r="I339" s="2">
        <v>2.8328395061728395</v>
      </c>
      <c r="J339" s="3">
        <v>14.506586074829102</v>
      </c>
      <c r="K339" s="2">
        <v>4.5549449230840935</v>
      </c>
      <c r="L339" s="2">
        <v>0.41094830132472659</v>
      </c>
      <c r="M339" s="2">
        <v>0.12903427926554026</v>
      </c>
      <c r="N339" s="1">
        <v>14</v>
      </c>
      <c r="O339" s="1">
        <v>3.5</v>
      </c>
      <c r="ED339" s="1"/>
      <c r="EE339" s="1"/>
    </row>
    <row r="340" spans="1:135" x14ac:dyDescent="0.25">
      <c r="A340" s="4" t="s">
        <v>94</v>
      </c>
      <c r="B340" s="1">
        <v>5</v>
      </c>
      <c r="C340" s="1" t="s">
        <v>140</v>
      </c>
      <c r="D340" s="1" t="s">
        <v>12</v>
      </c>
      <c r="E340" s="1">
        <v>3</v>
      </c>
      <c r="F340" s="1">
        <v>108</v>
      </c>
      <c r="G340" s="1">
        <v>138</v>
      </c>
      <c r="H340" s="1">
        <v>60</v>
      </c>
      <c r="I340" s="2">
        <v>2.6607608695652174</v>
      </c>
      <c r="J340" s="3">
        <v>15.423008918762207</v>
      </c>
      <c r="K340" s="2">
        <v>4.9741230592297665</v>
      </c>
      <c r="L340" s="2">
        <v>0.41036938621997832</v>
      </c>
      <c r="M340" s="2">
        <v>0.13234951996400593</v>
      </c>
      <c r="N340" s="1">
        <v>17</v>
      </c>
      <c r="O340" s="1">
        <v>5</v>
      </c>
      <c r="ED340" s="1"/>
      <c r="EE340" s="1"/>
    </row>
    <row r="341" spans="1:135" x14ac:dyDescent="0.25">
      <c r="A341" s="4" t="s">
        <v>94</v>
      </c>
      <c r="B341" s="1">
        <v>5</v>
      </c>
      <c r="C341" s="1" t="s">
        <v>141</v>
      </c>
      <c r="D341" s="1" t="s">
        <v>12</v>
      </c>
      <c r="E341" s="1">
        <v>1</v>
      </c>
      <c r="F341" s="1">
        <v>110</v>
      </c>
      <c r="G341" s="1">
        <v>112</v>
      </c>
      <c r="H341" s="5">
        <v>66</v>
      </c>
      <c r="I341" s="2">
        <v>2.3622418879056046</v>
      </c>
      <c r="J341" s="3">
        <v>13.496613502502441</v>
      </c>
      <c r="K341" s="2">
        <v>3.8031480948268457</v>
      </c>
      <c r="L341" s="2">
        <v>0.31882265760483641</v>
      </c>
      <c r="M341" s="2">
        <v>8.9839557355083713E-2</v>
      </c>
      <c r="N341" s="1">
        <v>13</v>
      </c>
      <c r="O341" s="1">
        <v>2.5</v>
      </c>
      <c r="ED341" s="1"/>
      <c r="EE341" s="1"/>
    </row>
    <row r="342" spans="1:135" x14ac:dyDescent="0.25">
      <c r="A342" s="4" t="s">
        <v>94</v>
      </c>
      <c r="B342" s="1">
        <v>5</v>
      </c>
      <c r="C342" s="1" t="s">
        <v>141</v>
      </c>
      <c r="D342" s="1" t="s">
        <v>12</v>
      </c>
      <c r="E342" s="1">
        <v>2</v>
      </c>
      <c r="F342" s="1">
        <v>115</v>
      </c>
      <c r="G342" s="1">
        <v>98</v>
      </c>
      <c r="H342" s="1">
        <v>60</v>
      </c>
      <c r="I342" s="2">
        <v>2.5246896551724136</v>
      </c>
      <c r="J342" s="3">
        <v>15.102526664733887</v>
      </c>
      <c r="K342" s="2">
        <v>3.4920712013404605</v>
      </c>
      <c r="L342" s="2">
        <v>0.38129192837419179</v>
      </c>
      <c r="M342" s="2">
        <v>8.8163960371497624E-2</v>
      </c>
      <c r="N342" s="1">
        <v>12</v>
      </c>
      <c r="O342" s="1">
        <v>1</v>
      </c>
      <c r="ED342" s="1"/>
      <c r="EE342" s="1"/>
    </row>
    <row r="343" spans="1:135" x14ac:dyDescent="0.25">
      <c r="A343" s="4" t="s">
        <v>94</v>
      </c>
      <c r="B343" s="1">
        <v>5</v>
      </c>
      <c r="C343" s="1" t="s">
        <v>141</v>
      </c>
      <c r="D343" s="1" t="s">
        <v>12</v>
      </c>
      <c r="E343" s="1">
        <v>3</v>
      </c>
      <c r="F343" s="1">
        <v>114</v>
      </c>
      <c r="G343" s="1">
        <v>105</v>
      </c>
      <c r="H343" s="1">
        <v>96</v>
      </c>
      <c r="I343" s="2">
        <v>2.5748554336989034</v>
      </c>
      <c r="J343" s="3">
        <v>13.50395393371582</v>
      </c>
      <c r="K343" s="2">
        <v>3.4579930266992305</v>
      </c>
      <c r="L343" s="2">
        <v>0.34770729162647862</v>
      </c>
      <c r="M343" s="2">
        <v>8.9038321344894311E-2</v>
      </c>
      <c r="N343" s="1">
        <v>12.5</v>
      </c>
      <c r="O343" s="1">
        <v>2.5</v>
      </c>
      <c r="ED343" s="1"/>
      <c r="EE343" s="1"/>
    </row>
    <row r="344" spans="1:135" x14ac:dyDescent="0.25">
      <c r="A344" s="4" t="s">
        <v>14</v>
      </c>
      <c r="B344" s="1">
        <v>1</v>
      </c>
      <c r="C344" s="1" t="s">
        <v>142</v>
      </c>
      <c r="D344" s="1" t="s">
        <v>12</v>
      </c>
      <c r="E344" s="1">
        <v>1</v>
      </c>
      <c r="F344" s="5">
        <v>0</v>
      </c>
      <c r="G344" s="1">
        <v>107</v>
      </c>
      <c r="H344" s="1">
        <v>36</v>
      </c>
      <c r="I344" s="2" t="s">
        <v>13</v>
      </c>
      <c r="J344" s="2" t="s">
        <v>13</v>
      </c>
      <c r="K344" s="2" t="s">
        <v>13</v>
      </c>
      <c r="L344" s="2" t="s">
        <v>13</v>
      </c>
      <c r="M344" s="2" t="s">
        <v>13</v>
      </c>
      <c r="N344" s="2" t="s">
        <v>13</v>
      </c>
      <c r="O344" s="2" t="s">
        <v>13</v>
      </c>
      <c r="ED344" s="1"/>
      <c r="EE344" s="1"/>
    </row>
    <row r="345" spans="1:135" x14ac:dyDescent="0.25">
      <c r="A345" s="4" t="s">
        <v>14</v>
      </c>
      <c r="B345" s="1">
        <v>1</v>
      </c>
      <c r="C345" s="1" t="s">
        <v>142</v>
      </c>
      <c r="D345" s="1" t="s">
        <v>12</v>
      </c>
      <c r="E345" s="1">
        <v>2</v>
      </c>
      <c r="F345" s="5">
        <v>0</v>
      </c>
      <c r="G345" s="1">
        <v>100</v>
      </c>
      <c r="H345" s="1">
        <v>24</v>
      </c>
      <c r="I345" s="2" t="s">
        <v>13</v>
      </c>
      <c r="J345" s="2" t="s">
        <v>13</v>
      </c>
      <c r="K345" s="2" t="s">
        <v>13</v>
      </c>
      <c r="L345" s="2" t="s">
        <v>13</v>
      </c>
      <c r="M345" s="2" t="s">
        <v>13</v>
      </c>
      <c r="N345" s="2" t="s">
        <v>13</v>
      </c>
      <c r="O345" s="2" t="s">
        <v>13</v>
      </c>
      <c r="ED345" s="1"/>
      <c r="EE345" s="1"/>
    </row>
    <row r="346" spans="1:135" x14ac:dyDescent="0.25">
      <c r="A346" s="4" t="s">
        <v>14</v>
      </c>
      <c r="B346" s="1">
        <v>1</v>
      </c>
      <c r="C346" s="1" t="s">
        <v>142</v>
      </c>
      <c r="D346" s="1" t="s">
        <v>12</v>
      </c>
      <c r="E346" s="1">
        <v>3</v>
      </c>
      <c r="F346" s="5">
        <v>0</v>
      </c>
      <c r="G346" s="1">
        <v>103</v>
      </c>
      <c r="H346" s="1">
        <v>48</v>
      </c>
      <c r="I346" s="2" t="s">
        <v>13</v>
      </c>
      <c r="J346" s="2" t="s">
        <v>13</v>
      </c>
      <c r="K346" s="2" t="s">
        <v>13</v>
      </c>
      <c r="L346" s="2" t="s">
        <v>13</v>
      </c>
      <c r="M346" s="2" t="s">
        <v>13</v>
      </c>
      <c r="N346" s="2" t="s">
        <v>13</v>
      </c>
      <c r="O346" s="2" t="s">
        <v>13</v>
      </c>
      <c r="ED346" s="1"/>
      <c r="EE346" s="1"/>
    </row>
    <row r="347" spans="1:135" x14ac:dyDescent="0.25">
      <c r="A347" s="4" t="s">
        <v>94</v>
      </c>
      <c r="B347" s="1">
        <v>5</v>
      </c>
      <c r="C347" s="1" t="s">
        <v>143</v>
      </c>
      <c r="D347" s="1" t="s">
        <v>12</v>
      </c>
      <c r="E347" s="1">
        <v>1</v>
      </c>
      <c r="F347" s="1">
        <v>100</v>
      </c>
      <c r="G347" s="1">
        <v>125</v>
      </c>
      <c r="H347" s="1">
        <v>36</v>
      </c>
      <c r="I347" s="2" t="s">
        <v>13</v>
      </c>
      <c r="J347" s="2" t="s">
        <v>13</v>
      </c>
      <c r="K347" s="2" t="s">
        <v>13</v>
      </c>
      <c r="L347" s="2" t="s">
        <v>13</v>
      </c>
      <c r="M347" s="2" t="s">
        <v>13</v>
      </c>
      <c r="N347" s="1">
        <v>11.5</v>
      </c>
      <c r="O347" s="1">
        <v>8</v>
      </c>
      <c r="ED347" s="1"/>
      <c r="EE347" s="1"/>
    </row>
    <row r="348" spans="1:135" x14ac:dyDescent="0.25">
      <c r="A348" s="4" t="s">
        <v>94</v>
      </c>
      <c r="B348" s="1">
        <v>5</v>
      </c>
      <c r="C348" s="1" t="s">
        <v>143</v>
      </c>
      <c r="D348" s="1" t="s">
        <v>12</v>
      </c>
      <c r="E348" s="1">
        <v>2</v>
      </c>
      <c r="F348" s="1">
        <v>98</v>
      </c>
      <c r="G348" s="1">
        <v>106</v>
      </c>
      <c r="H348" s="1">
        <v>60</v>
      </c>
      <c r="I348" s="2" t="s">
        <v>13</v>
      </c>
      <c r="J348" s="2" t="s">
        <v>13</v>
      </c>
      <c r="K348" s="2" t="s">
        <v>13</v>
      </c>
      <c r="L348" s="2" t="s">
        <v>13</v>
      </c>
      <c r="M348" s="2" t="s">
        <v>13</v>
      </c>
      <c r="N348" s="1">
        <v>10.5</v>
      </c>
      <c r="O348" s="1">
        <v>1</v>
      </c>
      <c r="ED348" s="1"/>
      <c r="EE348" s="1"/>
    </row>
    <row r="349" spans="1:135" x14ac:dyDescent="0.25">
      <c r="A349" s="4" t="s">
        <v>94</v>
      </c>
      <c r="B349" s="1">
        <v>5</v>
      </c>
      <c r="C349" s="1" t="s">
        <v>143</v>
      </c>
      <c r="D349" s="1" t="s">
        <v>12</v>
      </c>
      <c r="E349" s="1">
        <v>3</v>
      </c>
      <c r="F349" s="1">
        <v>98</v>
      </c>
      <c r="G349" s="1">
        <v>113</v>
      </c>
      <c r="H349" s="1">
        <v>48</v>
      </c>
      <c r="I349" s="2" t="s">
        <v>13</v>
      </c>
      <c r="J349" s="2" t="s">
        <v>13</v>
      </c>
      <c r="K349" s="2" t="s">
        <v>13</v>
      </c>
      <c r="L349" s="2" t="s">
        <v>13</v>
      </c>
      <c r="M349" s="2" t="s">
        <v>13</v>
      </c>
      <c r="N349" s="1">
        <v>12</v>
      </c>
      <c r="O349" s="1">
        <v>7.5</v>
      </c>
      <c r="ED349" s="1"/>
      <c r="EE349" s="1"/>
    </row>
    <row r="350" spans="1:135" x14ac:dyDescent="0.25">
      <c r="A350" s="4" t="s">
        <v>94</v>
      </c>
      <c r="B350" s="1">
        <v>5</v>
      </c>
      <c r="C350" s="1" t="s">
        <v>144</v>
      </c>
      <c r="D350" s="1" t="s">
        <v>12</v>
      </c>
      <c r="E350" s="1">
        <v>1</v>
      </c>
      <c r="F350" s="1">
        <v>108</v>
      </c>
      <c r="G350" s="1">
        <v>144</v>
      </c>
      <c r="H350" s="1">
        <v>48</v>
      </c>
      <c r="I350" s="2">
        <v>2.0294515181194908</v>
      </c>
      <c r="J350" s="3">
        <v>12.825599670410156</v>
      </c>
      <c r="K350" s="2">
        <v>4.0210861836463332</v>
      </c>
      <c r="L350" s="2">
        <v>0.26028932721906733</v>
      </c>
      <c r="M350" s="2">
        <v>8.1605994598903595E-2</v>
      </c>
      <c r="N350" s="1">
        <v>11</v>
      </c>
      <c r="O350" s="1">
        <v>8.5</v>
      </c>
      <c r="ED350" s="1"/>
      <c r="EE350" s="1"/>
    </row>
    <row r="351" spans="1:135" x14ac:dyDescent="0.25">
      <c r="A351" s="4" t="s">
        <v>94</v>
      </c>
      <c r="B351" s="1">
        <v>5</v>
      </c>
      <c r="C351" s="1" t="s">
        <v>144</v>
      </c>
      <c r="D351" s="1" t="s">
        <v>12</v>
      </c>
      <c r="E351" s="1">
        <v>2</v>
      </c>
      <c r="F351" s="1">
        <v>108</v>
      </c>
      <c r="G351" s="1">
        <v>130</v>
      </c>
      <c r="H351" s="1">
        <v>24</v>
      </c>
      <c r="I351" s="2">
        <v>2.0370886075949368</v>
      </c>
      <c r="J351" s="3">
        <v>13.775629997253418</v>
      </c>
      <c r="K351" s="2">
        <v>3.7182741116752078</v>
      </c>
      <c r="L351" s="2">
        <v>0.28062178929848008</v>
      </c>
      <c r="M351" s="2">
        <v>7.5744538328087502E-2</v>
      </c>
      <c r="N351" s="1">
        <v>14</v>
      </c>
      <c r="O351" s="1">
        <v>9.5</v>
      </c>
      <c r="ED351" s="1"/>
      <c r="EE351" s="1"/>
    </row>
    <row r="352" spans="1:135" x14ac:dyDescent="0.25">
      <c r="A352" s="4" t="s">
        <v>94</v>
      </c>
      <c r="B352" s="1">
        <v>5</v>
      </c>
      <c r="C352" s="1" t="s">
        <v>144</v>
      </c>
      <c r="D352" s="1" t="s">
        <v>12</v>
      </c>
      <c r="E352" s="1">
        <v>3</v>
      </c>
      <c r="F352" s="1">
        <v>104</v>
      </c>
      <c r="G352" s="1">
        <v>146</v>
      </c>
      <c r="H352" s="1">
        <v>72</v>
      </c>
      <c r="I352" s="2">
        <v>2.3599214145383103</v>
      </c>
      <c r="J352" s="3">
        <v>13.615473747253418</v>
      </c>
      <c r="K352" s="2">
        <v>4.134328358209042</v>
      </c>
      <c r="L352" s="2">
        <v>0.32131448065227514</v>
      </c>
      <c r="M352" s="2">
        <v>9.7566900272705315E-2</v>
      </c>
      <c r="N352" s="1">
        <v>10.5</v>
      </c>
      <c r="O352" s="1">
        <v>7</v>
      </c>
      <c r="ED352" s="1"/>
      <c r="EE352" s="1"/>
    </row>
    <row r="353" spans="1:135" x14ac:dyDescent="0.25">
      <c r="A353" s="4" t="s">
        <v>94</v>
      </c>
      <c r="B353" s="1">
        <v>5</v>
      </c>
      <c r="C353" s="1" t="s">
        <v>145</v>
      </c>
      <c r="D353" s="1" t="s">
        <v>12</v>
      </c>
      <c r="E353" s="1">
        <v>1</v>
      </c>
      <c r="F353" s="1">
        <v>91</v>
      </c>
      <c r="G353" s="1">
        <v>110</v>
      </c>
      <c r="H353" s="1">
        <v>48</v>
      </c>
      <c r="I353" s="2">
        <v>1.8297849462365592</v>
      </c>
      <c r="J353" s="3">
        <v>15.996286392211914</v>
      </c>
      <c r="K353" s="2">
        <v>3.834573369497591</v>
      </c>
      <c r="L353" s="2">
        <v>0.2926976403615808</v>
      </c>
      <c r="M353" s="2">
        <v>7.0164446267462918E-2</v>
      </c>
      <c r="N353" s="1">
        <v>11</v>
      </c>
      <c r="O353" s="1">
        <v>7</v>
      </c>
      <c r="ED353" s="1"/>
      <c r="EE353" s="1"/>
    </row>
    <row r="354" spans="1:135" x14ac:dyDescent="0.25">
      <c r="A354" s="4" t="s">
        <v>94</v>
      </c>
      <c r="B354" s="1">
        <v>5</v>
      </c>
      <c r="C354" s="1" t="s">
        <v>145</v>
      </c>
      <c r="D354" s="1" t="s">
        <v>12</v>
      </c>
      <c r="E354" s="1">
        <v>2</v>
      </c>
      <c r="F354" s="1">
        <v>91</v>
      </c>
      <c r="G354" s="1">
        <v>121</v>
      </c>
      <c r="H354" s="1">
        <v>72</v>
      </c>
      <c r="I354" s="2">
        <v>1.6764556962025314</v>
      </c>
      <c r="J354" s="3">
        <v>13.422775268554688</v>
      </c>
      <c r="K354" s="2">
        <v>3.8478937704568237</v>
      </c>
      <c r="L354" s="2">
        <v>0.22502688057814971</v>
      </c>
      <c r="M354" s="2">
        <v>6.4508234298645772E-2</v>
      </c>
      <c r="N354" s="1">
        <v>9.5</v>
      </c>
      <c r="O354" s="1">
        <v>7</v>
      </c>
      <c r="ED354" s="1"/>
      <c r="EE354" s="1"/>
    </row>
    <row r="355" spans="1:135" x14ac:dyDescent="0.25">
      <c r="A355" s="4" t="s">
        <v>94</v>
      </c>
      <c r="B355" s="1">
        <v>5</v>
      </c>
      <c r="C355" s="1" t="s">
        <v>145</v>
      </c>
      <c r="D355" s="1" t="s">
        <v>12</v>
      </c>
      <c r="E355" s="1">
        <v>3</v>
      </c>
      <c r="F355" s="1">
        <v>91</v>
      </c>
      <c r="G355" s="1">
        <v>116</v>
      </c>
      <c r="H355" s="1">
        <v>36</v>
      </c>
      <c r="I355" s="2">
        <v>2.0357638888888885</v>
      </c>
      <c r="J355" s="3">
        <v>15.611421585083008</v>
      </c>
      <c r="K355" s="2">
        <v>3.6570931665014932</v>
      </c>
      <c r="L355" s="2">
        <v>0.31781168317132519</v>
      </c>
      <c r="M355" s="2">
        <v>7.44497820666606E-2</v>
      </c>
      <c r="N355" s="1">
        <v>11</v>
      </c>
      <c r="O355" s="1">
        <v>6</v>
      </c>
      <c r="ED355" s="1"/>
      <c r="EE355" s="1"/>
    </row>
    <row r="356" spans="1:135" x14ac:dyDescent="0.25">
      <c r="A356" s="4" t="s">
        <v>94</v>
      </c>
      <c r="B356" s="1">
        <v>5</v>
      </c>
      <c r="C356" s="1" t="s">
        <v>146</v>
      </c>
      <c r="D356" s="1" t="s">
        <v>12</v>
      </c>
      <c r="E356" s="1">
        <v>1</v>
      </c>
      <c r="F356" s="1">
        <v>97</v>
      </c>
      <c r="G356" s="1">
        <v>120</v>
      </c>
      <c r="H356" s="1">
        <v>72</v>
      </c>
      <c r="I356" s="2">
        <v>2.5146835443037978</v>
      </c>
      <c r="J356" s="3">
        <v>13.848954200744629</v>
      </c>
      <c r="K356" s="2">
        <v>3.9970728506901594</v>
      </c>
      <c r="L356" s="2">
        <v>0.34825737234429471</v>
      </c>
      <c r="M356" s="2">
        <v>0.10051373323014015</v>
      </c>
      <c r="N356" s="1">
        <v>14</v>
      </c>
      <c r="O356" s="1">
        <v>6.5</v>
      </c>
      <c r="ED356" s="1"/>
      <c r="EE356" s="1"/>
    </row>
    <row r="357" spans="1:135" x14ac:dyDescent="0.25">
      <c r="A357" s="4" t="s">
        <v>94</v>
      </c>
      <c r="B357" s="1">
        <v>5</v>
      </c>
      <c r="C357" s="1" t="s">
        <v>146</v>
      </c>
      <c r="D357" s="1" t="s">
        <v>12</v>
      </c>
      <c r="E357" s="1">
        <v>2</v>
      </c>
      <c r="F357" s="1">
        <v>102</v>
      </c>
      <c r="G357" s="1">
        <v>125</v>
      </c>
      <c r="H357" s="1">
        <v>84</v>
      </c>
      <c r="I357" s="2">
        <v>1.8500972762645913</v>
      </c>
      <c r="J357" s="3">
        <v>14.895552635192871</v>
      </c>
      <c r="K357" s="2">
        <v>3.8714154707912001</v>
      </c>
      <c r="L357" s="2">
        <v>0.27558221358826185</v>
      </c>
      <c r="M357" s="2">
        <v>7.1624952177994E-2</v>
      </c>
      <c r="N357" s="1">
        <v>11.5</v>
      </c>
      <c r="O357" s="1">
        <v>9</v>
      </c>
      <c r="ED357" s="1"/>
      <c r="EE357" s="1"/>
    </row>
    <row r="358" spans="1:135" x14ac:dyDescent="0.25">
      <c r="A358" s="4" t="s">
        <v>94</v>
      </c>
      <c r="B358" s="1">
        <v>5</v>
      </c>
      <c r="C358" s="1" t="s">
        <v>146</v>
      </c>
      <c r="D358" s="1" t="s">
        <v>12</v>
      </c>
      <c r="E358" s="1">
        <v>3</v>
      </c>
      <c r="F358" s="1">
        <v>98</v>
      </c>
      <c r="G358" s="1">
        <v>137</v>
      </c>
      <c r="H358" s="1">
        <v>84</v>
      </c>
      <c r="I358" s="2">
        <v>2.4901966568338247</v>
      </c>
      <c r="J358" s="3">
        <v>12.757377624511719</v>
      </c>
      <c r="K358" s="2">
        <v>4.0303861574170288</v>
      </c>
      <c r="L358" s="2">
        <v>0.31768379110525719</v>
      </c>
      <c r="M358" s="2">
        <v>0.10036454134949212</v>
      </c>
      <c r="N358" s="1">
        <v>14</v>
      </c>
      <c r="O358" s="1">
        <v>5.5</v>
      </c>
      <c r="ED358" s="1"/>
      <c r="EE358" s="1"/>
    </row>
    <row r="359" spans="1:135" x14ac:dyDescent="0.25">
      <c r="A359" s="4" t="s">
        <v>94</v>
      </c>
      <c r="B359" s="1">
        <v>5</v>
      </c>
      <c r="C359" s="1" t="s">
        <v>147</v>
      </c>
      <c r="D359" s="1" t="s">
        <v>12</v>
      </c>
      <c r="E359" s="1">
        <v>1</v>
      </c>
      <c r="F359" s="1">
        <v>110</v>
      </c>
      <c r="G359" s="1">
        <v>142</v>
      </c>
      <c r="H359" s="1">
        <v>60</v>
      </c>
      <c r="I359" s="2">
        <v>3.2115004935834155</v>
      </c>
      <c r="J359" s="3">
        <v>12.56885814666748</v>
      </c>
      <c r="K359" s="2">
        <v>3.889462679799724</v>
      </c>
      <c r="L359" s="2">
        <v>0.40364894141802549</v>
      </c>
      <c r="M359" s="2">
        <v>0.12491011315951088</v>
      </c>
      <c r="N359" s="1">
        <v>16</v>
      </c>
      <c r="O359" s="1">
        <v>2.5</v>
      </c>
      <c r="ED359" s="1"/>
      <c r="EE359" s="1"/>
    </row>
    <row r="360" spans="1:135" x14ac:dyDescent="0.25">
      <c r="A360" s="4" t="s">
        <v>94</v>
      </c>
      <c r="B360" s="1">
        <v>5</v>
      </c>
      <c r="C360" s="1" t="s">
        <v>147</v>
      </c>
      <c r="D360" s="1" t="s">
        <v>12</v>
      </c>
      <c r="E360" s="1">
        <v>2</v>
      </c>
      <c r="F360" s="1">
        <v>112</v>
      </c>
      <c r="G360" s="1">
        <v>125</v>
      </c>
      <c r="H360" s="1">
        <v>60</v>
      </c>
      <c r="I360" s="2">
        <v>3.025593719332679</v>
      </c>
      <c r="J360" s="3">
        <v>16.916833877563477</v>
      </c>
      <c r="K360" s="2">
        <v>3.7942311948257283</v>
      </c>
      <c r="L360" s="2">
        <v>0.51183466330950345</v>
      </c>
      <c r="M360" s="2">
        <v>0.1147980207276085</v>
      </c>
      <c r="N360" s="1">
        <v>16</v>
      </c>
      <c r="O360" s="1">
        <v>4</v>
      </c>
      <c r="ED360" s="1"/>
      <c r="EE360" s="1"/>
    </row>
    <row r="361" spans="1:135" x14ac:dyDescent="0.25">
      <c r="A361" s="4" t="s">
        <v>94</v>
      </c>
      <c r="B361" s="1">
        <v>5</v>
      </c>
      <c r="C361" s="1" t="s">
        <v>147</v>
      </c>
      <c r="D361" s="1" t="s">
        <v>12</v>
      </c>
      <c r="E361" s="1">
        <v>3</v>
      </c>
      <c r="F361" s="1">
        <v>113</v>
      </c>
      <c r="G361" s="1">
        <v>126</v>
      </c>
      <c r="H361" s="1">
        <v>36</v>
      </c>
      <c r="I361" s="2">
        <v>2.779512195121951</v>
      </c>
      <c r="J361" s="3">
        <v>16.3291015625</v>
      </c>
      <c r="K361" s="2">
        <v>3.2431376379799537</v>
      </c>
      <c r="L361" s="2">
        <v>0.45386936928353655</v>
      </c>
      <c r="M361" s="2">
        <v>9.0143406152242811E-2</v>
      </c>
      <c r="N361" s="1">
        <v>13</v>
      </c>
      <c r="O361" s="1">
        <v>2</v>
      </c>
      <c r="ED361" s="1"/>
      <c r="EE361" s="1"/>
    </row>
    <row r="362" spans="1:135" x14ac:dyDescent="0.25">
      <c r="A362" s="4" t="s">
        <v>94</v>
      </c>
      <c r="B362" s="1">
        <v>5</v>
      </c>
      <c r="C362" s="1" t="s">
        <v>148</v>
      </c>
      <c r="D362" s="1" t="s">
        <v>12</v>
      </c>
      <c r="E362" s="1">
        <v>1</v>
      </c>
      <c r="F362" s="1">
        <v>113</v>
      </c>
      <c r="G362" s="1">
        <v>127</v>
      </c>
      <c r="H362" s="1">
        <v>48</v>
      </c>
      <c r="I362" s="2">
        <v>2.4155213505461766</v>
      </c>
      <c r="J362" s="3">
        <v>19.227861404418945</v>
      </c>
      <c r="K362" s="2">
        <v>3.8741839161899621</v>
      </c>
      <c r="L362" s="2">
        <v>0.46445309747716751</v>
      </c>
      <c r="M362" s="2">
        <v>9.3581739654994514E-2</v>
      </c>
      <c r="N362" s="1">
        <v>12</v>
      </c>
      <c r="O362" s="1">
        <v>1.5</v>
      </c>
      <c r="ED362" s="1"/>
      <c r="EE362" s="1"/>
    </row>
    <row r="363" spans="1:135" x14ac:dyDescent="0.25">
      <c r="A363" s="4" t="s">
        <v>94</v>
      </c>
      <c r="B363" s="1">
        <v>5</v>
      </c>
      <c r="C363" s="1" t="s">
        <v>148</v>
      </c>
      <c r="D363" s="1" t="s">
        <v>12</v>
      </c>
      <c r="E363" s="1">
        <v>2</v>
      </c>
      <c r="F363" s="1">
        <v>113</v>
      </c>
      <c r="G363" s="1">
        <v>130</v>
      </c>
      <c r="H363" s="1">
        <v>24</v>
      </c>
      <c r="I363" s="2">
        <v>2.4063448275862069</v>
      </c>
      <c r="J363" s="3">
        <v>16.192110061645508</v>
      </c>
      <c r="K363" s="2">
        <v>3.9562666415319545</v>
      </c>
      <c r="L363" s="2">
        <v>0.38963800294547241</v>
      </c>
      <c r="M363" s="2">
        <v>9.5201417694022739E-2</v>
      </c>
      <c r="N363" s="1">
        <v>17.5</v>
      </c>
      <c r="O363" s="1">
        <v>3.5</v>
      </c>
      <c r="ED363" s="1"/>
      <c r="EE363" s="1"/>
    </row>
    <row r="364" spans="1:135" x14ac:dyDescent="0.25">
      <c r="A364" s="4" t="s">
        <v>94</v>
      </c>
      <c r="B364" s="1">
        <v>5</v>
      </c>
      <c r="C364" s="1" t="s">
        <v>148</v>
      </c>
      <c r="D364" s="1" t="s">
        <v>12</v>
      </c>
      <c r="E364" s="1">
        <v>3</v>
      </c>
      <c r="F364" s="1">
        <v>110</v>
      </c>
      <c r="G364" s="1">
        <v>121</v>
      </c>
      <c r="H364" s="1">
        <v>48</v>
      </c>
      <c r="I364" s="2">
        <v>2.3779624413145539</v>
      </c>
      <c r="J364" s="3">
        <v>16.13691520690918</v>
      </c>
      <c r="K364" s="2">
        <v>3.80325291140471</v>
      </c>
      <c r="L364" s="2">
        <v>0.38372978280707704</v>
      </c>
      <c r="M364" s="2">
        <v>9.0439925781406291E-2</v>
      </c>
      <c r="N364" s="1">
        <v>14.5</v>
      </c>
      <c r="O364" s="1">
        <v>4.5</v>
      </c>
      <c r="ED364" s="1"/>
      <c r="EE364" s="1"/>
    </row>
    <row r="365" spans="1:135" x14ac:dyDescent="0.25">
      <c r="A365" s="4" t="s">
        <v>94</v>
      </c>
      <c r="B365" s="1">
        <v>5</v>
      </c>
      <c r="C365" s="1" t="s">
        <v>149</v>
      </c>
      <c r="D365" s="1" t="s">
        <v>12</v>
      </c>
      <c r="E365" s="1">
        <v>1</v>
      </c>
      <c r="F365" s="1">
        <v>107</v>
      </c>
      <c r="G365" s="1">
        <v>134</v>
      </c>
      <c r="H365" s="1">
        <v>60</v>
      </c>
      <c r="I365" s="2">
        <v>2.5543408662900191</v>
      </c>
      <c r="J365" s="2" t="s">
        <v>13</v>
      </c>
      <c r="K365" s="2">
        <v>3.9129796397812666</v>
      </c>
      <c r="L365" s="2" t="s">
        <v>13</v>
      </c>
      <c r="M365" s="2">
        <v>9.9950838028540878E-2</v>
      </c>
      <c r="N365" s="1">
        <v>11</v>
      </c>
      <c r="O365" s="1">
        <v>9</v>
      </c>
      <c r="ED365" s="1"/>
      <c r="EE365" s="1"/>
    </row>
    <row r="366" spans="1:135" x14ac:dyDescent="0.25">
      <c r="A366" s="4" t="s">
        <v>94</v>
      </c>
      <c r="B366" s="1">
        <v>5</v>
      </c>
      <c r="C366" s="1" t="s">
        <v>149</v>
      </c>
      <c r="D366" s="1" t="s">
        <v>12</v>
      </c>
      <c r="E366" s="1">
        <v>2</v>
      </c>
      <c r="F366" s="1">
        <v>105</v>
      </c>
      <c r="G366" s="1">
        <v>137</v>
      </c>
      <c r="H366" s="1">
        <v>24</v>
      </c>
      <c r="I366" s="2">
        <v>2.6893986420950533</v>
      </c>
      <c r="J366" s="2" t="s">
        <v>13</v>
      </c>
      <c r="K366" s="2">
        <v>3.956788707992843</v>
      </c>
      <c r="L366" s="2" t="s">
        <v>13</v>
      </c>
      <c r="M366" s="2">
        <v>0.10641382178332992</v>
      </c>
      <c r="N366" s="1">
        <v>9.5</v>
      </c>
      <c r="O366" s="1">
        <v>6</v>
      </c>
      <c r="ED366" s="1"/>
      <c r="EE366" s="1"/>
    </row>
    <row r="367" spans="1:135" x14ac:dyDescent="0.25">
      <c r="A367" s="4" t="s">
        <v>94</v>
      </c>
      <c r="B367" s="1">
        <v>5</v>
      </c>
      <c r="C367" s="1" t="s">
        <v>149</v>
      </c>
      <c r="D367" s="1" t="s">
        <v>12</v>
      </c>
      <c r="E367" s="1">
        <v>3</v>
      </c>
      <c r="F367" s="1">
        <v>109</v>
      </c>
      <c r="G367" s="1">
        <v>141</v>
      </c>
      <c r="H367" s="1">
        <v>48</v>
      </c>
      <c r="I367" s="2">
        <v>3.0276551724137928</v>
      </c>
      <c r="J367" s="2" t="s">
        <v>13</v>
      </c>
      <c r="K367" s="2">
        <v>4.2187013111535787</v>
      </c>
      <c r="L367" s="2" t="s">
        <v>13</v>
      </c>
      <c r="M367" s="2">
        <v>0.12772772845582983</v>
      </c>
      <c r="N367" s="1">
        <v>10.5</v>
      </c>
      <c r="O367" s="1">
        <v>8.5</v>
      </c>
      <c r="ED367" s="1"/>
      <c r="EE367" s="1"/>
    </row>
    <row r="368" spans="1:135" x14ac:dyDescent="0.25">
      <c r="A368" s="4" t="s">
        <v>94</v>
      </c>
      <c r="B368" s="1">
        <v>5</v>
      </c>
      <c r="C368" s="1" t="s">
        <v>150</v>
      </c>
      <c r="D368" s="1" t="s">
        <v>12</v>
      </c>
      <c r="E368" s="1">
        <v>1</v>
      </c>
      <c r="F368" s="1">
        <v>110</v>
      </c>
      <c r="G368" s="1">
        <v>140</v>
      </c>
      <c r="H368" s="1">
        <v>84</v>
      </c>
      <c r="I368" s="2">
        <v>2.1777480916030529</v>
      </c>
      <c r="J368" s="3">
        <v>13.453595161437988</v>
      </c>
      <c r="K368" s="2">
        <v>3.5701434226085098</v>
      </c>
      <c r="L368" s="2">
        <v>0.29298541188021648</v>
      </c>
      <c r="M368" s="2">
        <v>7.7748730253348747E-2</v>
      </c>
      <c r="N368" s="1">
        <v>17</v>
      </c>
      <c r="O368" s="1">
        <v>4</v>
      </c>
      <c r="ED368" s="1"/>
      <c r="EE368" s="1"/>
    </row>
    <row r="369" spans="1:135" x14ac:dyDescent="0.25">
      <c r="A369" s="4" t="s">
        <v>94</v>
      </c>
      <c r="B369" s="1">
        <v>5</v>
      </c>
      <c r="C369" s="1" t="s">
        <v>150</v>
      </c>
      <c r="D369" s="1" t="s">
        <v>12</v>
      </c>
      <c r="E369" s="1">
        <v>2</v>
      </c>
      <c r="F369" s="1">
        <v>112</v>
      </c>
      <c r="G369" s="1">
        <v>135</v>
      </c>
      <c r="H369" s="1">
        <v>72</v>
      </c>
      <c r="I369" s="2">
        <v>2.7723046488625123</v>
      </c>
      <c r="J369" s="3">
        <v>15.401801109313965</v>
      </c>
      <c r="K369" s="2">
        <v>3.9566368586701381</v>
      </c>
      <c r="L369" s="2">
        <v>0.426984848162069</v>
      </c>
      <c r="M369" s="2">
        <v>0.10969002757151991</v>
      </c>
      <c r="N369" s="1">
        <v>18</v>
      </c>
      <c r="O369" s="1">
        <v>1</v>
      </c>
      <c r="ED369" s="1"/>
      <c r="EE369" s="1"/>
    </row>
    <row r="370" spans="1:135" x14ac:dyDescent="0.25">
      <c r="A370" s="4" t="s">
        <v>94</v>
      </c>
      <c r="B370" s="1">
        <v>5</v>
      </c>
      <c r="C370" s="1" t="s">
        <v>150</v>
      </c>
      <c r="D370" s="1" t="s">
        <v>12</v>
      </c>
      <c r="E370" s="1">
        <v>3</v>
      </c>
      <c r="F370" s="1">
        <v>105</v>
      </c>
      <c r="G370" s="1">
        <v>125</v>
      </c>
      <c r="H370" s="1">
        <v>72</v>
      </c>
      <c r="I370" s="2">
        <v>2.8544894026974954</v>
      </c>
      <c r="J370" s="3">
        <v>17.101753234863281</v>
      </c>
      <c r="K370" s="2">
        <v>3.9306158705093206</v>
      </c>
      <c r="L370" s="2">
        <v>0.4881677337646485</v>
      </c>
      <c r="M370" s="2">
        <v>0.11219901348443446</v>
      </c>
      <c r="N370" s="1">
        <v>14.5</v>
      </c>
      <c r="O370" s="1">
        <v>1</v>
      </c>
      <c r="ED370" s="1"/>
      <c r="EE370" s="1"/>
    </row>
    <row r="371" spans="1:135" x14ac:dyDescent="0.25">
      <c r="A371" s="4" t="s">
        <v>94</v>
      </c>
      <c r="B371" s="1">
        <v>5</v>
      </c>
      <c r="C371" s="1" t="s">
        <v>151</v>
      </c>
      <c r="D371" s="1" t="s">
        <v>12</v>
      </c>
      <c r="E371" s="1">
        <v>1</v>
      </c>
      <c r="F371" s="1">
        <v>107</v>
      </c>
      <c r="G371" s="1">
        <v>102</v>
      </c>
      <c r="H371" s="1">
        <v>60</v>
      </c>
      <c r="I371" s="2">
        <v>2.8345148514851486</v>
      </c>
      <c r="J371" s="3">
        <v>15.321805000305176</v>
      </c>
      <c r="K371" s="2">
        <v>4.0371479008368212</v>
      </c>
      <c r="L371" s="2">
        <v>0.43429883824924431</v>
      </c>
      <c r="M371" s="2">
        <v>0.11443355682564062</v>
      </c>
      <c r="N371" s="1">
        <v>18.5</v>
      </c>
      <c r="O371" s="1">
        <v>3</v>
      </c>
      <c r="ED371" s="1"/>
      <c r="EE371" s="1"/>
    </row>
    <row r="372" spans="1:135" x14ac:dyDescent="0.25">
      <c r="A372" s="4" t="s">
        <v>94</v>
      </c>
      <c r="B372" s="1">
        <v>5</v>
      </c>
      <c r="C372" s="1" t="s">
        <v>151</v>
      </c>
      <c r="D372" s="1" t="s">
        <v>12</v>
      </c>
      <c r="E372" s="1">
        <v>2</v>
      </c>
      <c r="F372" s="1">
        <v>108</v>
      </c>
      <c r="G372" s="1">
        <v>113</v>
      </c>
      <c r="H372" s="1">
        <v>72</v>
      </c>
      <c r="I372" s="2">
        <v>2.7137338629592849</v>
      </c>
      <c r="J372" s="3">
        <v>14.984748840332031</v>
      </c>
      <c r="K372" s="2">
        <v>3.6712757367783206</v>
      </c>
      <c r="L372" s="2">
        <v>0.40664620355948911</v>
      </c>
      <c r="M372" s="2">
        <v>9.9628652871561266E-2</v>
      </c>
      <c r="N372" s="1">
        <v>11</v>
      </c>
      <c r="O372" s="1">
        <v>5</v>
      </c>
      <c r="ED372" s="1"/>
      <c r="EE372" s="1"/>
    </row>
    <row r="373" spans="1:135" x14ac:dyDescent="0.25">
      <c r="A373" s="4" t="s">
        <v>94</v>
      </c>
      <c r="B373" s="1">
        <v>5</v>
      </c>
      <c r="C373" s="1" t="s">
        <v>151</v>
      </c>
      <c r="D373" s="1" t="s">
        <v>12</v>
      </c>
      <c r="E373" s="1">
        <v>3</v>
      </c>
      <c r="F373" s="1">
        <v>104</v>
      </c>
      <c r="G373" s="1">
        <v>122</v>
      </c>
      <c r="H373" s="1">
        <v>84</v>
      </c>
      <c r="I373" s="2">
        <v>2.2503100775193796</v>
      </c>
      <c r="J373" s="3">
        <v>14.470739364624023</v>
      </c>
      <c r="K373" s="2">
        <v>3.409555964804361</v>
      </c>
      <c r="L373" s="2">
        <v>0.32563650621369827</v>
      </c>
      <c r="M373" s="2">
        <v>7.6725581474655649E-2</v>
      </c>
      <c r="N373" s="1">
        <v>13.5</v>
      </c>
      <c r="O373" s="1">
        <v>2.5</v>
      </c>
      <c r="ED373" s="1"/>
      <c r="EE373" s="1"/>
    </row>
    <row r="374" spans="1:135" x14ac:dyDescent="0.25">
      <c r="A374" s="4" t="s">
        <v>94</v>
      </c>
      <c r="B374" s="1">
        <v>5</v>
      </c>
      <c r="C374" s="1" t="s">
        <v>152</v>
      </c>
      <c r="D374" s="1" t="s">
        <v>12</v>
      </c>
      <c r="E374" s="1">
        <v>1</v>
      </c>
      <c r="F374" s="1">
        <v>105</v>
      </c>
      <c r="G374" s="1">
        <v>132</v>
      </c>
      <c r="H374" s="1">
        <v>60</v>
      </c>
      <c r="I374" s="2">
        <v>2.0788484251968504</v>
      </c>
      <c r="J374" s="2" t="s">
        <v>13</v>
      </c>
      <c r="K374" s="2" t="s">
        <v>13</v>
      </c>
      <c r="L374" s="2" t="s">
        <v>13</v>
      </c>
      <c r="M374" s="2" t="s">
        <v>13</v>
      </c>
      <c r="N374" s="2" t="s">
        <v>13</v>
      </c>
      <c r="O374" s="2" t="s">
        <v>13</v>
      </c>
      <c r="ED374" s="1"/>
      <c r="EE374" s="1"/>
    </row>
    <row r="375" spans="1:135" x14ac:dyDescent="0.25">
      <c r="A375" s="4" t="s">
        <v>94</v>
      </c>
      <c r="B375" s="1">
        <v>5</v>
      </c>
      <c r="C375" s="1" t="s">
        <v>152</v>
      </c>
      <c r="D375" s="1" t="s">
        <v>12</v>
      </c>
      <c r="E375" s="1">
        <v>2</v>
      </c>
      <c r="F375" s="1">
        <v>109</v>
      </c>
      <c r="G375" s="1">
        <v>143</v>
      </c>
      <c r="H375" s="1">
        <v>48</v>
      </c>
      <c r="I375" s="2">
        <v>2.8113605442176874</v>
      </c>
      <c r="J375" s="2" t="s">
        <v>13</v>
      </c>
      <c r="K375" s="2" t="s">
        <v>13</v>
      </c>
      <c r="L375" s="2" t="s">
        <v>13</v>
      </c>
      <c r="M375" s="2" t="s">
        <v>13</v>
      </c>
      <c r="N375" s="2" t="s">
        <v>13</v>
      </c>
      <c r="O375" s="2" t="s">
        <v>13</v>
      </c>
      <c r="ED375" s="1"/>
      <c r="EE375" s="1"/>
    </row>
    <row r="376" spans="1:135" x14ac:dyDescent="0.25">
      <c r="A376" s="4" t="s">
        <v>94</v>
      </c>
      <c r="B376" s="1">
        <v>5</v>
      </c>
      <c r="C376" s="1" t="s">
        <v>152</v>
      </c>
      <c r="D376" s="1" t="s">
        <v>12</v>
      </c>
      <c r="E376" s="1">
        <v>3</v>
      </c>
      <c r="F376" s="1">
        <v>105</v>
      </c>
      <c r="G376" s="1">
        <v>140</v>
      </c>
      <c r="H376" s="5">
        <v>60</v>
      </c>
      <c r="I376" s="2">
        <v>2.4175460717749759</v>
      </c>
      <c r="J376" s="2" t="s">
        <v>13</v>
      </c>
      <c r="K376" s="2" t="s">
        <v>13</v>
      </c>
      <c r="L376" s="2" t="s">
        <v>13</v>
      </c>
      <c r="M376" s="2" t="s">
        <v>13</v>
      </c>
      <c r="N376" s="2" t="s">
        <v>13</v>
      </c>
      <c r="O376" s="2" t="s">
        <v>13</v>
      </c>
      <c r="EB376" s="1"/>
      <c r="EC376" s="1"/>
      <c r="ED376" s="1"/>
      <c r="EE376" s="1"/>
    </row>
    <row r="377" spans="1:135" x14ac:dyDescent="0.25">
      <c r="A377" s="4" t="s">
        <v>94</v>
      </c>
      <c r="B377" s="1">
        <v>4</v>
      </c>
      <c r="C377" s="1" t="s">
        <v>153</v>
      </c>
      <c r="D377" s="1" t="s">
        <v>12</v>
      </c>
      <c r="E377" s="1">
        <v>1</v>
      </c>
      <c r="F377" s="1">
        <v>102</v>
      </c>
      <c r="G377" s="1">
        <v>112</v>
      </c>
      <c r="H377" s="1">
        <v>120</v>
      </c>
      <c r="I377" s="2">
        <v>2.3258529411764708</v>
      </c>
      <c r="J377" s="3">
        <v>16.254398345947266</v>
      </c>
      <c r="K377" s="2">
        <v>4.2657634440271934</v>
      </c>
      <c r="L377" s="2">
        <v>0.37805340199975412</v>
      </c>
      <c r="M377" s="2">
        <v>9.9215384526537193E-2</v>
      </c>
      <c r="N377" s="1">
        <v>15</v>
      </c>
      <c r="O377" s="1">
        <v>4</v>
      </c>
      <c r="EB377" s="1"/>
      <c r="EC377" s="1"/>
      <c r="ED377" s="1"/>
      <c r="EE377" s="1"/>
    </row>
    <row r="378" spans="1:135" x14ac:dyDescent="0.25">
      <c r="A378" s="4" t="s">
        <v>94</v>
      </c>
      <c r="B378" s="1">
        <v>4</v>
      </c>
      <c r="C378" s="1" t="s">
        <v>153</v>
      </c>
      <c r="D378" s="1" t="s">
        <v>12</v>
      </c>
      <c r="E378" s="1">
        <v>2</v>
      </c>
      <c r="F378" s="1">
        <v>102</v>
      </c>
      <c r="G378" s="1">
        <v>126</v>
      </c>
      <c r="H378" s="1">
        <v>96</v>
      </c>
      <c r="I378" s="2">
        <v>2.3569780743565301</v>
      </c>
      <c r="J378" s="3">
        <v>16.046483993530273</v>
      </c>
      <c r="K378" s="2">
        <v>4.3142476697737306</v>
      </c>
      <c r="L378" s="2">
        <v>0.37821210943263861</v>
      </c>
      <c r="M378" s="2">
        <v>0.10168587165000434</v>
      </c>
      <c r="N378" s="1">
        <v>15</v>
      </c>
      <c r="O378" s="1">
        <v>4</v>
      </c>
      <c r="EB378" s="1"/>
      <c r="EC378" s="1"/>
      <c r="ED378" s="1"/>
      <c r="EE378" s="1"/>
    </row>
    <row r="379" spans="1:135" x14ac:dyDescent="0.25">
      <c r="A379" s="4" t="s">
        <v>94</v>
      </c>
      <c r="B379" s="1">
        <v>4</v>
      </c>
      <c r="C379" s="1" t="s">
        <v>153</v>
      </c>
      <c r="D379" s="1" t="s">
        <v>12</v>
      </c>
      <c r="E379" s="1">
        <v>3</v>
      </c>
      <c r="F379" s="1">
        <v>103</v>
      </c>
      <c r="G379" s="1">
        <v>122</v>
      </c>
      <c r="H379" s="1">
        <v>84</v>
      </c>
      <c r="I379" s="2">
        <v>2.4134782608695651</v>
      </c>
      <c r="J379" s="3">
        <v>16.103754043579102</v>
      </c>
      <c r="K379" s="2">
        <v>4.0594874775958321</v>
      </c>
      <c r="L379" s="2">
        <v>0.38866060302568517</v>
      </c>
      <c r="M379" s="2">
        <v>9.7974847774497664E-2</v>
      </c>
      <c r="N379" s="1">
        <v>19</v>
      </c>
      <c r="O379" s="1">
        <v>3</v>
      </c>
      <c r="EB379" s="1"/>
      <c r="EC379" s="1"/>
      <c r="ED379" s="1"/>
      <c r="EE379" s="1"/>
    </row>
    <row r="380" spans="1:135" x14ac:dyDescent="0.25">
      <c r="A380" s="4" t="s">
        <v>94</v>
      </c>
      <c r="B380" s="1">
        <v>4</v>
      </c>
      <c r="C380" s="1" t="s">
        <v>154</v>
      </c>
      <c r="D380" s="1" t="s">
        <v>12</v>
      </c>
      <c r="E380" s="1">
        <v>1</v>
      </c>
      <c r="F380" s="1">
        <v>111</v>
      </c>
      <c r="G380" s="1">
        <v>127</v>
      </c>
      <c r="H380" s="1">
        <v>36</v>
      </c>
      <c r="I380" s="2">
        <v>2.3369649805447472</v>
      </c>
      <c r="J380" s="3">
        <v>15.38365650177002</v>
      </c>
      <c r="K380" s="2">
        <v>4.1483180029704894</v>
      </c>
      <c r="L380" s="2">
        <v>0.35951066517366043</v>
      </c>
      <c r="M380" s="2">
        <v>9.6944739011053535E-2</v>
      </c>
      <c r="N380" s="1">
        <v>11</v>
      </c>
      <c r="O380" s="1">
        <v>1</v>
      </c>
      <c r="EB380" s="1"/>
      <c r="EC380" s="1"/>
      <c r="ED380" s="1"/>
      <c r="EE380" s="1"/>
    </row>
    <row r="381" spans="1:135" x14ac:dyDescent="0.25">
      <c r="A381" s="4" t="s">
        <v>94</v>
      </c>
      <c r="B381" s="1">
        <v>4</v>
      </c>
      <c r="C381" s="1" t="s">
        <v>154</v>
      </c>
      <c r="D381" s="1" t="s">
        <v>12</v>
      </c>
      <c r="E381" s="1">
        <v>2</v>
      </c>
      <c r="F381" s="1">
        <v>109</v>
      </c>
      <c r="G381" s="1">
        <v>142</v>
      </c>
      <c r="H381" s="1">
        <v>48</v>
      </c>
      <c r="I381" s="2">
        <v>2.2112820512820517</v>
      </c>
      <c r="J381" s="3">
        <v>14.032705307006836</v>
      </c>
      <c r="K381" s="2">
        <v>4.3134753165180468</v>
      </c>
      <c r="L381" s="2">
        <v>0.31030269376314606</v>
      </c>
      <c r="M381" s="2">
        <v>9.538310546064524E-2</v>
      </c>
      <c r="N381" s="1">
        <v>12</v>
      </c>
      <c r="O381" s="1">
        <v>2</v>
      </c>
      <c r="EB381" s="1"/>
      <c r="EC381" s="1"/>
      <c r="ED381" s="1"/>
      <c r="EE381" s="1"/>
    </row>
    <row r="382" spans="1:135" x14ac:dyDescent="0.25">
      <c r="A382" s="4" t="s">
        <v>94</v>
      </c>
      <c r="B382" s="1">
        <v>4</v>
      </c>
      <c r="C382" s="1" t="s">
        <v>154</v>
      </c>
      <c r="D382" s="1" t="s">
        <v>12</v>
      </c>
      <c r="E382" s="1">
        <v>3</v>
      </c>
      <c r="F382" s="1">
        <v>114</v>
      </c>
      <c r="G382" s="1">
        <v>139</v>
      </c>
      <c r="H382" s="1">
        <v>48</v>
      </c>
      <c r="I382" s="2">
        <v>2.5148275862068963</v>
      </c>
      <c r="J382" s="3">
        <v>13.583617210388184</v>
      </c>
      <c r="K382" s="2">
        <v>4.3584757960654663</v>
      </c>
      <c r="L382" s="2">
        <v>0.34160455281158969</v>
      </c>
      <c r="M382" s="2">
        <v>0.10960815165760497</v>
      </c>
      <c r="N382" s="1">
        <v>11</v>
      </c>
      <c r="O382" s="1">
        <v>4</v>
      </c>
      <c r="EB382" s="1"/>
      <c r="EC382" s="1"/>
      <c r="ED382" s="1"/>
      <c r="EE382" s="1"/>
    </row>
    <row r="383" spans="1:135" x14ac:dyDescent="0.25">
      <c r="A383" s="4" t="s">
        <v>94</v>
      </c>
      <c r="B383" s="1">
        <v>5</v>
      </c>
      <c r="C383" s="1" t="s">
        <v>155</v>
      </c>
      <c r="D383" s="1" t="s">
        <v>12</v>
      </c>
      <c r="E383" s="1">
        <v>1</v>
      </c>
      <c r="F383" s="1">
        <v>110</v>
      </c>
      <c r="G383" s="1">
        <v>140</v>
      </c>
      <c r="H383" s="5">
        <v>54</v>
      </c>
      <c r="I383" s="2">
        <v>2.8274691943127963</v>
      </c>
      <c r="J383" s="3">
        <v>17.046968460083008</v>
      </c>
      <c r="K383" s="2">
        <v>4.3111527647613803</v>
      </c>
      <c r="L383" s="2">
        <v>0.48199778177306557</v>
      </c>
      <c r="M383" s="2">
        <v>0.12189651634339245</v>
      </c>
      <c r="N383" s="1">
        <v>13</v>
      </c>
      <c r="O383" s="1">
        <v>4</v>
      </c>
      <c r="EB383" s="1"/>
      <c r="EC383" s="1"/>
      <c r="ED383" s="1"/>
      <c r="EE383" s="1"/>
    </row>
    <row r="384" spans="1:135" x14ac:dyDescent="0.25">
      <c r="A384" s="4" t="s">
        <v>94</v>
      </c>
      <c r="B384" s="1">
        <v>5</v>
      </c>
      <c r="C384" s="1" t="s">
        <v>155</v>
      </c>
      <c r="D384" s="1" t="s">
        <v>12</v>
      </c>
      <c r="E384" s="1">
        <v>2</v>
      </c>
      <c r="F384" s="1">
        <v>122</v>
      </c>
      <c r="G384" s="1">
        <v>146</v>
      </c>
      <c r="H384" s="1">
        <v>84</v>
      </c>
      <c r="I384" s="2">
        <v>2.5165853658536586</v>
      </c>
      <c r="J384" s="3">
        <v>16.244216918945313</v>
      </c>
      <c r="K384" s="2">
        <v>4.4677704782916159</v>
      </c>
      <c r="L384" s="2">
        <v>0.40879958577970177</v>
      </c>
      <c r="M384" s="2">
        <v>0.11243525803661682</v>
      </c>
      <c r="N384" s="1">
        <v>13</v>
      </c>
      <c r="O384" s="1">
        <v>4.5</v>
      </c>
      <c r="EB384" s="1"/>
      <c r="EC384" s="1"/>
      <c r="ED384" s="1"/>
      <c r="EE384" s="1"/>
    </row>
    <row r="385" spans="1:135" x14ac:dyDescent="0.25">
      <c r="A385" s="4" t="s">
        <v>94</v>
      </c>
      <c r="B385" s="1">
        <v>5</v>
      </c>
      <c r="C385" s="1" t="s">
        <v>155</v>
      </c>
      <c r="D385" s="1" t="s">
        <v>12</v>
      </c>
      <c r="E385" s="1">
        <v>3</v>
      </c>
      <c r="F385" s="1">
        <v>116</v>
      </c>
      <c r="G385" s="1">
        <v>143</v>
      </c>
      <c r="H385" s="1">
        <v>24</v>
      </c>
      <c r="I385" s="2">
        <v>2.7395789473684209</v>
      </c>
      <c r="J385" s="3">
        <v>15.562690734863281</v>
      </c>
      <c r="K385" s="2">
        <v>4.3715167197453777</v>
      </c>
      <c r="L385" s="2">
        <v>0.42635219901637028</v>
      </c>
      <c r="M385" s="2">
        <v>0.11976115173483494</v>
      </c>
      <c r="N385" s="1">
        <v>13</v>
      </c>
      <c r="O385" s="1">
        <v>8.5</v>
      </c>
      <c r="EB385" s="1"/>
      <c r="EC385" s="1"/>
      <c r="ED385" s="1"/>
      <c r="EE385" s="1"/>
    </row>
    <row r="386" spans="1:135" x14ac:dyDescent="0.25">
      <c r="A386" s="4" t="s">
        <v>94</v>
      </c>
      <c r="B386" s="1">
        <v>5</v>
      </c>
      <c r="C386" s="1" t="s">
        <v>156</v>
      </c>
      <c r="D386" s="1" t="s">
        <v>12</v>
      </c>
      <c r="E386" s="1">
        <v>1</v>
      </c>
      <c r="F386" s="1">
        <v>101</v>
      </c>
      <c r="G386" s="1">
        <v>120</v>
      </c>
      <c r="H386" s="1">
        <v>48</v>
      </c>
      <c r="I386" s="2">
        <v>2.4275187265917602</v>
      </c>
      <c r="J386" s="3">
        <v>14.233996391296387</v>
      </c>
      <c r="K386" s="2">
        <v>4.1505318912187574</v>
      </c>
      <c r="L386" s="2">
        <v>0.34553292794111512</v>
      </c>
      <c r="M386" s="2">
        <v>0.10075493891249848</v>
      </c>
      <c r="N386" s="5">
        <v>13</v>
      </c>
      <c r="O386" s="5">
        <v>5</v>
      </c>
      <c r="EB386" s="1"/>
      <c r="EC386" s="1"/>
      <c r="ED386" s="1"/>
      <c r="EE386" s="1"/>
    </row>
    <row r="387" spans="1:135" x14ac:dyDescent="0.25">
      <c r="A387" s="4" t="s">
        <v>94</v>
      </c>
      <c r="B387" s="1">
        <v>5</v>
      </c>
      <c r="C387" s="1" t="s">
        <v>156</v>
      </c>
      <c r="D387" s="1" t="s">
        <v>12</v>
      </c>
      <c r="E387" s="1">
        <v>2</v>
      </c>
      <c r="F387" s="1">
        <v>101</v>
      </c>
      <c r="G387" s="1">
        <v>116</v>
      </c>
      <c r="H387" s="1">
        <v>36</v>
      </c>
      <c r="I387" s="2">
        <v>2.61513698630137</v>
      </c>
      <c r="J387" s="3">
        <v>13.989745140075684</v>
      </c>
      <c r="K387" s="2">
        <v>4.1043389389571336</v>
      </c>
      <c r="L387" s="2">
        <v>0.36585099944741756</v>
      </c>
      <c r="M387" s="2">
        <v>0.1073340856358372</v>
      </c>
      <c r="N387" s="5">
        <v>13</v>
      </c>
      <c r="O387" s="5">
        <v>7.5</v>
      </c>
      <c r="EB387" s="1"/>
      <c r="EC387" s="1"/>
      <c r="ED387" s="1"/>
      <c r="EE387" s="1"/>
    </row>
    <row r="388" spans="1:135" x14ac:dyDescent="0.25">
      <c r="A388" s="4" t="s">
        <v>94</v>
      </c>
      <c r="B388" s="1">
        <v>5</v>
      </c>
      <c r="C388" s="1" t="s">
        <v>156</v>
      </c>
      <c r="D388" s="1" t="s">
        <v>12</v>
      </c>
      <c r="E388" s="1">
        <v>3</v>
      </c>
      <c r="F388" s="1">
        <v>100</v>
      </c>
      <c r="G388" s="1">
        <v>111</v>
      </c>
      <c r="H388" s="1">
        <v>24</v>
      </c>
      <c r="I388" s="2">
        <v>2.6719528949950937</v>
      </c>
      <c r="J388" s="3">
        <v>12.225486755371094</v>
      </c>
      <c r="K388" s="2">
        <v>3.9061178119937359</v>
      </c>
      <c r="L388" s="2">
        <v>0.32665924728737972</v>
      </c>
      <c r="M388" s="2">
        <v>0.10436962795948564</v>
      </c>
      <c r="N388" s="5">
        <v>11</v>
      </c>
      <c r="O388" s="5">
        <v>8.5</v>
      </c>
      <c r="EB388" s="1"/>
      <c r="EC388" s="1"/>
      <c r="ED388" s="1"/>
      <c r="EE388" s="1"/>
    </row>
    <row r="389" spans="1:135" x14ac:dyDescent="0.25">
      <c r="A389" s="4" t="s">
        <v>94</v>
      </c>
      <c r="B389" s="1">
        <v>4</v>
      </c>
      <c r="C389" s="1" t="s">
        <v>157</v>
      </c>
      <c r="D389" s="1" t="s">
        <v>12</v>
      </c>
      <c r="E389" s="1">
        <v>1</v>
      </c>
      <c r="F389" s="1">
        <v>122</v>
      </c>
      <c r="G389" s="1">
        <v>104</v>
      </c>
      <c r="H389" s="5">
        <v>66</v>
      </c>
      <c r="I389" s="2">
        <v>2.4216160626836438</v>
      </c>
      <c r="J389" s="3">
        <v>14.722226142883301</v>
      </c>
      <c r="K389" s="2">
        <v>3.961921805483188</v>
      </c>
      <c r="L389" s="2">
        <v>0.35651579306067271</v>
      </c>
      <c r="M389" s="2">
        <v>9.5942534832546708E-2</v>
      </c>
      <c r="N389" s="1">
        <v>16.5</v>
      </c>
      <c r="O389" s="1">
        <v>9.5</v>
      </c>
      <c r="EB389" s="1"/>
      <c r="EC389" s="1"/>
      <c r="ED389" s="1"/>
      <c r="EE389" s="1"/>
    </row>
    <row r="390" spans="1:135" x14ac:dyDescent="0.25">
      <c r="A390" s="4" t="s">
        <v>94</v>
      </c>
      <c r="B390" s="1">
        <v>4</v>
      </c>
      <c r="C390" s="1" t="s">
        <v>157</v>
      </c>
      <c r="D390" s="1" t="s">
        <v>12</v>
      </c>
      <c r="E390" s="1">
        <v>2</v>
      </c>
      <c r="F390" s="1">
        <v>80</v>
      </c>
      <c r="G390" s="1">
        <v>125</v>
      </c>
      <c r="H390" s="1">
        <v>72</v>
      </c>
      <c r="I390" s="2">
        <v>2.5559514563106793</v>
      </c>
      <c r="J390" s="3">
        <v>13.009413719177246</v>
      </c>
      <c r="K390" s="2">
        <v>4.1065807773952097</v>
      </c>
      <c r="L390" s="2">
        <v>0.33251429941279215</v>
      </c>
      <c r="M390" s="2">
        <v>0.10496221118440728</v>
      </c>
      <c r="N390" s="1">
        <v>16</v>
      </c>
      <c r="O390" s="1">
        <v>8</v>
      </c>
      <c r="EB390" s="1"/>
      <c r="EC390" s="1"/>
      <c r="ED390" s="1"/>
      <c r="EE390" s="1"/>
    </row>
    <row r="391" spans="1:135" x14ac:dyDescent="0.25">
      <c r="A391" s="4" t="s">
        <v>94</v>
      </c>
      <c r="B391" s="1">
        <v>4</v>
      </c>
      <c r="C391" s="1" t="s">
        <v>157</v>
      </c>
      <c r="D391" s="1" t="s">
        <v>12</v>
      </c>
      <c r="E391" s="1">
        <v>3</v>
      </c>
      <c r="F391" s="1">
        <v>111</v>
      </c>
      <c r="G391" s="1">
        <v>125</v>
      </c>
      <c r="H391" s="1">
        <v>60</v>
      </c>
      <c r="I391" s="2">
        <v>2.620519730510106</v>
      </c>
      <c r="J391" s="3">
        <v>11.878755569458008</v>
      </c>
      <c r="K391" s="2">
        <v>3.8565349544074645</v>
      </c>
      <c r="L391" s="2">
        <v>0.31128513343671521</v>
      </c>
      <c r="M391" s="2">
        <v>0.10106125939426652</v>
      </c>
      <c r="N391" s="1">
        <v>16</v>
      </c>
      <c r="O391" s="1">
        <v>9</v>
      </c>
      <c r="EB391" s="1"/>
      <c r="EC391" s="1"/>
      <c r="ED391" s="1"/>
      <c r="EE391" s="1"/>
    </row>
    <row r="392" spans="1:135" x14ac:dyDescent="0.25">
      <c r="A392" s="4" t="s">
        <v>94</v>
      </c>
      <c r="B392" s="1">
        <v>5</v>
      </c>
      <c r="C392" s="1" t="s">
        <v>158</v>
      </c>
      <c r="D392" s="1" t="s">
        <v>12</v>
      </c>
      <c r="E392" s="1">
        <v>1</v>
      </c>
      <c r="F392" s="1">
        <v>109</v>
      </c>
      <c r="G392" s="1">
        <v>112</v>
      </c>
      <c r="H392" s="1">
        <v>36</v>
      </c>
      <c r="I392" s="2">
        <v>3.1116129032258066</v>
      </c>
      <c r="J392" s="3">
        <v>14.198485374450684</v>
      </c>
      <c r="K392" s="2">
        <v>4.0868916022446822</v>
      </c>
      <c r="L392" s="2">
        <v>0.44180190297403649</v>
      </c>
      <c r="M392" s="2">
        <v>0.12716824643629743</v>
      </c>
      <c r="N392" s="1">
        <v>17</v>
      </c>
      <c r="O392" s="1">
        <v>2.5</v>
      </c>
      <c r="EB392" s="1"/>
      <c r="EC392" s="1"/>
      <c r="ED392" s="1"/>
      <c r="EE392" s="1"/>
    </row>
    <row r="393" spans="1:135" x14ac:dyDescent="0.25">
      <c r="A393" s="4" t="s">
        <v>94</v>
      </c>
      <c r="B393" s="1">
        <v>5</v>
      </c>
      <c r="C393" s="1" t="s">
        <v>158</v>
      </c>
      <c r="D393" s="1" t="s">
        <v>12</v>
      </c>
      <c r="E393" s="1">
        <v>2</v>
      </c>
      <c r="F393" s="1">
        <v>112</v>
      </c>
      <c r="G393" s="1">
        <v>135</v>
      </c>
      <c r="H393" s="1">
        <v>72</v>
      </c>
      <c r="I393" s="2">
        <v>2.8233333333333333</v>
      </c>
      <c r="J393" s="3">
        <v>15.759878158569336</v>
      </c>
      <c r="K393" s="2">
        <v>3.7808247211710304</v>
      </c>
      <c r="L393" s="2">
        <v>0.44495389334360752</v>
      </c>
      <c r="M393" s="2">
        <v>0.10674528462772875</v>
      </c>
      <c r="N393" s="1">
        <v>21</v>
      </c>
      <c r="O393" s="1">
        <v>2.5</v>
      </c>
      <c r="EB393" s="1"/>
      <c r="EC393" s="1"/>
      <c r="ED393" s="1"/>
      <c r="EE393" s="1"/>
    </row>
    <row r="394" spans="1:135" x14ac:dyDescent="0.25">
      <c r="A394" s="4" t="s">
        <v>94</v>
      </c>
      <c r="B394" s="1">
        <v>5</v>
      </c>
      <c r="C394" s="1" t="s">
        <v>158</v>
      </c>
      <c r="D394" s="1" t="s">
        <v>12</v>
      </c>
      <c r="E394" s="1">
        <v>3</v>
      </c>
      <c r="F394" s="1">
        <v>109</v>
      </c>
      <c r="G394" s="1">
        <v>138</v>
      </c>
      <c r="H394" s="1">
        <v>24</v>
      </c>
      <c r="I394" s="2">
        <v>1.8879371316306484</v>
      </c>
      <c r="J394" s="3">
        <v>17.379741668701172</v>
      </c>
      <c r="K394" s="2">
        <v>4.2009268949020244</v>
      </c>
      <c r="L394" s="2">
        <v>0.32811859634489349</v>
      </c>
      <c r="M394" s="2">
        <v>7.9310858721513749E-2</v>
      </c>
      <c r="N394" s="1">
        <v>15</v>
      </c>
      <c r="O394" s="1">
        <v>6.5</v>
      </c>
      <c r="EB394" s="1"/>
      <c r="EC394" s="1"/>
      <c r="ED394" s="1"/>
      <c r="EE394" s="1"/>
    </row>
    <row r="395" spans="1:135" x14ac:dyDescent="0.25">
      <c r="A395" s="4" t="s">
        <v>14</v>
      </c>
      <c r="B395" s="1">
        <v>1</v>
      </c>
      <c r="C395" s="1" t="s">
        <v>159</v>
      </c>
      <c r="D395" s="1" t="s">
        <v>12</v>
      </c>
      <c r="E395" s="1">
        <v>1</v>
      </c>
      <c r="F395" s="1">
        <v>141</v>
      </c>
      <c r="G395" s="1">
        <v>105</v>
      </c>
      <c r="H395" s="1">
        <v>60</v>
      </c>
      <c r="I395" s="2">
        <v>2.7003260869565215</v>
      </c>
      <c r="J395" s="3">
        <v>17.014013290405273</v>
      </c>
      <c r="K395" s="2" t="s">
        <v>13</v>
      </c>
      <c r="L395" s="2">
        <v>0.45943383931906318</v>
      </c>
      <c r="M395" s="2" t="s">
        <v>13</v>
      </c>
      <c r="N395" s="1">
        <v>14</v>
      </c>
      <c r="O395" s="1">
        <v>4</v>
      </c>
      <c r="EB395" s="1"/>
      <c r="EC395" s="1"/>
      <c r="ED395" s="1"/>
      <c r="EE395" s="1"/>
    </row>
    <row r="396" spans="1:135" x14ac:dyDescent="0.25">
      <c r="A396" s="4" t="s">
        <v>14</v>
      </c>
      <c r="B396" s="1">
        <v>1</v>
      </c>
      <c r="C396" s="1" t="s">
        <v>159</v>
      </c>
      <c r="D396" s="1" t="s">
        <v>12</v>
      </c>
      <c r="E396" s="1">
        <v>2</v>
      </c>
      <c r="F396" s="1">
        <v>142</v>
      </c>
      <c r="G396" s="1">
        <v>114</v>
      </c>
      <c r="H396" s="1">
        <v>84</v>
      </c>
      <c r="I396" s="2">
        <v>1.9627450980392156</v>
      </c>
      <c r="J396" s="3">
        <v>17.380453109741211</v>
      </c>
      <c r="K396" s="2" t="s">
        <v>13</v>
      </c>
      <c r="L396" s="2">
        <v>0.34113399142845002</v>
      </c>
      <c r="M396" s="2" t="s">
        <v>13</v>
      </c>
      <c r="N396" s="1">
        <v>13</v>
      </c>
      <c r="O396" s="1">
        <v>1.7</v>
      </c>
      <c r="EB396" s="1"/>
      <c r="EC396" s="1"/>
      <c r="ED396" s="1"/>
      <c r="EE396" s="1"/>
    </row>
    <row r="397" spans="1:135" x14ac:dyDescent="0.25">
      <c r="A397" s="4" t="s">
        <v>14</v>
      </c>
      <c r="B397" s="1">
        <v>1</v>
      </c>
      <c r="C397" s="1" t="s">
        <v>159</v>
      </c>
      <c r="D397" s="1" t="s">
        <v>12</v>
      </c>
      <c r="E397" s="1">
        <v>3</v>
      </c>
      <c r="F397" s="1">
        <v>144</v>
      </c>
      <c r="G397" s="1">
        <v>126</v>
      </c>
      <c r="H397" s="1">
        <v>48</v>
      </c>
      <c r="I397" s="2">
        <v>2.2067725918570011</v>
      </c>
      <c r="J397" s="3">
        <v>15.706740379333496</v>
      </c>
      <c r="K397" s="2" t="s">
        <v>13</v>
      </c>
      <c r="L397" s="2">
        <v>0.34661204176526794</v>
      </c>
      <c r="M397" s="2" t="s">
        <v>13</v>
      </c>
      <c r="N397" s="1">
        <v>12</v>
      </c>
      <c r="O397" s="1">
        <v>2</v>
      </c>
      <c r="EB397" s="1"/>
      <c r="EC397" s="1"/>
      <c r="ED397" s="1"/>
      <c r="EE397" s="1"/>
    </row>
    <row r="398" spans="1:135" x14ac:dyDescent="0.25">
      <c r="A398" s="4" t="s">
        <v>94</v>
      </c>
      <c r="B398" s="1">
        <v>5</v>
      </c>
      <c r="C398" s="1" t="s">
        <v>160</v>
      </c>
      <c r="D398" s="1" t="s">
        <v>12</v>
      </c>
      <c r="E398" s="1">
        <v>1</v>
      </c>
      <c r="F398" s="1">
        <v>109</v>
      </c>
      <c r="G398" s="1">
        <v>142</v>
      </c>
      <c r="H398" s="1">
        <v>96</v>
      </c>
      <c r="I398" s="2">
        <v>2.8474193548387099</v>
      </c>
      <c r="J398" s="3">
        <v>14.901094436645508</v>
      </c>
      <c r="K398" s="2">
        <v>3.629264085856617</v>
      </c>
      <c r="L398" s="2">
        <v>0.4242966470718384</v>
      </c>
      <c r="M398" s="2">
        <v>0.10334036801889149</v>
      </c>
      <c r="N398" s="2" t="s">
        <v>13</v>
      </c>
      <c r="O398" s="2" t="s">
        <v>13</v>
      </c>
      <c r="EB398" s="1"/>
      <c r="EC398" s="1"/>
      <c r="ED398" s="1"/>
      <c r="EE398" s="1"/>
    </row>
    <row r="399" spans="1:135" x14ac:dyDescent="0.25">
      <c r="A399" s="4" t="s">
        <v>94</v>
      </c>
      <c r="B399" s="1">
        <v>5</v>
      </c>
      <c r="C399" s="1" t="s">
        <v>160</v>
      </c>
      <c r="D399" s="1" t="s">
        <v>12</v>
      </c>
      <c r="E399" s="1">
        <v>2</v>
      </c>
      <c r="F399" s="1">
        <v>108</v>
      </c>
      <c r="G399" s="1">
        <v>136</v>
      </c>
      <c r="H399" s="1">
        <v>60</v>
      </c>
      <c r="I399" s="2">
        <v>2.5318261718749997</v>
      </c>
      <c r="J399" s="3">
        <v>16.092645645141602</v>
      </c>
      <c r="K399" s="2">
        <v>4.0496325380045821</v>
      </c>
      <c r="L399" s="2">
        <v>0.40743781419079744</v>
      </c>
      <c r="M399" s="2">
        <v>0.10252965646196581</v>
      </c>
      <c r="N399" s="2" t="s">
        <v>13</v>
      </c>
      <c r="O399" s="2" t="s">
        <v>13</v>
      </c>
      <c r="EB399" s="1"/>
      <c r="EC399" s="1"/>
      <c r="ED399" s="1"/>
      <c r="EE399" s="1"/>
    </row>
    <row r="400" spans="1:135" x14ac:dyDescent="0.25">
      <c r="A400" s="4" t="s">
        <v>94</v>
      </c>
      <c r="B400" s="1">
        <v>5</v>
      </c>
      <c r="C400" s="1" t="s">
        <v>160</v>
      </c>
      <c r="D400" s="1" t="s">
        <v>12</v>
      </c>
      <c r="E400" s="1">
        <v>3</v>
      </c>
      <c r="F400" s="1">
        <v>106</v>
      </c>
      <c r="G400" s="1">
        <v>131</v>
      </c>
      <c r="H400" s="1">
        <v>60</v>
      </c>
      <c r="I400" s="2">
        <v>2.6499903381642511</v>
      </c>
      <c r="J400" s="3">
        <v>18.69854736328125</v>
      </c>
      <c r="K400" s="2">
        <v>3.4972222902033079</v>
      </c>
      <c r="L400" s="2">
        <v>0.49550969850401949</v>
      </c>
      <c r="M400" s="2">
        <v>9.2676052794514199E-2</v>
      </c>
      <c r="N400" s="2" t="s">
        <v>13</v>
      </c>
      <c r="O400" s="2" t="s">
        <v>13</v>
      </c>
      <c r="EB400" s="1"/>
      <c r="EC400" s="1"/>
      <c r="ED400" s="1"/>
      <c r="EE400" s="1"/>
    </row>
    <row r="401" spans="1:135" x14ac:dyDescent="0.25">
      <c r="A401" s="4" t="s">
        <v>94</v>
      </c>
      <c r="B401" s="1">
        <v>4</v>
      </c>
      <c r="C401" s="1" t="s">
        <v>161</v>
      </c>
      <c r="D401" s="1" t="s">
        <v>12</v>
      </c>
      <c r="E401" s="1">
        <v>1</v>
      </c>
      <c r="F401" s="1">
        <v>107</v>
      </c>
      <c r="G401" s="1">
        <v>120</v>
      </c>
      <c r="H401" s="5">
        <v>60</v>
      </c>
      <c r="I401" s="2">
        <v>2.6336894164193869</v>
      </c>
      <c r="J401" s="3">
        <v>14.309854507446289</v>
      </c>
      <c r="K401" s="2">
        <v>3.8313094229503029</v>
      </c>
      <c r="L401" s="2">
        <v>0.37687712366762555</v>
      </c>
      <c r="M401" s="2">
        <v>0.10090479078252081</v>
      </c>
      <c r="N401" s="1">
        <v>16</v>
      </c>
      <c r="O401" s="1">
        <v>5</v>
      </c>
      <c r="EB401" s="1"/>
      <c r="EC401" s="1"/>
      <c r="ED401" s="1"/>
      <c r="EE401" s="1"/>
    </row>
    <row r="402" spans="1:135" x14ac:dyDescent="0.25">
      <c r="A402" s="4" t="s">
        <v>94</v>
      </c>
      <c r="B402" s="1">
        <v>4</v>
      </c>
      <c r="C402" s="1" t="s">
        <v>161</v>
      </c>
      <c r="D402" s="1" t="s">
        <v>12</v>
      </c>
      <c r="E402" s="1">
        <v>2</v>
      </c>
      <c r="F402" s="1">
        <v>110</v>
      </c>
      <c r="G402" s="1">
        <v>119</v>
      </c>
      <c r="H402" s="1">
        <v>36</v>
      </c>
      <c r="I402" s="2">
        <v>2.6772074729596853</v>
      </c>
      <c r="J402" s="3">
        <v>14.796419143676758</v>
      </c>
      <c r="K402" s="2">
        <v>3.3699685313047123</v>
      </c>
      <c r="L402" s="2">
        <v>0.39613083904495167</v>
      </c>
      <c r="M402" s="2">
        <v>9.022104935647951E-2</v>
      </c>
      <c r="N402" s="1">
        <v>21</v>
      </c>
      <c r="O402" s="1">
        <v>5.5</v>
      </c>
      <c r="EB402" s="1"/>
      <c r="EC402" s="1"/>
      <c r="ED402" s="1"/>
      <c r="EE402" s="1"/>
    </row>
    <row r="403" spans="1:135" x14ac:dyDescent="0.25">
      <c r="A403" s="4" t="s">
        <v>94</v>
      </c>
      <c r="B403" s="1">
        <v>4</v>
      </c>
      <c r="C403" s="1" t="s">
        <v>161</v>
      </c>
      <c r="D403" s="1" t="s">
        <v>12</v>
      </c>
      <c r="E403" s="1">
        <v>3</v>
      </c>
      <c r="F403" s="1">
        <v>109</v>
      </c>
      <c r="G403" s="1">
        <v>133</v>
      </c>
      <c r="H403" s="1">
        <v>84</v>
      </c>
      <c r="I403" s="2">
        <v>2.7112463199214916</v>
      </c>
      <c r="J403" s="3">
        <v>12.25999927520752</v>
      </c>
      <c r="K403" s="2">
        <v>4.0964604096461734</v>
      </c>
      <c r="L403" s="2">
        <v>0.33239877917146543</v>
      </c>
      <c r="M403" s="2">
        <v>0.11106513210357274</v>
      </c>
      <c r="N403" s="1">
        <v>19</v>
      </c>
      <c r="O403" s="1">
        <v>14</v>
      </c>
      <c r="EB403" s="1"/>
      <c r="EC403" s="1"/>
      <c r="ED403" s="1"/>
      <c r="EE403" s="1"/>
    </row>
    <row r="404" spans="1:135" x14ac:dyDescent="0.25">
      <c r="A404" s="4" t="s">
        <v>94</v>
      </c>
      <c r="B404" s="1">
        <v>5</v>
      </c>
      <c r="C404" s="1" t="s">
        <v>162</v>
      </c>
      <c r="D404" s="1" t="s">
        <v>12</v>
      </c>
      <c r="E404" s="1">
        <v>1</v>
      </c>
      <c r="F404" s="1">
        <v>108</v>
      </c>
      <c r="G404" s="1">
        <v>131</v>
      </c>
      <c r="H404" s="1">
        <v>60</v>
      </c>
      <c r="I404" s="2">
        <v>2.5534723569350142</v>
      </c>
      <c r="J404" s="2" t="s">
        <v>13</v>
      </c>
      <c r="K404" s="2" t="s">
        <v>13</v>
      </c>
      <c r="L404" s="2" t="s">
        <v>13</v>
      </c>
      <c r="M404" s="2" t="s">
        <v>13</v>
      </c>
      <c r="N404" s="1">
        <v>13</v>
      </c>
      <c r="O404" s="1">
        <v>5.5</v>
      </c>
      <c r="EB404" s="1"/>
      <c r="EC404" s="1"/>
      <c r="ED404" s="1"/>
      <c r="EE404" s="1"/>
    </row>
    <row r="405" spans="1:135" x14ac:dyDescent="0.25">
      <c r="A405" s="4" t="s">
        <v>94</v>
      </c>
      <c r="B405" s="1">
        <v>5</v>
      </c>
      <c r="C405" s="1" t="s">
        <v>162</v>
      </c>
      <c r="D405" s="1" t="s">
        <v>12</v>
      </c>
      <c r="E405" s="1">
        <v>2</v>
      </c>
      <c r="F405" s="1">
        <v>104</v>
      </c>
      <c r="G405" s="1">
        <v>119</v>
      </c>
      <c r="H405" s="1">
        <v>36</v>
      </c>
      <c r="I405" s="2">
        <v>2.4329861111111111</v>
      </c>
      <c r="J405" s="2" t="s">
        <v>13</v>
      </c>
      <c r="K405" s="2" t="s">
        <v>13</v>
      </c>
      <c r="L405" s="2" t="s">
        <v>13</v>
      </c>
      <c r="M405" s="2" t="s">
        <v>13</v>
      </c>
      <c r="N405" s="1">
        <v>12</v>
      </c>
      <c r="O405" s="1">
        <v>3</v>
      </c>
      <c r="EB405" s="1"/>
      <c r="EC405" s="1"/>
      <c r="ED405" s="1"/>
      <c r="EE405" s="1"/>
    </row>
    <row r="406" spans="1:135" x14ac:dyDescent="0.25">
      <c r="A406" s="4" t="s">
        <v>94</v>
      </c>
      <c r="B406" s="1">
        <v>5</v>
      </c>
      <c r="C406" s="1" t="s">
        <v>162</v>
      </c>
      <c r="D406" s="1" t="s">
        <v>12</v>
      </c>
      <c r="E406" s="1">
        <v>3</v>
      </c>
      <c r="F406" s="1">
        <v>107</v>
      </c>
      <c r="G406" s="1">
        <v>117</v>
      </c>
      <c r="H406" s="1">
        <v>36</v>
      </c>
      <c r="I406" s="2">
        <v>2.4953295128939827</v>
      </c>
      <c r="J406" s="2" t="s">
        <v>13</v>
      </c>
      <c r="K406" s="2" t="s">
        <v>13</v>
      </c>
      <c r="L406" s="2" t="s">
        <v>13</v>
      </c>
      <c r="M406" s="2" t="s">
        <v>13</v>
      </c>
      <c r="N406" s="1">
        <v>12.5</v>
      </c>
      <c r="O406" s="1">
        <v>2</v>
      </c>
      <c r="ED406" s="1"/>
      <c r="EE406" s="1"/>
    </row>
    <row r="407" spans="1:135" x14ac:dyDescent="0.25">
      <c r="A407" s="4" t="s">
        <v>94</v>
      </c>
      <c r="B407" s="1">
        <v>5</v>
      </c>
      <c r="C407" s="1" t="s">
        <v>163</v>
      </c>
      <c r="D407" s="1" t="s">
        <v>12</v>
      </c>
      <c r="E407" s="1">
        <v>1</v>
      </c>
      <c r="F407" s="1">
        <v>114</v>
      </c>
      <c r="G407" s="1">
        <v>125</v>
      </c>
      <c r="H407" s="1">
        <v>48</v>
      </c>
      <c r="I407" s="2">
        <v>2.5679090029041625</v>
      </c>
      <c r="J407" s="3">
        <v>14.286908149719238</v>
      </c>
      <c r="K407" s="2">
        <v>4.2998686880740529</v>
      </c>
      <c r="L407" s="2">
        <v>0.36687480061328881</v>
      </c>
      <c r="M407" s="2">
        <v>0.11041671515411071</v>
      </c>
      <c r="N407" s="1">
        <v>12.5</v>
      </c>
      <c r="O407" s="1">
        <v>3.5</v>
      </c>
      <c r="ED407" s="1"/>
      <c r="EE407" s="1"/>
    </row>
    <row r="408" spans="1:135" x14ac:dyDescent="0.25">
      <c r="A408" s="4" t="s">
        <v>94</v>
      </c>
      <c r="B408" s="1">
        <v>5</v>
      </c>
      <c r="C408" s="1" t="s">
        <v>163</v>
      </c>
      <c r="D408" s="1" t="s">
        <v>12</v>
      </c>
      <c r="E408" s="1">
        <v>2</v>
      </c>
      <c r="F408" s="1">
        <v>107</v>
      </c>
      <c r="G408" s="1">
        <v>114</v>
      </c>
      <c r="H408" s="1">
        <v>60</v>
      </c>
      <c r="I408" s="2">
        <v>2.8840693069306931</v>
      </c>
      <c r="J408" s="3">
        <v>14.633883476257324</v>
      </c>
      <c r="K408" s="2">
        <v>4.0729021642829526</v>
      </c>
      <c r="L408" s="2">
        <v>0.42205134175073988</v>
      </c>
      <c r="M408" s="2">
        <v>0.11746532122140053</v>
      </c>
      <c r="N408" s="1">
        <v>14</v>
      </c>
      <c r="O408" s="1">
        <v>3</v>
      </c>
      <c r="ED408" s="1"/>
      <c r="EE408" s="1"/>
    </row>
    <row r="409" spans="1:135" x14ac:dyDescent="0.25">
      <c r="A409" s="4" t="s">
        <v>94</v>
      </c>
      <c r="B409" s="1">
        <v>5</v>
      </c>
      <c r="C409" s="1" t="s">
        <v>163</v>
      </c>
      <c r="D409" s="1" t="s">
        <v>12</v>
      </c>
      <c r="E409" s="1">
        <v>3</v>
      </c>
      <c r="F409" s="1">
        <v>111</v>
      </c>
      <c r="G409" s="1">
        <v>102</v>
      </c>
      <c r="H409" s="1">
        <v>60</v>
      </c>
      <c r="I409" s="2">
        <v>2.9474952198852775</v>
      </c>
      <c r="J409" s="3">
        <v>17.054956436157227</v>
      </c>
      <c r="K409" s="2">
        <v>3.8737483224942961</v>
      </c>
      <c r="L409" s="2">
        <v>0.5026940257092507</v>
      </c>
      <c r="M409" s="2">
        <v>0.11417854663590551</v>
      </c>
      <c r="N409" s="1">
        <v>15</v>
      </c>
      <c r="O409" s="1">
        <v>2.5</v>
      </c>
      <c r="ED409" s="1"/>
      <c r="EE409" s="1"/>
    </row>
    <row r="410" spans="1:135" x14ac:dyDescent="0.25">
      <c r="A410" s="4" t="s">
        <v>94</v>
      </c>
      <c r="B410" s="1">
        <v>5</v>
      </c>
      <c r="C410" s="1" t="s">
        <v>164</v>
      </c>
      <c r="D410" s="1" t="s">
        <v>12</v>
      </c>
      <c r="E410" s="1">
        <v>1</v>
      </c>
      <c r="F410" s="1">
        <v>98</v>
      </c>
      <c r="G410" s="1">
        <v>129</v>
      </c>
      <c r="H410" s="1">
        <v>60</v>
      </c>
      <c r="I410" s="2">
        <v>1.8890466926070038</v>
      </c>
      <c r="J410" s="2" t="s">
        <v>13</v>
      </c>
      <c r="K410" s="2" t="s">
        <v>13</v>
      </c>
      <c r="L410" s="2" t="s">
        <v>13</v>
      </c>
      <c r="M410" s="2" t="s">
        <v>13</v>
      </c>
      <c r="N410" s="1">
        <v>14</v>
      </c>
      <c r="O410" s="1">
        <v>6</v>
      </c>
      <c r="ED410" s="1"/>
      <c r="EE410" s="1"/>
    </row>
    <row r="411" spans="1:135" x14ac:dyDescent="0.25">
      <c r="A411" s="4" t="s">
        <v>94</v>
      </c>
      <c r="B411" s="1">
        <v>5</v>
      </c>
      <c r="C411" s="1" t="s">
        <v>164</v>
      </c>
      <c r="D411" s="1" t="s">
        <v>12</v>
      </c>
      <c r="E411" s="1">
        <v>2</v>
      </c>
      <c r="F411" s="1">
        <v>94</v>
      </c>
      <c r="G411" s="1">
        <v>125</v>
      </c>
      <c r="H411" s="1">
        <v>84</v>
      </c>
      <c r="I411" s="2">
        <v>2.5369155206286838</v>
      </c>
      <c r="J411" s="2" t="s">
        <v>13</v>
      </c>
      <c r="K411" s="2" t="s">
        <v>13</v>
      </c>
      <c r="L411" s="2" t="s">
        <v>13</v>
      </c>
      <c r="M411" s="2" t="s">
        <v>13</v>
      </c>
      <c r="N411" s="1">
        <v>12</v>
      </c>
      <c r="O411" s="1">
        <v>5.5</v>
      </c>
      <c r="ED411" s="1"/>
      <c r="EE411" s="1"/>
    </row>
    <row r="412" spans="1:135" x14ac:dyDescent="0.25">
      <c r="A412" s="4" t="s">
        <v>94</v>
      </c>
      <c r="B412" s="1">
        <v>5</v>
      </c>
      <c r="C412" s="1" t="s">
        <v>164</v>
      </c>
      <c r="D412" s="1" t="s">
        <v>12</v>
      </c>
      <c r="E412" s="1">
        <v>3</v>
      </c>
      <c r="F412" s="1">
        <v>98</v>
      </c>
      <c r="G412" s="1">
        <v>127</v>
      </c>
      <c r="H412" s="1">
        <v>96</v>
      </c>
      <c r="I412" s="2">
        <v>2.027717391304348</v>
      </c>
      <c r="J412" s="2" t="s">
        <v>13</v>
      </c>
      <c r="K412" s="2" t="s">
        <v>13</v>
      </c>
      <c r="L412" s="2" t="s">
        <v>13</v>
      </c>
      <c r="M412" s="2" t="s">
        <v>13</v>
      </c>
      <c r="N412" s="1">
        <v>13.5</v>
      </c>
      <c r="O412" s="1">
        <v>6</v>
      </c>
      <c r="ED412" s="1"/>
      <c r="EE412" s="1"/>
    </row>
    <row r="413" spans="1:135" x14ac:dyDescent="0.25">
      <c r="A413" s="4" t="s">
        <v>94</v>
      </c>
      <c r="B413" s="1">
        <v>5</v>
      </c>
      <c r="C413" s="1" t="s">
        <v>165</v>
      </c>
      <c r="D413" s="1" t="s">
        <v>12</v>
      </c>
      <c r="E413" s="1">
        <v>1</v>
      </c>
      <c r="F413" s="1">
        <v>98</v>
      </c>
      <c r="G413" s="1">
        <v>135</v>
      </c>
      <c r="H413" s="1">
        <v>96</v>
      </c>
      <c r="I413" s="2">
        <v>2.0207981220657274</v>
      </c>
      <c r="J413" s="3">
        <v>18.895908355712891</v>
      </c>
      <c r="K413" s="2">
        <v>4.6461863885682186</v>
      </c>
      <c r="L413" s="2">
        <v>0.38184816119950693</v>
      </c>
      <c r="M413" s="2">
        <v>9.3890047287860004E-2</v>
      </c>
      <c r="N413" s="1">
        <v>9</v>
      </c>
      <c r="O413" s="1">
        <v>3</v>
      </c>
      <c r="ED413" s="1"/>
      <c r="EE413" s="1"/>
    </row>
    <row r="414" spans="1:135" x14ac:dyDescent="0.25">
      <c r="A414" s="4" t="s">
        <v>94</v>
      </c>
      <c r="B414" s="1">
        <v>5</v>
      </c>
      <c r="C414" s="1" t="s">
        <v>165</v>
      </c>
      <c r="D414" s="1" t="s">
        <v>12</v>
      </c>
      <c r="E414" s="1">
        <v>2</v>
      </c>
      <c r="F414" s="1">
        <v>99</v>
      </c>
      <c r="G414" s="1">
        <v>143</v>
      </c>
      <c r="H414" s="1">
        <v>72</v>
      </c>
      <c r="I414" s="2">
        <v>1.4853548387096775</v>
      </c>
      <c r="J414" s="3">
        <v>17.698698043823242</v>
      </c>
      <c r="K414" s="2">
        <v>4.1493367459945825</v>
      </c>
      <c r="L414" s="2">
        <v>0.26288846778254354</v>
      </c>
      <c r="M414" s="2">
        <v>6.1632374130989216E-2</v>
      </c>
      <c r="N414" s="1">
        <v>9.5</v>
      </c>
      <c r="O414" s="1">
        <v>4</v>
      </c>
      <c r="ED414" s="1"/>
      <c r="EE414" s="1"/>
    </row>
    <row r="415" spans="1:135" x14ac:dyDescent="0.25">
      <c r="A415" s="4" t="s">
        <v>94</v>
      </c>
      <c r="B415" s="1">
        <v>5</v>
      </c>
      <c r="C415" s="1" t="s">
        <v>165</v>
      </c>
      <c r="D415" s="1" t="s">
        <v>12</v>
      </c>
      <c r="E415" s="1">
        <v>3</v>
      </c>
      <c r="F415" s="1">
        <v>98</v>
      </c>
      <c r="G415" s="1">
        <v>133</v>
      </c>
      <c r="H415" s="1">
        <v>60</v>
      </c>
      <c r="I415" s="2">
        <v>1.9128019801980198</v>
      </c>
      <c r="J415" s="3">
        <v>17.489429473876953</v>
      </c>
      <c r="K415" s="2">
        <v>4.4522879112569687</v>
      </c>
      <c r="L415" s="2">
        <v>0.33453815330165448</v>
      </c>
      <c r="M415" s="2">
        <v>8.516345133064035E-2</v>
      </c>
      <c r="N415" s="1">
        <v>11</v>
      </c>
      <c r="O415" s="1">
        <v>4</v>
      </c>
      <c r="ED415" s="1"/>
      <c r="EE415" s="1"/>
    </row>
    <row r="416" spans="1:135" x14ac:dyDescent="0.25">
      <c r="A416" s="4" t="s">
        <v>94</v>
      </c>
      <c r="B416" s="1">
        <v>5</v>
      </c>
      <c r="C416" s="1" t="s">
        <v>166</v>
      </c>
      <c r="D416" s="1" t="s">
        <v>12</v>
      </c>
      <c r="E416" s="1">
        <v>1</v>
      </c>
      <c r="F416" s="1">
        <v>117</v>
      </c>
      <c r="G416" s="1">
        <v>127</v>
      </c>
      <c r="H416" s="1">
        <v>120</v>
      </c>
      <c r="I416" s="2">
        <v>2.500096061479347</v>
      </c>
      <c r="J416" s="3">
        <v>17.438932418823242</v>
      </c>
      <c r="K416" s="2">
        <v>3.3676803216885181</v>
      </c>
      <c r="L416" s="2">
        <v>0.43599006256704487</v>
      </c>
      <c r="M416" s="2">
        <v>8.4195243085749646E-2</v>
      </c>
      <c r="N416" s="1">
        <v>12</v>
      </c>
      <c r="O416" s="1">
        <v>4</v>
      </c>
      <c r="ED416" s="1"/>
      <c r="EE416" s="1"/>
    </row>
    <row r="417" spans="1:135" x14ac:dyDescent="0.25">
      <c r="A417" s="4" t="s">
        <v>94</v>
      </c>
      <c r="B417" s="1">
        <v>5</v>
      </c>
      <c r="C417" s="1" t="s">
        <v>166</v>
      </c>
      <c r="D417" s="1" t="s">
        <v>12</v>
      </c>
      <c r="E417" s="1">
        <v>2</v>
      </c>
      <c r="F417" s="1">
        <v>111</v>
      </c>
      <c r="G417" s="1">
        <v>138</v>
      </c>
      <c r="H417" s="1">
        <v>84</v>
      </c>
      <c r="I417" s="2">
        <v>2.5521527777777777</v>
      </c>
      <c r="J417" s="3">
        <v>15.427178382873535</v>
      </c>
      <c r="K417" s="2">
        <v>3.7551729423182794</v>
      </c>
      <c r="L417" s="2">
        <v>0.39372516163123977</v>
      </c>
      <c r="M417" s="2">
        <v>9.5837750557735468E-2</v>
      </c>
      <c r="N417" s="1">
        <v>14</v>
      </c>
      <c r="O417" s="1">
        <v>4.5</v>
      </c>
      <c r="ED417" s="1"/>
      <c r="EE417" s="1"/>
    </row>
    <row r="418" spans="1:135" x14ac:dyDescent="0.25">
      <c r="A418" s="4" t="s">
        <v>94</v>
      </c>
      <c r="B418" s="1">
        <v>5</v>
      </c>
      <c r="C418" s="1" t="s">
        <v>166</v>
      </c>
      <c r="D418" s="1" t="s">
        <v>12</v>
      </c>
      <c r="E418" s="1">
        <v>3</v>
      </c>
      <c r="F418" s="1">
        <v>111</v>
      </c>
      <c r="G418" s="1">
        <v>138</v>
      </c>
      <c r="H418" s="1">
        <v>72</v>
      </c>
      <c r="I418" s="2">
        <v>2.2461463414634144</v>
      </c>
      <c r="J418" s="3">
        <v>14.415180206298828</v>
      </c>
      <c r="K418" s="2">
        <v>3.7858816637376598</v>
      </c>
      <c r="L418" s="2">
        <v>0.32378604281913942</v>
      </c>
      <c r="M418" s="2">
        <v>8.503644248217769E-2</v>
      </c>
      <c r="N418" s="1">
        <v>14</v>
      </c>
      <c r="O418" s="1">
        <v>6</v>
      </c>
      <c r="ED418" s="1"/>
      <c r="EE418" s="1"/>
    </row>
    <row r="419" spans="1:135" x14ac:dyDescent="0.25">
      <c r="A419" s="4" t="s">
        <v>94</v>
      </c>
      <c r="B419" s="1">
        <v>5</v>
      </c>
      <c r="C419" s="1" t="s">
        <v>167</v>
      </c>
      <c r="D419" s="1" t="s">
        <v>12</v>
      </c>
      <c r="E419" s="1">
        <v>1</v>
      </c>
      <c r="F419" s="1">
        <v>128</v>
      </c>
      <c r="G419" s="1">
        <v>117</v>
      </c>
      <c r="H419" s="1">
        <v>48</v>
      </c>
      <c r="I419" s="2">
        <v>2.3945490196078429</v>
      </c>
      <c r="J419" s="3">
        <v>18.381811141967773</v>
      </c>
      <c r="K419" s="2">
        <v>3.3802901691651539</v>
      </c>
      <c r="L419" s="2">
        <v>0.44016147848615456</v>
      </c>
      <c r="M419" s="2">
        <v>8.0942705105644483E-2</v>
      </c>
      <c r="N419" s="1">
        <v>10</v>
      </c>
      <c r="O419" s="1">
        <v>0.5</v>
      </c>
      <c r="ED419" s="1"/>
      <c r="EE419" s="1"/>
    </row>
    <row r="420" spans="1:135" x14ac:dyDescent="0.25">
      <c r="A420" s="4" t="s">
        <v>94</v>
      </c>
      <c r="B420" s="1">
        <v>5</v>
      </c>
      <c r="C420" s="1" t="s">
        <v>167</v>
      </c>
      <c r="D420" s="1" t="s">
        <v>12</v>
      </c>
      <c r="E420" s="1">
        <v>2</v>
      </c>
      <c r="F420" s="1">
        <v>141</v>
      </c>
      <c r="G420" s="1">
        <v>127</v>
      </c>
      <c r="H420" s="1">
        <v>60</v>
      </c>
      <c r="I420" s="2">
        <v>2.2964117647058822</v>
      </c>
      <c r="J420" s="3">
        <v>18.511346817016602</v>
      </c>
      <c r="K420" s="2">
        <v>4.7388031708715177</v>
      </c>
      <c r="L420" s="2">
        <v>0.42509674611147713</v>
      </c>
      <c r="M420" s="2">
        <v>0.10882243352214892</v>
      </c>
      <c r="N420" s="1">
        <v>9</v>
      </c>
      <c r="O420" s="1">
        <v>4.5</v>
      </c>
      <c r="ED420" s="1"/>
      <c r="EE420" s="1"/>
    </row>
    <row r="421" spans="1:135" x14ac:dyDescent="0.25">
      <c r="A421" s="4" t="s">
        <v>94</v>
      </c>
      <c r="B421" s="1">
        <v>5</v>
      </c>
      <c r="C421" s="1" t="s">
        <v>167</v>
      </c>
      <c r="D421" s="1" t="s">
        <v>12</v>
      </c>
      <c r="E421" s="1">
        <v>3</v>
      </c>
      <c r="F421" s="1">
        <v>130</v>
      </c>
      <c r="G421" s="1">
        <v>123</v>
      </c>
      <c r="H421" s="1">
        <v>84</v>
      </c>
      <c r="I421" s="2">
        <v>2.4582514734774068</v>
      </c>
      <c r="J421" s="3">
        <v>20.273929595947266</v>
      </c>
      <c r="K421" s="2">
        <v>3.9989569999526187</v>
      </c>
      <c r="L421" s="2">
        <v>0.49838417302414573</v>
      </c>
      <c r="M421" s="2">
        <v>9.8304419375063151E-2</v>
      </c>
      <c r="N421" s="1">
        <v>8.5</v>
      </c>
      <c r="O421" s="1">
        <v>1</v>
      </c>
      <c r="ED421" s="1"/>
      <c r="EE421" s="1"/>
    </row>
    <row r="422" spans="1:135" x14ac:dyDescent="0.25">
      <c r="A422" s="4" t="s">
        <v>94</v>
      </c>
      <c r="B422" s="1">
        <v>5</v>
      </c>
      <c r="C422" s="1" t="s">
        <v>168</v>
      </c>
      <c r="D422" s="1" t="s">
        <v>12</v>
      </c>
      <c r="E422" s="1">
        <v>1</v>
      </c>
      <c r="F422" s="1">
        <v>118</v>
      </c>
      <c r="G422" s="1">
        <v>116</v>
      </c>
      <c r="H422" s="1">
        <v>96</v>
      </c>
      <c r="I422" s="2">
        <v>2.6615053763440861</v>
      </c>
      <c r="J422" s="3">
        <v>14.766308784484863</v>
      </c>
      <c r="K422" s="2">
        <v>3.21269012599805</v>
      </c>
      <c r="L422" s="2">
        <v>0.39300610218663373</v>
      </c>
      <c r="M422" s="2">
        <v>8.5505920428713703E-2</v>
      </c>
      <c r="N422" s="1">
        <v>10.5</v>
      </c>
      <c r="O422" s="1">
        <v>4.5</v>
      </c>
      <c r="ED422" s="1"/>
      <c r="EE422" s="1"/>
    </row>
    <row r="423" spans="1:135" x14ac:dyDescent="0.25">
      <c r="A423" s="4" t="s">
        <v>94</v>
      </c>
      <c r="B423" s="1">
        <v>5</v>
      </c>
      <c r="C423" s="1" t="s">
        <v>168</v>
      </c>
      <c r="D423" s="1" t="s">
        <v>12</v>
      </c>
      <c r="E423" s="1">
        <v>2</v>
      </c>
      <c r="F423" s="1">
        <v>116</v>
      </c>
      <c r="G423" s="1">
        <v>108</v>
      </c>
      <c r="H423" s="1">
        <v>72</v>
      </c>
      <c r="I423" s="2">
        <v>2.6134482758620692</v>
      </c>
      <c r="J423" s="3">
        <v>16.874214172363281</v>
      </c>
      <c r="K423" s="2">
        <v>3.5568975664674527</v>
      </c>
      <c r="L423" s="2">
        <v>0.44099885935290106</v>
      </c>
      <c r="M423" s="2">
        <v>9.2957678125023535E-2</v>
      </c>
      <c r="N423" s="1">
        <v>14</v>
      </c>
      <c r="O423" s="1">
        <v>1.5</v>
      </c>
      <c r="ED423" s="1"/>
      <c r="EE423" s="1"/>
    </row>
    <row r="424" spans="1:135" x14ac:dyDescent="0.25">
      <c r="A424" s="4" t="s">
        <v>94</v>
      </c>
      <c r="B424" s="1">
        <v>5</v>
      </c>
      <c r="C424" s="1" t="s">
        <v>168</v>
      </c>
      <c r="D424" s="1" t="s">
        <v>12</v>
      </c>
      <c r="E424" s="1">
        <v>3</v>
      </c>
      <c r="F424" s="1">
        <v>114</v>
      </c>
      <c r="G424" s="1">
        <v>109</v>
      </c>
      <c r="H424" s="1">
        <v>108</v>
      </c>
      <c r="I424" s="2">
        <v>2.6053424657534245</v>
      </c>
      <c r="J424" s="3">
        <v>15.574434280395508</v>
      </c>
      <c r="K424" s="2">
        <v>3.8507551966505398</v>
      </c>
      <c r="L424" s="2">
        <v>0.40576735010800297</v>
      </c>
      <c r="M424" s="2">
        <v>0.10032536039054331</v>
      </c>
      <c r="N424" s="1">
        <v>12.5</v>
      </c>
      <c r="O424" s="1">
        <v>0.7</v>
      </c>
      <c r="ED424" s="1"/>
      <c r="EE424" s="1"/>
    </row>
    <row r="425" spans="1:135" x14ac:dyDescent="0.25">
      <c r="A425" s="4" t="s">
        <v>94</v>
      </c>
      <c r="B425" s="1">
        <v>5</v>
      </c>
      <c r="C425" s="1" t="s">
        <v>169</v>
      </c>
      <c r="D425" s="1" t="s">
        <v>12</v>
      </c>
      <c r="E425" s="1">
        <v>1</v>
      </c>
      <c r="F425" s="1">
        <v>96</v>
      </c>
      <c r="G425" s="1">
        <v>117</v>
      </c>
      <c r="H425" s="1">
        <v>60</v>
      </c>
      <c r="I425" s="2">
        <v>1.8262820512820515</v>
      </c>
      <c r="J425" s="3">
        <v>12.885930061340332</v>
      </c>
      <c r="K425" s="2">
        <v>2.7021281621274342</v>
      </c>
      <c r="L425" s="2">
        <v>0.23533342785101671</v>
      </c>
      <c r="M425" s="2">
        <v>4.9348481627570905E-2</v>
      </c>
      <c r="N425" s="1">
        <v>11</v>
      </c>
      <c r="O425" s="1">
        <v>4</v>
      </c>
      <c r="ED425" s="1"/>
      <c r="EE425" s="1"/>
    </row>
    <row r="426" spans="1:135" x14ac:dyDescent="0.25">
      <c r="A426" s="4" t="s">
        <v>94</v>
      </c>
      <c r="B426" s="1">
        <v>5</v>
      </c>
      <c r="C426" s="1" t="s">
        <v>169</v>
      </c>
      <c r="D426" s="1" t="s">
        <v>12</v>
      </c>
      <c r="E426" s="1">
        <v>2</v>
      </c>
      <c r="F426" s="1">
        <v>98</v>
      </c>
      <c r="G426" s="1">
        <v>120</v>
      </c>
      <c r="H426" s="1">
        <v>72</v>
      </c>
      <c r="I426" s="2">
        <v>1.9405182341650671</v>
      </c>
      <c r="J426" s="3">
        <v>14.37409782409668</v>
      </c>
      <c r="K426" s="2">
        <v>4.007577965607501</v>
      </c>
      <c r="L426" s="2">
        <v>0.27893198927332019</v>
      </c>
      <c r="M426" s="2">
        <v>7.7767781170995004E-2</v>
      </c>
      <c r="N426" s="1">
        <v>9</v>
      </c>
      <c r="O426" s="1">
        <v>3</v>
      </c>
      <c r="ED426" s="1"/>
      <c r="EE426" s="1"/>
    </row>
    <row r="427" spans="1:135" x14ac:dyDescent="0.25">
      <c r="A427" s="4" t="s">
        <v>94</v>
      </c>
      <c r="B427" s="1">
        <v>5</v>
      </c>
      <c r="C427" s="1" t="s">
        <v>169</v>
      </c>
      <c r="D427" s="1" t="s">
        <v>12</v>
      </c>
      <c r="E427" s="1">
        <v>3</v>
      </c>
      <c r="F427" s="1">
        <v>91</v>
      </c>
      <c r="G427" s="1">
        <v>120</v>
      </c>
      <c r="H427" s="1">
        <v>60</v>
      </c>
      <c r="I427" s="2">
        <v>1.9960710760118459</v>
      </c>
      <c r="J427" s="3">
        <v>14.15518856048584</v>
      </c>
      <c r="K427" s="2">
        <v>2.8912605080099034</v>
      </c>
      <c r="L427" s="2">
        <v>0.28254762461079541</v>
      </c>
      <c r="M427" s="2">
        <v>5.7711614732538837E-2</v>
      </c>
      <c r="N427" s="1">
        <v>12.5</v>
      </c>
      <c r="O427" s="1">
        <v>6</v>
      </c>
      <c r="ED427" s="1"/>
      <c r="EE427" s="1"/>
    </row>
    <row r="428" spans="1:135" x14ac:dyDescent="0.25">
      <c r="A428" s="4" t="s">
        <v>94</v>
      </c>
      <c r="B428" s="1">
        <v>5</v>
      </c>
      <c r="C428" s="1" t="s">
        <v>170</v>
      </c>
      <c r="D428" s="1" t="s">
        <v>12</v>
      </c>
      <c r="E428" s="1">
        <v>1</v>
      </c>
      <c r="F428" s="1">
        <v>107</v>
      </c>
      <c r="G428" s="1">
        <v>140</v>
      </c>
      <c r="H428" s="1">
        <v>60</v>
      </c>
      <c r="I428" s="2">
        <v>2.68</v>
      </c>
      <c r="J428" s="3">
        <v>12.681600570678711</v>
      </c>
      <c r="K428" s="2">
        <v>2.7276336377007446</v>
      </c>
      <c r="L428" s="2">
        <v>0.33986689529418945</v>
      </c>
      <c r="M428" s="2">
        <v>7.3100581490379971E-2</v>
      </c>
      <c r="N428" s="2" t="s">
        <v>13</v>
      </c>
      <c r="O428" s="2" t="s">
        <v>13</v>
      </c>
      <c r="ED428" s="1"/>
      <c r="EE428" s="1"/>
    </row>
    <row r="429" spans="1:135" x14ac:dyDescent="0.25">
      <c r="A429" s="4" t="s">
        <v>94</v>
      </c>
      <c r="B429" s="1">
        <v>5</v>
      </c>
      <c r="C429" s="1" t="s">
        <v>170</v>
      </c>
      <c r="D429" s="1" t="s">
        <v>12</v>
      </c>
      <c r="E429" s="1">
        <v>2</v>
      </c>
      <c r="F429" s="1">
        <v>107</v>
      </c>
      <c r="G429" s="1">
        <v>138</v>
      </c>
      <c r="H429" s="1">
        <v>72</v>
      </c>
      <c r="I429" s="2">
        <v>2.0854166666666667</v>
      </c>
      <c r="J429" s="3">
        <v>11.170658111572266</v>
      </c>
      <c r="K429" s="2">
        <v>3.2707028531661129</v>
      </c>
      <c r="L429" s="2">
        <v>0.23295476603507995</v>
      </c>
      <c r="M429" s="2">
        <v>6.8207782417068319E-2</v>
      </c>
      <c r="N429" s="2" t="s">
        <v>13</v>
      </c>
      <c r="O429" s="2" t="s">
        <v>13</v>
      </c>
      <c r="ED429" s="1"/>
      <c r="EE429" s="1"/>
    </row>
    <row r="430" spans="1:135" x14ac:dyDescent="0.25">
      <c r="A430" s="4" t="s">
        <v>94</v>
      </c>
      <c r="B430" s="1">
        <v>5</v>
      </c>
      <c r="C430" s="1" t="s">
        <v>170</v>
      </c>
      <c r="D430" s="1" t="s">
        <v>12</v>
      </c>
      <c r="E430" s="1">
        <v>3</v>
      </c>
      <c r="F430" s="1">
        <v>109</v>
      </c>
      <c r="G430" s="1">
        <v>128</v>
      </c>
      <c r="H430" s="1">
        <v>108</v>
      </c>
      <c r="I430" s="2">
        <v>2.556159844054581</v>
      </c>
      <c r="J430" s="3">
        <v>13.547333717346191</v>
      </c>
      <c r="K430" s="2">
        <v>3.4669387574033643</v>
      </c>
      <c r="L430" s="2">
        <v>0.34629150442287004</v>
      </c>
      <c r="M430" s="2">
        <v>8.862049633470967E-2</v>
      </c>
      <c r="N430" s="2" t="s">
        <v>13</v>
      </c>
      <c r="O430" s="2" t="s">
        <v>13</v>
      </c>
      <c r="ED430" s="1"/>
      <c r="EE430" s="1"/>
    </row>
    <row r="431" spans="1:135" x14ac:dyDescent="0.25">
      <c r="A431" s="4" t="s">
        <v>94</v>
      </c>
      <c r="B431" s="1">
        <v>5</v>
      </c>
      <c r="C431" s="1" t="s">
        <v>171</v>
      </c>
      <c r="D431" s="1" t="s">
        <v>12</v>
      </c>
      <c r="E431" s="1">
        <v>1</v>
      </c>
      <c r="F431" s="1">
        <v>109</v>
      </c>
      <c r="G431" s="1">
        <v>140</v>
      </c>
      <c r="H431" s="5">
        <v>60</v>
      </c>
      <c r="I431" s="2">
        <v>2.9195833333333336</v>
      </c>
      <c r="J431" s="3">
        <v>15.031612396240234</v>
      </c>
      <c r="K431" s="2">
        <v>3.2539235034306411</v>
      </c>
      <c r="L431" s="2">
        <v>0.43886045025189724</v>
      </c>
      <c r="M431" s="2">
        <v>9.5001008285577102E-2</v>
      </c>
      <c r="N431" s="2" t="s">
        <v>13</v>
      </c>
      <c r="O431" s="2" t="s">
        <v>13</v>
      </c>
      <c r="ED431" s="1"/>
      <c r="EE431" s="1"/>
    </row>
    <row r="432" spans="1:135" x14ac:dyDescent="0.25">
      <c r="A432" s="4" t="s">
        <v>94</v>
      </c>
      <c r="B432" s="1">
        <v>5</v>
      </c>
      <c r="C432" s="1" t="s">
        <v>171</v>
      </c>
      <c r="D432" s="1" t="s">
        <v>12</v>
      </c>
      <c r="E432" s="1">
        <v>2</v>
      </c>
      <c r="F432" s="1">
        <v>113</v>
      </c>
      <c r="G432" s="1">
        <v>142</v>
      </c>
      <c r="H432" s="1">
        <v>60</v>
      </c>
      <c r="I432" s="2">
        <v>3.0413864306784659</v>
      </c>
      <c r="J432" s="3">
        <v>14.876355171203613</v>
      </c>
      <c r="K432" s="2">
        <v>2.8863658139310315</v>
      </c>
      <c r="L432" s="2">
        <v>0.452447447556521</v>
      </c>
      <c r="M432" s="2">
        <v>8.778553820464044E-2</v>
      </c>
      <c r="N432" s="2" t="s">
        <v>13</v>
      </c>
      <c r="O432" s="2" t="s">
        <v>13</v>
      </c>
      <c r="ED432" s="1"/>
      <c r="EE432" s="1"/>
    </row>
    <row r="433" spans="1:135" x14ac:dyDescent="0.25">
      <c r="A433" s="4" t="s">
        <v>94</v>
      </c>
      <c r="B433" s="1">
        <v>5</v>
      </c>
      <c r="C433" s="1" t="s">
        <v>171</v>
      </c>
      <c r="D433" s="1" t="s">
        <v>12</v>
      </c>
      <c r="E433" s="1">
        <v>3</v>
      </c>
      <c r="F433" s="1">
        <v>111</v>
      </c>
      <c r="G433" s="1">
        <v>151</v>
      </c>
      <c r="H433" s="1">
        <v>48</v>
      </c>
      <c r="I433" s="2">
        <v>3.0538983050847457</v>
      </c>
      <c r="J433" s="3">
        <v>12.948550224304199</v>
      </c>
      <c r="K433" s="2">
        <v>3.4615733599493401</v>
      </c>
      <c r="L433" s="2">
        <v>0.39543555583307299</v>
      </c>
      <c r="M433" s="2">
        <v>0.10571293016875799</v>
      </c>
      <c r="N433" s="2" t="s">
        <v>13</v>
      </c>
      <c r="O433" s="2" t="s">
        <v>13</v>
      </c>
      <c r="ED433" s="1"/>
      <c r="EE433" s="1"/>
    </row>
    <row r="434" spans="1:135" x14ac:dyDescent="0.25">
      <c r="A434" s="4" t="s">
        <v>172</v>
      </c>
      <c r="B434" s="1">
        <v>4</v>
      </c>
      <c r="C434" s="1" t="s">
        <v>173</v>
      </c>
      <c r="D434" s="1" t="s">
        <v>12</v>
      </c>
      <c r="E434" s="1">
        <v>1</v>
      </c>
      <c r="F434" s="1">
        <v>97</v>
      </c>
      <c r="G434" s="1">
        <v>109</v>
      </c>
      <c r="H434" s="1">
        <v>36</v>
      </c>
      <c r="I434" s="2">
        <v>2.3795874263261294</v>
      </c>
      <c r="J434" s="2" t="s">
        <v>13</v>
      </c>
      <c r="K434" s="2" t="s">
        <v>13</v>
      </c>
      <c r="L434" s="2" t="s">
        <v>13</v>
      </c>
      <c r="M434" s="2" t="s">
        <v>13</v>
      </c>
      <c r="N434" s="2" t="s">
        <v>13</v>
      </c>
      <c r="O434" s="2" t="s">
        <v>13</v>
      </c>
      <c r="ED434" s="1"/>
      <c r="EE434" s="1"/>
    </row>
    <row r="435" spans="1:135" x14ac:dyDescent="0.25">
      <c r="A435" s="4" t="s">
        <v>172</v>
      </c>
      <c r="B435" s="1">
        <v>4</v>
      </c>
      <c r="C435" s="1" t="s">
        <v>173</v>
      </c>
      <c r="D435" s="1" t="s">
        <v>12</v>
      </c>
      <c r="E435" s="1">
        <v>2</v>
      </c>
      <c r="F435" s="1">
        <v>92</v>
      </c>
      <c r="G435" s="1">
        <v>117</v>
      </c>
      <c r="H435" s="1">
        <v>48</v>
      </c>
      <c r="I435" s="2">
        <v>2.0898926829268296</v>
      </c>
      <c r="J435" s="2" t="s">
        <v>13</v>
      </c>
      <c r="K435" s="2" t="s">
        <v>13</v>
      </c>
      <c r="L435" s="2" t="s">
        <v>13</v>
      </c>
      <c r="M435" s="2" t="s">
        <v>13</v>
      </c>
      <c r="N435" s="2" t="s">
        <v>13</v>
      </c>
      <c r="O435" s="2" t="s">
        <v>13</v>
      </c>
      <c r="ED435" s="1"/>
      <c r="EE435" s="1"/>
    </row>
    <row r="436" spans="1:135" x14ac:dyDescent="0.25">
      <c r="A436" s="4" t="s">
        <v>172</v>
      </c>
      <c r="B436" s="1">
        <v>4</v>
      </c>
      <c r="C436" s="1" t="s">
        <v>173</v>
      </c>
      <c r="D436" s="1" t="s">
        <v>12</v>
      </c>
      <c r="E436" s="1">
        <v>3</v>
      </c>
      <c r="F436" s="1">
        <v>92</v>
      </c>
      <c r="G436" s="1">
        <v>118</v>
      </c>
      <c r="H436" s="1">
        <v>24</v>
      </c>
      <c r="I436" s="2">
        <v>3.0875638506876228</v>
      </c>
      <c r="J436" s="2" t="s">
        <v>13</v>
      </c>
      <c r="K436" s="2" t="s">
        <v>13</v>
      </c>
      <c r="L436" s="2" t="s">
        <v>13</v>
      </c>
      <c r="M436" s="2" t="s">
        <v>13</v>
      </c>
      <c r="N436" s="2" t="s">
        <v>13</v>
      </c>
      <c r="O436" s="2" t="s">
        <v>13</v>
      </c>
      <c r="ED436" s="1"/>
      <c r="EE436" s="1"/>
    </row>
    <row r="437" spans="1:135" x14ac:dyDescent="0.25">
      <c r="A437" s="4" t="s">
        <v>172</v>
      </c>
      <c r="B437" s="1">
        <v>3</v>
      </c>
      <c r="C437" s="1" t="s">
        <v>174</v>
      </c>
      <c r="D437" s="1" t="s">
        <v>12</v>
      </c>
      <c r="E437" s="1">
        <v>1</v>
      </c>
      <c r="F437" s="1">
        <v>97</v>
      </c>
      <c r="G437" s="1">
        <v>136</v>
      </c>
      <c r="H437" s="1">
        <v>96</v>
      </c>
      <c r="I437" s="2">
        <v>2.3483870967741933</v>
      </c>
      <c r="J437" s="3">
        <v>15.712533950805664</v>
      </c>
      <c r="K437" s="2">
        <v>3.2894294738250602</v>
      </c>
      <c r="L437" s="2">
        <v>0.36899111987698457</v>
      </c>
      <c r="M437" s="2">
        <v>7.7248537320794966E-2</v>
      </c>
      <c r="N437" s="2" t="s">
        <v>13</v>
      </c>
      <c r="O437" s="2" t="s">
        <v>13</v>
      </c>
      <c r="ED437" s="1"/>
      <c r="EE437" s="1"/>
    </row>
    <row r="438" spans="1:135" x14ac:dyDescent="0.25">
      <c r="A438" s="4" t="s">
        <v>172</v>
      </c>
      <c r="B438" s="1">
        <v>3</v>
      </c>
      <c r="C438" s="1" t="s">
        <v>174</v>
      </c>
      <c r="D438" s="1" t="s">
        <v>12</v>
      </c>
      <c r="E438" s="1">
        <v>2</v>
      </c>
      <c r="F438" s="1">
        <v>90</v>
      </c>
      <c r="G438" s="1">
        <v>129</v>
      </c>
      <c r="H438" s="5">
        <v>48</v>
      </c>
      <c r="I438" s="2">
        <v>2.1702674307545364</v>
      </c>
      <c r="J438" s="3">
        <v>18.312164306640625</v>
      </c>
      <c r="K438" s="2">
        <v>3.3339040677055412</v>
      </c>
      <c r="L438" s="2">
        <v>0.39742293781327875</v>
      </c>
      <c r="M438" s="2">
        <v>7.2354634154014025E-2</v>
      </c>
      <c r="N438" s="2" t="s">
        <v>13</v>
      </c>
      <c r="O438" s="2" t="s">
        <v>13</v>
      </c>
      <c r="ED438" s="1"/>
      <c r="EE438" s="1"/>
    </row>
    <row r="439" spans="1:135" x14ac:dyDescent="0.25">
      <c r="A439" s="4" t="s">
        <v>172</v>
      </c>
      <c r="B439" s="1">
        <v>3</v>
      </c>
      <c r="C439" s="1" t="s">
        <v>174</v>
      </c>
      <c r="D439" s="1" t="s">
        <v>12</v>
      </c>
      <c r="E439" s="1">
        <v>3</v>
      </c>
      <c r="F439" s="1">
        <v>90</v>
      </c>
      <c r="G439" s="1">
        <v>135</v>
      </c>
      <c r="H439" s="1">
        <v>84</v>
      </c>
      <c r="I439" s="2">
        <v>2.4168817204301076</v>
      </c>
      <c r="J439" s="3">
        <v>14.299037933349609</v>
      </c>
      <c r="K439" s="2">
        <v>3.430085629462623</v>
      </c>
      <c r="L439" s="2">
        <v>0.34559083400849372</v>
      </c>
      <c r="M439" s="2">
        <v>8.2901112573582125E-2</v>
      </c>
      <c r="N439" s="2" t="s">
        <v>13</v>
      </c>
      <c r="O439" s="2" t="s">
        <v>13</v>
      </c>
      <c r="ED439" s="1"/>
      <c r="EE439" s="1"/>
    </row>
    <row r="440" spans="1:135" x14ac:dyDescent="0.25">
      <c r="A440" s="4" t="s">
        <v>14</v>
      </c>
      <c r="B440" s="1">
        <v>1</v>
      </c>
      <c r="C440" s="1" t="s">
        <v>175</v>
      </c>
      <c r="D440" s="1" t="s">
        <v>12</v>
      </c>
      <c r="E440" s="1">
        <v>1</v>
      </c>
      <c r="F440" s="1">
        <v>139</v>
      </c>
      <c r="G440" s="1">
        <v>105</v>
      </c>
      <c r="H440" s="1">
        <v>60</v>
      </c>
      <c r="I440" s="2">
        <v>2.1145155038759689</v>
      </c>
      <c r="J440" s="2" t="s">
        <v>13</v>
      </c>
      <c r="K440" s="2" t="s">
        <v>13</v>
      </c>
      <c r="L440" s="2" t="s">
        <v>13</v>
      </c>
      <c r="M440" s="2" t="s">
        <v>13</v>
      </c>
      <c r="N440" s="1">
        <v>13</v>
      </c>
      <c r="O440" s="1">
        <v>2</v>
      </c>
      <c r="ED440" s="1"/>
      <c r="EE440" s="1"/>
    </row>
    <row r="441" spans="1:135" x14ac:dyDescent="0.25">
      <c r="A441" s="4" t="s">
        <v>14</v>
      </c>
      <c r="B441" s="1">
        <v>1</v>
      </c>
      <c r="C441" s="1" t="s">
        <v>175</v>
      </c>
      <c r="D441" s="1" t="s">
        <v>12</v>
      </c>
      <c r="E441" s="1">
        <v>2</v>
      </c>
      <c r="F441" s="1">
        <v>140</v>
      </c>
      <c r="G441" s="1">
        <v>101</v>
      </c>
      <c r="H441" s="1">
        <v>84</v>
      </c>
      <c r="I441" s="2">
        <v>2.23</v>
      </c>
      <c r="J441" s="2" t="s">
        <v>13</v>
      </c>
      <c r="K441" s="2" t="s">
        <v>13</v>
      </c>
      <c r="L441" s="2" t="s">
        <v>13</v>
      </c>
      <c r="M441" s="2" t="s">
        <v>13</v>
      </c>
      <c r="N441" s="1">
        <v>10</v>
      </c>
      <c r="O441" s="1">
        <v>4.5</v>
      </c>
      <c r="ED441" s="1"/>
      <c r="EE441" s="1"/>
    </row>
    <row r="442" spans="1:135" x14ac:dyDescent="0.25">
      <c r="A442" s="4" t="s">
        <v>14</v>
      </c>
      <c r="B442" s="1">
        <v>1</v>
      </c>
      <c r="C442" s="1" t="s">
        <v>175</v>
      </c>
      <c r="D442" s="1" t="s">
        <v>12</v>
      </c>
      <c r="E442" s="1">
        <v>3</v>
      </c>
      <c r="F442" s="1">
        <v>151</v>
      </c>
      <c r="G442" s="1">
        <v>94</v>
      </c>
      <c r="H442" s="1">
        <v>60</v>
      </c>
      <c r="I442" s="2">
        <v>1.1968478260869564</v>
      </c>
      <c r="J442" s="2" t="s">
        <v>13</v>
      </c>
      <c r="K442" s="2" t="s">
        <v>13</v>
      </c>
      <c r="L442" s="2" t="s">
        <v>13</v>
      </c>
      <c r="M442" s="2" t="s">
        <v>13</v>
      </c>
      <c r="N442" s="1">
        <v>9</v>
      </c>
      <c r="O442" s="1">
        <v>3.5</v>
      </c>
      <c r="ED442" s="1"/>
      <c r="EE442" s="1"/>
    </row>
    <row r="443" spans="1:135" x14ac:dyDescent="0.25">
      <c r="A443" s="4" t="s">
        <v>14</v>
      </c>
      <c r="B443" s="1">
        <v>1</v>
      </c>
      <c r="C443" s="1" t="s">
        <v>176</v>
      </c>
      <c r="D443" s="1" t="s">
        <v>12</v>
      </c>
      <c r="E443" s="1">
        <v>1</v>
      </c>
      <c r="F443" s="1">
        <v>124</v>
      </c>
      <c r="G443" s="1">
        <v>108</v>
      </c>
      <c r="H443" s="1">
        <v>48</v>
      </c>
      <c r="I443" s="2">
        <v>2.5860805500982318</v>
      </c>
      <c r="J443" s="3">
        <v>21.001623153686523</v>
      </c>
      <c r="K443" s="2" t="s">
        <v>13</v>
      </c>
      <c r="L443" s="2">
        <v>0.54311889158241411</v>
      </c>
      <c r="M443" s="2" t="s">
        <v>13</v>
      </c>
      <c r="N443" s="1">
        <v>12</v>
      </c>
      <c r="O443" s="1">
        <v>4</v>
      </c>
      <c r="ED443" s="1"/>
      <c r="EE443" s="1"/>
    </row>
    <row r="444" spans="1:135" x14ac:dyDescent="0.25">
      <c r="A444" s="4" t="s">
        <v>14</v>
      </c>
      <c r="B444" s="1">
        <v>1</v>
      </c>
      <c r="C444" s="1" t="s">
        <v>176</v>
      </c>
      <c r="D444" s="1" t="s">
        <v>12</v>
      </c>
      <c r="E444" s="1">
        <v>2</v>
      </c>
      <c r="F444" s="5">
        <v>124</v>
      </c>
      <c r="G444" s="1">
        <v>114</v>
      </c>
      <c r="H444" s="1">
        <v>84</v>
      </c>
      <c r="I444" s="2">
        <v>2.2795049504950495</v>
      </c>
      <c r="J444" s="3">
        <v>19.448066711425781</v>
      </c>
      <c r="K444" s="2" t="s">
        <v>13</v>
      </c>
      <c r="L444" s="2">
        <v>0.4433196434625305</v>
      </c>
      <c r="M444" s="2" t="s">
        <v>13</v>
      </c>
      <c r="N444" s="1">
        <v>10.5</v>
      </c>
      <c r="O444" s="1">
        <v>1.5</v>
      </c>
      <c r="ED444" s="1"/>
      <c r="EE444" s="1"/>
    </row>
    <row r="445" spans="1:135" x14ac:dyDescent="0.25">
      <c r="A445" s="4" t="s">
        <v>14</v>
      </c>
      <c r="B445" s="1">
        <v>1</v>
      </c>
      <c r="C445" s="1" t="s">
        <v>176</v>
      </c>
      <c r="D445" s="1" t="s">
        <v>12</v>
      </c>
      <c r="E445" s="1">
        <v>3</v>
      </c>
      <c r="F445" s="1">
        <v>119</v>
      </c>
      <c r="G445" s="1">
        <v>129</v>
      </c>
      <c r="H445" s="1">
        <v>72</v>
      </c>
      <c r="I445" s="2">
        <v>1.2267156862745099</v>
      </c>
      <c r="J445" s="3">
        <v>16.907464981079102</v>
      </c>
      <c r="K445" s="2" t="s">
        <v>13</v>
      </c>
      <c r="L445" s="2">
        <v>0.20740652507426693</v>
      </c>
      <c r="M445" s="2" t="s">
        <v>13</v>
      </c>
      <c r="N445" s="1">
        <v>10</v>
      </c>
      <c r="O445" s="1">
        <v>5.5</v>
      </c>
      <c r="ED445" s="1"/>
      <c r="EE445" s="1"/>
    </row>
    <row r="446" spans="1:135" ht="30" x14ac:dyDescent="0.25">
      <c r="A446" s="4" t="s">
        <v>49</v>
      </c>
      <c r="B446" s="1">
        <v>4</v>
      </c>
      <c r="C446" s="1" t="s">
        <v>177</v>
      </c>
      <c r="D446" s="1" t="s">
        <v>12</v>
      </c>
      <c r="E446" s="1">
        <v>1</v>
      </c>
      <c r="F446" s="1">
        <v>100</v>
      </c>
      <c r="G446" s="1">
        <v>120</v>
      </c>
      <c r="H446" s="1">
        <v>60</v>
      </c>
      <c r="I446" s="2">
        <v>2.5219747081712058</v>
      </c>
      <c r="J446" s="3">
        <v>14.462131500244141</v>
      </c>
      <c r="K446" s="2">
        <v>3.6750577648063665</v>
      </c>
      <c r="L446" s="2">
        <v>0.3647312986986182</v>
      </c>
      <c r="M446" s="2">
        <v>9.2684027339098599E-2</v>
      </c>
      <c r="N446" s="2" t="s">
        <v>13</v>
      </c>
      <c r="O446" s="2" t="s">
        <v>13</v>
      </c>
      <c r="ED446" s="1"/>
      <c r="EE446" s="1"/>
    </row>
    <row r="447" spans="1:135" ht="30" x14ac:dyDescent="0.25">
      <c r="A447" s="4" t="s">
        <v>49</v>
      </c>
      <c r="B447" s="1">
        <v>4</v>
      </c>
      <c r="C447" s="1" t="s">
        <v>177</v>
      </c>
      <c r="D447" s="1" t="s">
        <v>12</v>
      </c>
      <c r="E447" s="1">
        <v>2</v>
      </c>
      <c r="F447" s="1">
        <v>102</v>
      </c>
      <c r="G447" s="1">
        <v>126</v>
      </c>
      <c r="H447" s="1">
        <v>96</v>
      </c>
      <c r="I447" s="2">
        <v>2.4385854616895877</v>
      </c>
      <c r="J447" s="3">
        <v>14.260456085205078</v>
      </c>
      <c r="K447" s="2">
        <v>3.7711474921126031</v>
      </c>
      <c r="L447" s="2">
        <v>0.34775340886443917</v>
      </c>
      <c r="M447" s="2">
        <v>9.1962654481529432E-2</v>
      </c>
      <c r="N447" s="2" t="s">
        <v>13</v>
      </c>
      <c r="O447" s="2" t="s">
        <v>13</v>
      </c>
      <c r="ED447" s="1"/>
      <c r="EE447" s="1"/>
    </row>
    <row r="448" spans="1:135" ht="30" x14ac:dyDescent="0.25">
      <c r="A448" s="4" t="s">
        <v>49</v>
      </c>
      <c r="B448" s="1">
        <v>4</v>
      </c>
      <c r="C448" s="1" t="s">
        <v>177</v>
      </c>
      <c r="D448" s="1" t="s">
        <v>12</v>
      </c>
      <c r="E448" s="1">
        <v>3</v>
      </c>
      <c r="F448" s="1">
        <v>113</v>
      </c>
      <c r="G448" s="1">
        <v>121</v>
      </c>
      <c r="H448" s="5">
        <v>72</v>
      </c>
      <c r="I448" s="2">
        <v>2.2546796116504852</v>
      </c>
      <c r="J448" s="3">
        <v>16.282148361206055</v>
      </c>
      <c r="K448" s="7">
        <v>3.4458908677716122</v>
      </c>
      <c r="L448" s="2">
        <v>0.36711027943879654</v>
      </c>
      <c r="M448" s="2">
        <v>0.17866789008162834</v>
      </c>
      <c r="N448" s="2" t="s">
        <v>13</v>
      </c>
      <c r="O448" s="2" t="s">
        <v>13</v>
      </c>
      <c r="ED448" s="1"/>
      <c r="EE448" s="1"/>
    </row>
    <row r="449" spans="1:135" ht="30" x14ac:dyDescent="0.25">
      <c r="A449" s="4" t="s">
        <v>49</v>
      </c>
      <c r="B449" s="1">
        <v>5</v>
      </c>
      <c r="C449" s="1" t="s">
        <v>178</v>
      </c>
      <c r="D449" s="1" t="s">
        <v>12</v>
      </c>
      <c r="E449" s="1">
        <v>1</v>
      </c>
      <c r="F449" s="1">
        <v>102</v>
      </c>
      <c r="G449" s="1">
        <v>116</v>
      </c>
      <c r="H449" s="5">
        <v>60</v>
      </c>
      <c r="I449" s="2">
        <v>1.7916731517509727</v>
      </c>
      <c r="J449" s="3">
        <v>12.618489265441895</v>
      </c>
      <c r="K449" s="2">
        <v>4.3135829395370715</v>
      </c>
      <c r="L449" s="2">
        <v>0.22608208432550098</v>
      </c>
      <c r="M449" s="2">
        <v>7.7285307406196102E-2</v>
      </c>
      <c r="N449" s="2" t="s">
        <v>13</v>
      </c>
      <c r="O449" s="2" t="s">
        <v>13</v>
      </c>
      <c r="ED449" s="1"/>
      <c r="EE449" s="1"/>
    </row>
    <row r="450" spans="1:135" ht="30" x14ac:dyDescent="0.25">
      <c r="A450" s="4" t="s">
        <v>49</v>
      </c>
      <c r="B450" s="1">
        <v>5</v>
      </c>
      <c r="C450" s="1" t="s">
        <v>178</v>
      </c>
      <c r="D450" s="1" t="s">
        <v>12</v>
      </c>
      <c r="E450" s="1">
        <v>2</v>
      </c>
      <c r="F450" s="1">
        <v>102</v>
      </c>
      <c r="G450" s="1">
        <v>117</v>
      </c>
      <c r="H450" s="1">
        <v>60</v>
      </c>
      <c r="I450" s="2">
        <v>2.1281102362204729</v>
      </c>
      <c r="J450" s="3">
        <v>13.601051330566406</v>
      </c>
      <c r="K450" s="2">
        <v>3.4885366544018597</v>
      </c>
      <c r="L450" s="2">
        <v>0.2894453655993845</v>
      </c>
      <c r="M450" s="2">
        <v>7.4239905636629189E-2</v>
      </c>
      <c r="N450" s="2" t="s">
        <v>13</v>
      </c>
      <c r="O450" s="2" t="s">
        <v>13</v>
      </c>
      <c r="ED450" s="1"/>
      <c r="EE450" s="1"/>
    </row>
    <row r="451" spans="1:135" ht="30" x14ac:dyDescent="0.25">
      <c r="A451" s="4" t="s">
        <v>49</v>
      </c>
      <c r="B451" s="1">
        <v>5</v>
      </c>
      <c r="C451" s="1" t="s">
        <v>178</v>
      </c>
      <c r="D451" s="1" t="s">
        <v>12</v>
      </c>
      <c r="E451" s="1">
        <v>3</v>
      </c>
      <c r="F451" s="1">
        <v>100</v>
      </c>
      <c r="G451" s="1">
        <v>119</v>
      </c>
      <c r="H451" s="1">
        <v>72</v>
      </c>
      <c r="I451" s="2">
        <v>2.2621468926553674</v>
      </c>
      <c r="J451" s="3">
        <v>13.938305854797363</v>
      </c>
      <c r="K451" s="2">
        <v>3.7246722288440033</v>
      </c>
      <c r="L451" s="2">
        <v>0.31530495278309972</v>
      </c>
      <c r="M451" s="2">
        <v>8.4257557086392029E-2</v>
      </c>
      <c r="N451" s="2" t="s">
        <v>13</v>
      </c>
      <c r="O451" s="2" t="s">
        <v>13</v>
      </c>
      <c r="ED451" s="1"/>
      <c r="EE451" s="1"/>
    </row>
    <row r="452" spans="1:135" ht="30" x14ac:dyDescent="0.25">
      <c r="A452" s="4" t="s">
        <v>49</v>
      </c>
      <c r="B452" s="1">
        <v>5</v>
      </c>
      <c r="C452" s="1" t="s">
        <v>179</v>
      </c>
      <c r="D452" s="1" t="s">
        <v>12</v>
      </c>
      <c r="E452" s="1">
        <v>1</v>
      </c>
      <c r="F452" s="1">
        <v>118</v>
      </c>
      <c r="G452" s="1">
        <v>112</v>
      </c>
      <c r="H452" s="1">
        <v>96</v>
      </c>
      <c r="I452" s="2">
        <v>2.3973118279569894</v>
      </c>
      <c r="J452" s="2" t="s">
        <v>13</v>
      </c>
      <c r="K452" s="2" t="s">
        <v>13</v>
      </c>
      <c r="L452" s="2" t="s">
        <v>13</v>
      </c>
      <c r="M452" s="2" t="s">
        <v>13</v>
      </c>
      <c r="N452" s="2" t="s">
        <v>13</v>
      </c>
      <c r="O452" s="2" t="s">
        <v>13</v>
      </c>
      <c r="ED452" s="1"/>
      <c r="EE452" s="1"/>
    </row>
    <row r="453" spans="1:135" ht="30" x14ac:dyDescent="0.25">
      <c r="A453" s="4" t="s">
        <v>49</v>
      </c>
      <c r="B453" s="1">
        <v>5</v>
      </c>
      <c r="C453" s="1" t="s">
        <v>179</v>
      </c>
      <c r="D453" s="1" t="s">
        <v>12</v>
      </c>
      <c r="E453" s="1">
        <v>2</v>
      </c>
      <c r="F453" s="1">
        <v>109</v>
      </c>
      <c r="G453" s="1">
        <v>118</v>
      </c>
      <c r="H453" s="1">
        <v>120</v>
      </c>
      <c r="I453" s="2">
        <v>2.1760869565217393</v>
      </c>
      <c r="J453" s="2" t="s">
        <v>13</v>
      </c>
      <c r="K453" s="2" t="s">
        <v>13</v>
      </c>
      <c r="L453" s="2" t="s">
        <v>13</v>
      </c>
      <c r="M453" s="2" t="s">
        <v>13</v>
      </c>
      <c r="N453" s="2" t="s">
        <v>13</v>
      </c>
      <c r="O453" s="2" t="s">
        <v>13</v>
      </c>
      <c r="ED453" s="1"/>
      <c r="EE453" s="1"/>
    </row>
    <row r="454" spans="1:135" ht="30" x14ac:dyDescent="0.25">
      <c r="A454" s="4" t="s">
        <v>49</v>
      </c>
      <c r="B454" s="1">
        <v>5</v>
      </c>
      <c r="C454" s="1" t="s">
        <v>179</v>
      </c>
      <c r="D454" s="1" t="s">
        <v>12</v>
      </c>
      <c r="E454" s="1">
        <v>3</v>
      </c>
      <c r="F454" s="1">
        <v>112</v>
      </c>
      <c r="G454" s="1">
        <v>90</v>
      </c>
      <c r="H454" s="1">
        <v>96</v>
      </c>
      <c r="I454" s="2">
        <v>2.2559121951219514</v>
      </c>
      <c r="J454" s="2" t="s">
        <v>13</v>
      </c>
      <c r="K454" s="2" t="s">
        <v>13</v>
      </c>
      <c r="L454" s="2" t="s">
        <v>13</v>
      </c>
      <c r="M454" s="2" t="s">
        <v>13</v>
      </c>
      <c r="N454" s="2" t="s">
        <v>13</v>
      </c>
      <c r="O454" s="2" t="s">
        <v>13</v>
      </c>
      <c r="ED454" s="1"/>
      <c r="EE454" s="1"/>
    </row>
    <row r="455" spans="1:135" ht="30" x14ac:dyDescent="0.25">
      <c r="A455" s="4" t="s">
        <v>49</v>
      </c>
      <c r="B455" s="1">
        <v>4</v>
      </c>
      <c r="C455" s="1" t="s">
        <v>180</v>
      </c>
      <c r="D455" s="1" t="s">
        <v>12</v>
      </c>
      <c r="E455" s="1">
        <v>1</v>
      </c>
      <c r="F455" s="1">
        <v>112</v>
      </c>
      <c r="G455" s="1">
        <v>142</v>
      </c>
      <c r="H455" s="1">
        <v>72</v>
      </c>
      <c r="I455" s="2">
        <v>2.6420816733067731</v>
      </c>
      <c r="J455" s="3">
        <v>12.077710151672363</v>
      </c>
      <c r="K455" s="2">
        <v>3.3287482806056139</v>
      </c>
      <c r="L455" s="2">
        <v>0.31910296647244718</v>
      </c>
      <c r="M455" s="2">
        <v>8.7948248272395238E-2</v>
      </c>
      <c r="N455" s="2" t="s">
        <v>13</v>
      </c>
      <c r="O455" s="2" t="s">
        <v>13</v>
      </c>
      <c r="ED455" s="1"/>
      <c r="EE455" s="1"/>
    </row>
    <row r="456" spans="1:135" ht="30" x14ac:dyDescent="0.25">
      <c r="A456" s="4" t="s">
        <v>49</v>
      </c>
      <c r="B456" s="1">
        <v>4</v>
      </c>
      <c r="C456" s="1" t="s">
        <v>180</v>
      </c>
      <c r="D456" s="1" t="s">
        <v>12</v>
      </c>
      <c r="E456" s="1">
        <v>2</v>
      </c>
      <c r="F456" s="1">
        <v>117</v>
      </c>
      <c r="G456" s="1">
        <v>135</v>
      </c>
      <c r="H456" s="1">
        <v>108</v>
      </c>
      <c r="I456" s="2">
        <v>2.5994961240310079</v>
      </c>
      <c r="J456" s="3">
        <v>14.24974536895752</v>
      </c>
      <c r="K456" s="2">
        <v>2.9325930671224616</v>
      </c>
      <c r="L456" s="2">
        <v>0.3704215785503388</v>
      </c>
      <c r="M456" s="2">
        <v>7.6232643113450446E-2</v>
      </c>
      <c r="N456" s="2" t="s">
        <v>13</v>
      </c>
      <c r="O456" s="2" t="s">
        <v>13</v>
      </c>
      <c r="ED456" s="1"/>
      <c r="EE456" s="1"/>
    </row>
    <row r="457" spans="1:135" ht="30" x14ac:dyDescent="0.25">
      <c r="A457" s="4" t="s">
        <v>49</v>
      </c>
      <c r="B457" s="1">
        <v>4</v>
      </c>
      <c r="C457" s="1" t="s">
        <v>180</v>
      </c>
      <c r="D457" s="1" t="s">
        <v>12</v>
      </c>
      <c r="E457" s="1">
        <v>3</v>
      </c>
      <c r="F457" s="1">
        <v>113</v>
      </c>
      <c r="G457" s="1">
        <v>135</v>
      </c>
      <c r="H457" s="1">
        <v>84</v>
      </c>
      <c r="I457" s="2">
        <v>2.050829268292683</v>
      </c>
      <c r="J457" s="3">
        <v>14.211307525634766</v>
      </c>
      <c r="K457" s="2">
        <v>2.9959783927849379</v>
      </c>
      <c r="L457" s="2">
        <v>0.29144965414279844</v>
      </c>
      <c r="M457" s="2">
        <v>6.1442401750958227E-2</v>
      </c>
      <c r="N457" s="2" t="s">
        <v>13</v>
      </c>
      <c r="O457" s="2" t="s">
        <v>13</v>
      </c>
      <c r="ED457" s="1"/>
      <c r="EE457" s="1"/>
    </row>
    <row r="458" spans="1:135" x14ac:dyDescent="0.25">
      <c r="A458" s="4" t="s">
        <v>14</v>
      </c>
      <c r="B458" s="1">
        <v>1</v>
      </c>
      <c r="C458" s="1" t="s">
        <v>181</v>
      </c>
      <c r="D458" s="1" t="s">
        <v>12</v>
      </c>
      <c r="E458" s="1">
        <v>1</v>
      </c>
      <c r="F458" s="1">
        <v>134</v>
      </c>
      <c r="G458" s="1">
        <v>115</v>
      </c>
      <c r="H458" s="5">
        <v>60</v>
      </c>
      <c r="I458" s="2" t="s">
        <v>13</v>
      </c>
      <c r="J458" s="2" t="s">
        <v>13</v>
      </c>
      <c r="K458" s="2" t="s">
        <v>13</v>
      </c>
      <c r="L458" s="2" t="s">
        <v>13</v>
      </c>
      <c r="M458" s="2" t="s">
        <v>13</v>
      </c>
      <c r="N458" s="1">
        <v>13</v>
      </c>
      <c r="O458" s="1">
        <v>1</v>
      </c>
      <c r="ED458" s="1"/>
      <c r="EE458" s="1"/>
    </row>
    <row r="459" spans="1:135" x14ac:dyDescent="0.25">
      <c r="A459" s="4" t="s">
        <v>14</v>
      </c>
      <c r="B459" s="1">
        <v>1</v>
      </c>
      <c r="C459" s="1" t="s">
        <v>181</v>
      </c>
      <c r="D459" s="1" t="s">
        <v>12</v>
      </c>
      <c r="E459" s="1">
        <v>2</v>
      </c>
      <c r="F459" s="1">
        <v>137</v>
      </c>
      <c r="G459" s="1">
        <v>112</v>
      </c>
      <c r="H459" s="1">
        <v>48</v>
      </c>
      <c r="I459" s="2" t="s">
        <v>13</v>
      </c>
      <c r="J459" s="2" t="s">
        <v>13</v>
      </c>
      <c r="K459" s="2" t="s">
        <v>13</v>
      </c>
      <c r="L459" s="2" t="s">
        <v>13</v>
      </c>
      <c r="M459" s="2" t="s">
        <v>13</v>
      </c>
      <c r="N459" s="1">
        <v>11</v>
      </c>
      <c r="O459" s="1">
        <v>2.5</v>
      </c>
      <c r="ED459" s="1"/>
      <c r="EE459" s="1"/>
    </row>
    <row r="460" spans="1:135" x14ac:dyDescent="0.25">
      <c r="A460" s="4" t="s">
        <v>14</v>
      </c>
      <c r="B460" s="1">
        <v>1</v>
      </c>
      <c r="C460" s="1" t="s">
        <v>181</v>
      </c>
      <c r="D460" s="1" t="s">
        <v>12</v>
      </c>
      <c r="E460" s="1">
        <v>3</v>
      </c>
      <c r="F460" s="1">
        <v>137</v>
      </c>
      <c r="G460" s="1">
        <v>113</v>
      </c>
      <c r="H460" s="1">
        <v>72</v>
      </c>
      <c r="I460" s="2" t="s">
        <v>13</v>
      </c>
      <c r="J460" s="2" t="s">
        <v>13</v>
      </c>
      <c r="K460" s="2" t="s">
        <v>13</v>
      </c>
      <c r="L460" s="2" t="s">
        <v>13</v>
      </c>
      <c r="M460" s="2" t="s">
        <v>13</v>
      </c>
      <c r="N460" s="1">
        <v>8.5</v>
      </c>
      <c r="O460" s="1">
        <v>0.5</v>
      </c>
      <c r="ED460" s="1"/>
      <c r="EE460" s="1"/>
    </row>
    <row r="461" spans="1:135" x14ac:dyDescent="0.25">
      <c r="A461" s="4" t="s">
        <v>182</v>
      </c>
      <c r="B461" s="1">
        <v>2</v>
      </c>
      <c r="C461" s="1" t="s">
        <v>183</v>
      </c>
      <c r="D461" s="1" t="s">
        <v>12</v>
      </c>
      <c r="E461" s="1">
        <v>1</v>
      </c>
      <c r="F461" s="1">
        <v>142</v>
      </c>
      <c r="G461" s="1">
        <v>131</v>
      </c>
      <c r="H461" s="5">
        <v>96</v>
      </c>
      <c r="I461" s="2" t="s">
        <v>13</v>
      </c>
      <c r="J461" s="2" t="s">
        <v>13</v>
      </c>
      <c r="K461" s="2" t="s">
        <v>13</v>
      </c>
      <c r="L461" s="2" t="s">
        <v>13</v>
      </c>
      <c r="M461" s="2" t="s">
        <v>13</v>
      </c>
      <c r="N461" s="2" t="s">
        <v>13</v>
      </c>
      <c r="O461" s="2" t="s">
        <v>13</v>
      </c>
      <c r="ED461" s="1"/>
      <c r="EE461" s="1"/>
    </row>
    <row r="462" spans="1:135" x14ac:dyDescent="0.25">
      <c r="A462" s="4" t="s">
        <v>182</v>
      </c>
      <c r="B462" s="1">
        <v>2</v>
      </c>
      <c r="C462" s="1" t="s">
        <v>183</v>
      </c>
      <c r="D462" s="1" t="s">
        <v>12</v>
      </c>
      <c r="E462" s="1">
        <v>2</v>
      </c>
      <c r="F462" s="1">
        <v>140</v>
      </c>
      <c r="G462" s="1">
        <v>118</v>
      </c>
      <c r="H462" s="5">
        <v>96</v>
      </c>
      <c r="I462" s="2" t="s">
        <v>13</v>
      </c>
      <c r="J462" s="2" t="s">
        <v>13</v>
      </c>
      <c r="K462" s="2" t="s">
        <v>13</v>
      </c>
      <c r="L462" s="2" t="s">
        <v>13</v>
      </c>
      <c r="M462" s="2" t="s">
        <v>13</v>
      </c>
      <c r="N462" s="2" t="s">
        <v>13</v>
      </c>
      <c r="O462" s="2" t="s">
        <v>13</v>
      </c>
    </row>
    <row r="463" spans="1:135" x14ac:dyDescent="0.25">
      <c r="A463" s="4" t="s">
        <v>182</v>
      </c>
      <c r="B463" s="1">
        <v>2</v>
      </c>
      <c r="C463" s="1" t="s">
        <v>183</v>
      </c>
      <c r="D463" s="1" t="s">
        <v>12</v>
      </c>
      <c r="E463" s="1">
        <v>3</v>
      </c>
      <c r="F463" s="1">
        <v>142</v>
      </c>
      <c r="G463" s="1">
        <v>139</v>
      </c>
      <c r="H463" s="5">
        <v>72</v>
      </c>
      <c r="I463" s="2" t="s">
        <v>13</v>
      </c>
      <c r="J463" s="2" t="s">
        <v>13</v>
      </c>
      <c r="K463" s="2" t="s">
        <v>13</v>
      </c>
      <c r="L463" s="2" t="s">
        <v>13</v>
      </c>
      <c r="M463" s="2" t="s">
        <v>13</v>
      </c>
      <c r="N463" s="2" t="s">
        <v>13</v>
      </c>
      <c r="O463" s="2" t="s">
        <v>13</v>
      </c>
    </row>
    <row r="464" spans="1:135" x14ac:dyDescent="0.25">
      <c r="A464" s="4" t="s">
        <v>14</v>
      </c>
      <c r="B464" s="1">
        <v>1</v>
      </c>
      <c r="C464" s="1" t="s">
        <v>184</v>
      </c>
      <c r="D464" s="1" t="s">
        <v>12</v>
      </c>
      <c r="E464" s="1">
        <v>1</v>
      </c>
      <c r="F464" s="1">
        <v>123</v>
      </c>
      <c r="G464" s="1">
        <v>121</v>
      </c>
      <c r="H464" s="5">
        <v>96</v>
      </c>
      <c r="I464" s="2" t="s">
        <v>13</v>
      </c>
      <c r="J464" s="2" t="s">
        <v>13</v>
      </c>
      <c r="K464" s="2" t="s">
        <v>13</v>
      </c>
      <c r="L464" s="2" t="s">
        <v>13</v>
      </c>
      <c r="M464" s="2" t="s">
        <v>13</v>
      </c>
      <c r="N464" s="1">
        <v>12</v>
      </c>
      <c r="O464" s="1">
        <v>2.5</v>
      </c>
    </row>
    <row r="465" spans="1:15" x14ac:dyDescent="0.25">
      <c r="A465" s="4" t="s">
        <v>14</v>
      </c>
      <c r="B465" s="1">
        <v>1</v>
      </c>
      <c r="C465" s="1" t="s">
        <v>184</v>
      </c>
      <c r="D465" s="1" t="s">
        <v>12</v>
      </c>
      <c r="E465" s="1">
        <v>2</v>
      </c>
      <c r="F465" s="1">
        <v>138</v>
      </c>
      <c r="G465" s="1">
        <v>112</v>
      </c>
      <c r="H465" s="5">
        <v>96</v>
      </c>
      <c r="I465" s="2" t="s">
        <v>13</v>
      </c>
      <c r="J465" s="2" t="s">
        <v>13</v>
      </c>
      <c r="K465" s="2" t="s">
        <v>13</v>
      </c>
      <c r="L465" s="2" t="s">
        <v>13</v>
      </c>
      <c r="M465" s="2" t="s">
        <v>13</v>
      </c>
      <c r="N465" s="1">
        <v>11</v>
      </c>
      <c r="O465" s="1">
        <v>3</v>
      </c>
    </row>
    <row r="466" spans="1:15" x14ac:dyDescent="0.25">
      <c r="A466" s="4" t="s">
        <v>14</v>
      </c>
      <c r="B466" s="1">
        <v>1</v>
      </c>
      <c r="C466" s="1" t="s">
        <v>184</v>
      </c>
      <c r="D466" s="1" t="s">
        <v>12</v>
      </c>
      <c r="E466" s="1">
        <v>3</v>
      </c>
      <c r="F466" s="1">
        <v>125</v>
      </c>
      <c r="G466" s="1">
        <v>129</v>
      </c>
      <c r="H466" s="5">
        <v>72</v>
      </c>
      <c r="I466" s="2" t="s">
        <v>13</v>
      </c>
      <c r="J466" s="2" t="s">
        <v>13</v>
      </c>
      <c r="K466" s="2" t="s">
        <v>13</v>
      </c>
      <c r="L466" s="2" t="s">
        <v>13</v>
      </c>
      <c r="M466" s="2" t="s">
        <v>13</v>
      </c>
      <c r="N466" s="1">
        <v>11</v>
      </c>
      <c r="O466" s="1">
        <v>7.5</v>
      </c>
    </row>
    <row r="467" spans="1:15" x14ac:dyDescent="0.25">
      <c r="A467" s="4" t="s">
        <v>182</v>
      </c>
      <c r="B467" s="1">
        <v>2</v>
      </c>
      <c r="C467" s="1" t="s">
        <v>185</v>
      </c>
      <c r="D467" s="1" t="s">
        <v>12</v>
      </c>
      <c r="E467" s="1">
        <v>1</v>
      </c>
      <c r="F467" s="1">
        <v>87</v>
      </c>
      <c r="G467" s="1">
        <v>120</v>
      </c>
      <c r="H467" s="1">
        <v>48</v>
      </c>
      <c r="I467" s="2">
        <v>2.2754439024390245</v>
      </c>
      <c r="J467" s="3">
        <v>15.317975044250488</v>
      </c>
      <c r="K467" s="2" t="s">
        <v>13</v>
      </c>
      <c r="L467" s="2">
        <v>0.34855192912152916</v>
      </c>
      <c r="M467" s="2" t="s">
        <v>13</v>
      </c>
      <c r="N467" s="2" t="s">
        <v>13</v>
      </c>
      <c r="O467" s="2" t="s">
        <v>13</v>
      </c>
    </row>
    <row r="468" spans="1:15" x14ac:dyDescent="0.25">
      <c r="A468" s="4" t="s">
        <v>182</v>
      </c>
      <c r="B468" s="1">
        <v>2</v>
      </c>
      <c r="C468" s="1" t="s">
        <v>185</v>
      </c>
      <c r="D468" s="1" t="s">
        <v>12</v>
      </c>
      <c r="E468" s="1">
        <v>2</v>
      </c>
      <c r="F468" s="1">
        <v>91</v>
      </c>
      <c r="G468" s="1">
        <v>120</v>
      </c>
      <c r="H468" s="1">
        <v>60</v>
      </c>
      <c r="I468" s="2">
        <v>2.1739864864864864</v>
      </c>
      <c r="J468" s="3">
        <v>13.990359306335449</v>
      </c>
      <c r="K468" s="2" t="s">
        <v>13</v>
      </c>
      <c r="L468" s="2">
        <v>0.3041485207306372</v>
      </c>
      <c r="M468" s="2" t="s">
        <v>13</v>
      </c>
      <c r="N468" s="2" t="s">
        <v>13</v>
      </c>
      <c r="O468" s="2" t="s">
        <v>13</v>
      </c>
    </row>
    <row r="469" spans="1:15" x14ac:dyDescent="0.25">
      <c r="A469" s="4" t="s">
        <v>182</v>
      </c>
      <c r="B469" s="1">
        <v>2</v>
      </c>
      <c r="C469" s="1" t="s">
        <v>185</v>
      </c>
      <c r="D469" s="1" t="s">
        <v>12</v>
      </c>
      <c r="E469" s="1">
        <v>3</v>
      </c>
      <c r="F469" s="1">
        <v>97</v>
      </c>
      <c r="G469" s="1">
        <v>120</v>
      </c>
      <c r="H469" s="1">
        <v>96</v>
      </c>
      <c r="I469" s="2">
        <v>1.6667182962245886</v>
      </c>
      <c r="J469" s="3">
        <v>14.384365081787109</v>
      </c>
      <c r="K469" s="2" t="s">
        <v>13</v>
      </c>
      <c r="L469" s="2">
        <v>0.23974684461388676</v>
      </c>
      <c r="M469" s="2" t="s">
        <v>13</v>
      </c>
      <c r="N469" s="2" t="s">
        <v>13</v>
      </c>
      <c r="O469" s="2" t="s">
        <v>13</v>
      </c>
    </row>
    <row r="470" spans="1:15" x14ac:dyDescent="0.25">
      <c r="A470" s="4" t="s">
        <v>182</v>
      </c>
      <c r="B470" s="1">
        <v>4</v>
      </c>
      <c r="C470" s="1" t="s">
        <v>186</v>
      </c>
      <c r="D470" s="1" t="s">
        <v>12</v>
      </c>
      <c r="E470" s="1">
        <v>1</v>
      </c>
      <c r="F470" s="1">
        <v>142</v>
      </c>
      <c r="G470" s="1">
        <v>108</v>
      </c>
      <c r="H470" s="1">
        <v>96</v>
      </c>
      <c r="I470" s="2" t="s">
        <v>13</v>
      </c>
      <c r="J470" s="2" t="s">
        <v>13</v>
      </c>
      <c r="K470" s="2" t="s">
        <v>13</v>
      </c>
      <c r="L470" s="2" t="s">
        <v>13</v>
      </c>
      <c r="M470" s="2" t="s">
        <v>13</v>
      </c>
      <c r="N470" s="2" t="s">
        <v>13</v>
      </c>
      <c r="O470" s="2" t="s">
        <v>13</v>
      </c>
    </row>
    <row r="471" spans="1:15" x14ac:dyDescent="0.25">
      <c r="A471" s="4" t="s">
        <v>182</v>
      </c>
      <c r="B471" s="1">
        <v>4</v>
      </c>
      <c r="C471" s="1" t="s">
        <v>186</v>
      </c>
      <c r="D471" s="1" t="s">
        <v>12</v>
      </c>
      <c r="E471" s="1">
        <v>2</v>
      </c>
      <c r="F471" s="1">
        <v>151</v>
      </c>
      <c r="G471" s="1">
        <v>116</v>
      </c>
      <c r="H471" s="1">
        <v>84</v>
      </c>
      <c r="I471" s="2" t="s">
        <v>13</v>
      </c>
      <c r="J471" s="2" t="s">
        <v>13</v>
      </c>
      <c r="K471" s="2" t="s">
        <v>13</v>
      </c>
      <c r="L471" s="2" t="s">
        <v>13</v>
      </c>
      <c r="M471" s="2" t="s">
        <v>13</v>
      </c>
      <c r="N471" s="2" t="s">
        <v>13</v>
      </c>
      <c r="O471" s="2" t="s">
        <v>13</v>
      </c>
    </row>
    <row r="472" spans="1:15" x14ac:dyDescent="0.25">
      <c r="A472" s="4" t="s">
        <v>182</v>
      </c>
      <c r="B472" s="1">
        <v>4</v>
      </c>
      <c r="C472" s="1" t="s">
        <v>186</v>
      </c>
      <c r="D472" s="1" t="s">
        <v>12</v>
      </c>
      <c r="E472" s="1">
        <v>3</v>
      </c>
      <c r="F472" s="1">
        <v>154</v>
      </c>
      <c r="G472" s="1">
        <v>133</v>
      </c>
      <c r="H472" s="1">
        <v>84</v>
      </c>
      <c r="I472" s="2" t="s">
        <v>13</v>
      </c>
      <c r="J472" s="2" t="s">
        <v>13</v>
      </c>
      <c r="K472" s="2" t="s">
        <v>13</v>
      </c>
      <c r="L472" s="2" t="s">
        <v>13</v>
      </c>
      <c r="M472" s="2" t="s">
        <v>13</v>
      </c>
      <c r="N472" s="2" t="s">
        <v>13</v>
      </c>
      <c r="O472" s="2" t="s">
        <v>13</v>
      </c>
    </row>
    <row r="473" spans="1:15" x14ac:dyDescent="0.25">
      <c r="A473" s="4" t="s">
        <v>182</v>
      </c>
      <c r="B473" s="1">
        <v>4</v>
      </c>
      <c r="C473" s="1" t="s">
        <v>187</v>
      </c>
      <c r="D473" s="1" t="s">
        <v>12</v>
      </c>
      <c r="E473" s="1">
        <v>1</v>
      </c>
      <c r="F473" s="1">
        <v>139</v>
      </c>
      <c r="G473" s="1">
        <v>112</v>
      </c>
      <c r="H473" s="1">
        <v>48</v>
      </c>
      <c r="I473" s="2" t="s">
        <v>13</v>
      </c>
      <c r="J473" s="2" t="s">
        <v>13</v>
      </c>
      <c r="K473" s="2" t="s">
        <v>13</v>
      </c>
      <c r="L473" s="2" t="s">
        <v>13</v>
      </c>
      <c r="M473" s="2" t="s">
        <v>13</v>
      </c>
      <c r="N473" s="2" t="s">
        <v>13</v>
      </c>
      <c r="O473" s="2" t="s">
        <v>13</v>
      </c>
    </row>
    <row r="474" spans="1:15" x14ac:dyDescent="0.25">
      <c r="A474" s="4" t="s">
        <v>182</v>
      </c>
      <c r="B474" s="1">
        <v>4</v>
      </c>
      <c r="C474" s="1" t="s">
        <v>187</v>
      </c>
      <c r="D474" s="1" t="s">
        <v>12</v>
      </c>
      <c r="E474" s="1">
        <v>2</v>
      </c>
      <c r="F474" s="1">
        <v>125</v>
      </c>
      <c r="G474" s="1">
        <v>112</v>
      </c>
      <c r="H474" s="1">
        <v>60</v>
      </c>
      <c r="I474" s="2" t="s">
        <v>13</v>
      </c>
      <c r="J474" s="2" t="s">
        <v>13</v>
      </c>
      <c r="K474" s="2" t="s">
        <v>13</v>
      </c>
      <c r="L474" s="2" t="s">
        <v>13</v>
      </c>
      <c r="M474" s="2" t="s">
        <v>13</v>
      </c>
      <c r="N474" s="2" t="s">
        <v>13</v>
      </c>
      <c r="O474" s="2" t="s">
        <v>13</v>
      </c>
    </row>
    <row r="475" spans="1:15" x14ac:dyDescent="0.25">
      <c r="A475" s="4" t="s">
        <v>182</v>
      </c>
      <c r="B475" s="1">
        <v>4</v>
      </c>
      <c r="C475" s="1" t="s">
        <v>187</v>
      </c>
      <c r="D475" s="1" t="s">
        <v>12</v>
      </c>
      <c r="E475" s="1">
        <v>3</v>
      </c>
      <c r="F475" s="1">
        <v>125</v>
      </c>
      <c r="G475" s="1">
        <v>117</v>
      </c>
      <c r="H475" s="1">
        <v>60</v>
      </c>
      <c r="I475" s="2" t="s">
        <v>13</v>
      </c>
      <c r="J475" s="2" t="s">
        <v>13</v>
      </c>
      <c r="K475" s="2" t="s">
        <v>13</v>
      </c>
      <c r="L475" s="2" t="s">
        <v>13</v>
      </c>
      <c r="M475" s="2" t="s">
        <v>13</v>
      </c>
      <c r="N475" s="2" t="s">
        <v>13</v>
      </c>
      <c r="O475" s="2" t="s">
        <v>13</v>
      </c>
    </row>
    <row r="476" spans="1:15" x14ac:dyDescent="0.25">
      <c r="A476" s="4" t="s">
        <v>182</v>
      </c>
      <c r="B476" s="1">
        <v>2</v>
      </c>
      <c r="C476" s="1" t="s">
        <v>188</v>
      </c>
      <c r="D476" s="1" t="s">
        <v>12</v>
      </c>
      <c r="E476" s="1">
        <v>1</v>
      </c>
      <c r="F476" s="1">
        <v>139</v>
      </c>
      <c r="G476" s="1">
        <v>121</v>
      </c>
      <c r="H476" s="1">
        <v>36</v>
      </c>
      <c r="I476" s="2" t="s">
        <v>13</v>
      </c>
      <c r="J476" s="2" t="s">
        <v>13</v>
      </c>
      <c r="K476" s="2" t="s">
        <v>13</v>
      </c>
      <c r="L476" s="2" t="s">
        <v>13</v>
      </c>
      <c r="M476" s="2" t="s">
        <v>13</v>
      </c>
      <c r="N476" s="2" t="s">
        <v>13</v>
      </c>
      <c r="O476" s="2" t="s">
        <v>13</v>
      </c>
    </row>
    <row r="477" spans="1:15" x14ac:dyDescent="0.25">
      <c r="A477" s="4" t="s">
        <v>182</v>
      </c>
      <c r="B477" s="1">
        <v>2</v>
      </c>
      <c r="C477" s="1" t="s">
        <v>188</v>
      </c>
      <c r="D477" s="1" t="s">
        <v>12</v>
      </c>
      <c r="E477" s="1">
        <v>2</v>
      </c>
      <c r="F477" s="1">
        <v>138</v>
      </c>
      <c r="G477" s="1">
        <v>110</v>
      </c>
      <c r="H477" s="1">
        <v>36</v>
      </c>
      <c r="I477" s="2" t="s">
        <v>13</v>
      </c>
      <c r="J477" s="2" t="s">
        <v>13</v>
      </c>
      <c r="K477" s="2" t="s">
        <v>13</v>
      </c>
      <c r="L477" s="2" t="s">
        <v>13</v>
      </c>
      <c r="M477" s="2" t="s">
        <v>13</v>
      </c>
      <c r="N477" s="2" t="s">
        <v>13</v>
      </c>
      <c r="O477" s="2" t="s">
        <v>13</v>
      </c>
    </row>
    <row r="478" spans="1:15" x14ac:dyDescent="0.25">
      <c r="A478" s="4" t="s">
        <v>182</v>
      </c>
      <c r="B478" s="1">
        <v>2</v>
      </c>
      <c r="C478" s="1" t="s">
        <v>188</v>
      </c>
      <c r="D478" s="1" t="s">
        <v>12</v>
      </c>
      <c r="E478" s="1">
        <v>3</v>
      </c>
      <c r="F478" s="1">
        <v>137</v>
      </c>
      <c r="G478" s="1">
        <v>131</v>
      </c>
      <c r="H478" s="1">
        <v>36</v>
      </c>
      <c r="I478" s="2" t="s">
        <v>13</v>
      </c>
      <c r="J478" s="2" t="s">
        <v>13</v>
      </c>
      <c r="K478" s="2" t="s">
        <v>13</v>
      </c>
      <c r="L478" s="2" t="s">
        <v>13</v>
      </c>
      <c r="M478" s="2" t="s">
        <v>13</v>
      </c>
      <c r="N478" s="2" t="s">
        <v>13</v>
      </c>
      <c r="O478" s="2" t="s">
        <v>13</v>
      </c>
    </row>
    <row r="479" spans="1:15" x14ac:dyDescent="0.25">
      <c r="A479" s="4" t="s">
        <v>189</v>
      </c>
      <c r="B479" s="1">
        <v>4</v>
      </c>
      <c r="C479" s="1" t="s">
        <v>190</v>
      </c>
      <c r="D479" s="1" t="s">
        <v>12</v>
      </c>
      <c r="E479" s="1">
        <v>1</v>
      </c>
      <c r="F479" s="1">
        <v>149</v>
      </c>
      <c r="G479" s="1">
        <v>128</v>
      </c>
      <c r="H479" s="1">
        <v>24</v>
      </c>
      <c r="I479" s="2">
        <v>1.1346589817483188</v>
      </c>
      <c r="J479" s="3">
        <v>16.500951766967773</v>
      </c>
      <c r="K479" s="2">
        <v>3.8843500807197588</v>
      </c>
      <c r="L479" s="2">
        <v>0.18722953129785774</v>
      </c>
      <c r="M479" s="2">
        <v>4.4074127073434818E-2</v>
      </c>
      <c r="N479" s="2" t="s">
        <v>13</v>
      </c>
      <c r="O479" s="2" t="s">
        <v>13</v>
      </c>
    </row>
    <row r="480" spans="1:15" x14ac:dyDescent="0.25">
      <c r="A480" s="4" t="s">
        <v>189</v>
      </c>
      <c r="B480" s="1">
        <v>4</v>
      </c>
      <c r="C480" s="1" t="s">
        <v>190</v>
      </c>
      <c r="D480" s="1" t="s">
        <v>12</v>
      </c>
      <c r="E480" s="1">
        <v>2</v>
      </c>
      <c r="F480" s="5">
        <v>154</v>
      </c>
      <c r="G480" s="1">
        <v>130</v>
      </c>
      <c r="H480" s="1">
        <v>60</v>
      </c>
      <c r="I480" s="2">
        <v>2.1283398058252425</v>
      </c>
      <c r="J480" s="3">
        <v>19.425275802612305</v>
      </c>
      <c r="K480" s="2">
        <v>4.1046267612670437</v>
      </c>
      <c r="L480" s="2">
        <v>0.41343587729833653</v>
      </c>
      <c r="M480" s="2">
        <v>8.7360405240601943E-2</v>
      </c>
      <c r="N480" s="2" t="s">
        <v>13</v>
      </c>
      <c r="O480" s="2" t="s">
        <v>13</v>
      </c>
    </row>
    <row r="481" spans="1:15" x14ac:dyDescent="0.25">
      <c r="A481" s="4" t="s">
        <v>189</v>
      </c>
      <c r="B481" s="1">
        <v>4</v>
      </c>
      <c r="C481" s="1" t="s">
        <v>190</v>
      </c>
      <c r="D481" s="1" t="s">
        <v>12</v>
      </c>
      <c r="E481" s="1">
        <v>3</v>
      </c>
      <c r="F481" s="1">
        <v>154</v>
      </c>
      <c r="G481" s="1">
        <v>131</v>
      </c>
      <c r="H481" s="1">
        <v>60</v>
      </c>
      <c r="I481" s="2">
        <v>2.3425565388397245</v>
      </c>
      <c r="J481" s="3">
        <v>13.364596366882324</v>
      </c>
      <c r="K481" s="2">
        <v>3.8675644796653899</v>
      </c>
      <c r="L481" s="2">
        <v>0.31307322608193816</v>
      </c>
      <c r="M481" s="2">
        <v>9.059988461224415E-2</v>
      </c>
      <c r="N481" s="2" t="s">
        <v>13</v>
      </c>
      <c r="O481" s="2" t="s">
        <v>13</v>
      </c>
    </row>
    <row r="482" spans="1:15" x14ac:dyDescent="0.25">
      <c r="A482" s="4" t="s">
        <v>189</v>
      </c>
      <c r="B482" s="1">
        <v>4</v>
      </c>
      <c r="C482" s="1" t="s">
        <v>191</v>
      </c>
      <c r="D482" s="1" t="s">
        <v>12</v>
      </c>
      <c r="E482" s="1">
        <v>1</v>
      </c>
      <c r="F482" s="1">
        <v>110</v>
      </c>
      <c r="G482" s="1">
        <v>106</v>
      </c>
      <c r="H482" s="1">
        <v>84</v>
      </c>
      <c r="I482" s="2">
        <v>3.0059762140733395</v>
      </c>
      <c r="J482" s="3">
        <v>13.978619575500488</v>
      </c>
      <c r="K482" s="2">
        <v>4.7018755469361091</v>
      </c>
      <c r="L482" s="2">
        <v>0.42019397949534432</v>
      </c>
      <c r="M482" s="2">
        <v>0.14133726055623019</v>
      </c>
      <c r="N482" s="2" t="s">
        <v>13</v>
      </c>
      <c r="O482" s="2" t="s">
        <v>13</v>
      </c>
    </row>
    <row r="483" spans="1:15" x14ac:dyDescent="0.25">
      <c r="A483" s="4" t="s">
        <v>189</v>
      </c>
      <c r="B483" s="1">
        <v>4</v>
      </c>
      <c r="C483" s="1" t="s">
        <v>191</v>
      </c>
      <c r="D483" s="1" t="s">
        <v>12</v>
      </c>
      <c r="E483" s="1">
        <v>2</v>
      </c>
      <c r="F483" s="1">
        <v>108</v>
      </c>
      <c r="G483" s="1">
        <v>116</v>
      </c>
      <c r="H483" s="1">
        <v>84</v>
      </c>
      <c r="I483" s="2">
        <v>3.1417524752475243</v>
      </c>
      <c r="J483" s="3">
        <v>13.616207122802734</v>
      </c>
      <c r="K483" s="2">
        <v>4.4955925563169501</v>
      </c>
      <c r="L483" s="2">
        <v>0.42778752431548461</v>
      </c>
      <c r="M483" s="2">
        <v>0.14124039041513123</v>
      </c>
      <c r="N483" s="2" t="s">
        <v>13</v>
      </c>
      <c r="O483" s="2" t="s">
        <v>13</v>
      </c>
    </row>
    <row r="484" spans="1:15" x14ac:dyDescent="0.25">
      <c r="A484" s="4" t="s">
        <v>189</v>
      </c>
      <c r="B484" s="1">
        <v>4</v>
      </c>
      <c r="C484" s="1" t="s">
        <v>191</v>
      </c>
      <c r="D484" s="1" t="s">
        <v>12</v>
      </c>
      <c r="E484" s="1">
        <v>3</v>
      </c>
      <c r="F484" s="1">
        <v>104</v>
      </c>
      <c r="G484" s="1">
        <v>110</v>
      </c>
      <c r="H484" s="1">
        <v>72</v>
      </c>
      <c r="I484" s="2">
        <v>3.4231605184446661</v>
      </c>
      <c r="J484" s="3">
        <v>13.352838516235352</v>
      </c>
      <c r="K484" s="2">
        <v>4.8628183695545504</v>
      </c>
      <c r="L484" s="2">
        <v>0.4570890961794411</v>
      </c>
      <c r="M484" s="2">
        <v>0.16646207851026601</v>
      </c>
      <c r="N484" s="2" t="s">
        <v>13</v>
      </c>
      <c r="O484" s="2" t="s">
        <v>13</v>
      </c>
    </row>
    <row r="485" spans="1:15" x14ac:dyDescent="0.25">
      <c r="A485" s="4" t="s">
        <v>189</v>
      </c>
      <c r="B485" s="1">
        <v>4</v>
      </c>
      <c r="C485" s="1" t="s">
        <v>192</v>
      </c>
      <c r="D485" s="1" t="s">
        <v>12</v>
      </c>
      <c r="E485" s="1">
        <v>1</v>
      </c>
      <c r="F485" s="1">
        <v>105</v>
      </c>
      <c r="G485" s="1">
        <v>111</v>
      </c>
      <c r="H485" s="1">
        <v>48</v>
      </c>
      <c r="I485" s="2">
        <v>3.0000872938894276</v>
      </c>
      <c r="J485" s="3">
        <v>14.882143974304199</v>
      </c>
      <c r="K485" s="2">
        <v>3.8731335805187861</v>
      </c>
      <c r="L485" s="2">
        <v>0.44647731043143135</v>
      </c>
      <c r="M485" s="2">
        <v>0.11619738842450875</v>
      </c>
      <c r="N485" s="2" t="s">
        <v>13</v>
      </c>
      <c r="O485" s="2" t="s">
        <v>13</v>
      </c>
    </row>
    <row r="486" spans="1:15" x14ac:dyDescent="0.25">
      <c r="A486" s="4" t="s">
        <v>189</v>
      </c>
      <c r="B486" s="1">
        <v>4</v>
      </c>
      <c r="C486" s="1" t="s">
        <v>192</v>
      </c>
      <c r="D486" s="1" t="s">
        <v>12</v>
      </c>
      <c r="E486" s="1">
        <v>2</v>
      </c>
      <c r="F486" s="1">
        <v>104</v>
      </c>
      <c r="G486" s="1">
        <v>104</v>
      </c>
      <c r="H486" s="1">
        <v>60</v>
      </c>
      <c r="I486" s="2">
        <v>3.177001953125</v>
      </c>
      <c r="J486" s="3">
        <v>13.201141357421875</v>
      </c>
      <c r="K486" s="2">
        <v>4.2750121449210772</v>
      </c>
      <c r="L486" s="2">
        <v>0.41940051876008511</v>
      </c>
      <c r="M486" s="2">
        <v>0.13581721934047358</v>
      </c>
      <c r="N486" s="2" t="s">
        <v>13</v>
      </c>
      <c r="O486" s="2" t="s">
        <v>13</v>
      </c>
    </row>
    <row r="487" spans="1:15" x14ac:dyDescent="0.25">
      <c r="A487" s="4" t="s">
        <v>189</v>
      </c>
      <c r="B487" s="1">
        <v>4</v>
      </c>
      <c r="C487" s="1" t="s">
        <v>192</v>
      </c>
      <c r="D487" s="1" t="s">
        <v>12</v>
      </c>
      <c r="E487" s="1">
        <v>3</v>
      </c>
      <c r="F487" s="1">
        <v>111</v>
      </c>
      <c r="G487" s="1">
        <v>110</v>
      </c>
      <c r="H487" s="1">
        <v>96</v>
      </c>
      <c r="I487" s="2">
        <v>3.3855913978494625</v>
      </c>
      <c r="J487" s="3">
        <v>13.297454833984375</v>
      </c>
      <c r="K487" s="2">
        <v>3.9048516250586474</v>
      </c>
      <c r="L487" s="2">
        <v>0.45019748699229256</v>
      </c>
      <c r="M487" s="2">
        <v>0.13220232071677052</v>
      </c>
      <c r="N487" s="2" t="s">
        <v>13</v>
      </c>
      <c r="O487" s="2" t="s">
        <v>13</v>
      </c>
    </row>
    <row r="488" spans="1:15" x14ac:dyDescent="0.25">
      <c r="A488" s="4" t="s">
        <v>189</v>
      </c>
      <c r="B488" s="1">
        <v>5</v>
      </c>
      <c r="C488" s="1" t="s">
        <v>193</v>
      </c>
      <c r="D488" s="1" t="s">
        <v>12</v>
      </c>
      <c r="E488" s="1">
        <v>1</v>
      </c>
      <c r="F488" s="1">
        <v>107</v>
      </c>
      <c r="G488" s="1">
        <v>132</v>
      </c>
      <c r="H488" s="1">
        <v>24</v>
      </c>
      <c r="I488" s="2">
        <v>3.0217010816125858</v>
      </c>
      <c r="J488" s="3">
        <v>11.820877075195313</v>
      </c>
      <c r="K488" s="2">
        <v>3.3322312488190642</v>
      </c>
      <c r="L488" s="2">
        <v>0.35719157043727096</v>
      </c>
      <c r="M488" s="2">
        <v>0.10069006768739823</v>
      </c>
      <c r="N488" s="2" t="s">
        <v>13</v>
      </c>
      <c r="O488" s="2" t="s">
        <v>13</v>
      </c>
    </row>
    <row r="489" spans="1:15" x14ac:dyDescent="0.25">
      <c r="A489" s="4" t="s">
        <v>189</v>
      </c>
      <c r="B489" s="1">
        <v>5</v>
      </c>
      <c r="C489" s="1" t="s">
        <v>193</v>
      </c>
      <c r="D489" s="1" t="s">
        <v>12</v>
      </c>
      <c r="E489" s="1">
        <v>2</v>
      </c>
      <c r="F489" s="1">
        <v>107</v>
      </c>
      <c r="G489" s="1">
        <v>132</v>
      </c>
      <c r="H489" s="1">
        <v>36</v>
      </c>
      <c r="I489" s="2">
        <v>2.4702576808721508</v>
      </c>
      <c r="J489" s="3">
        <v>13.361451148986816</v>
      </c>
      <c r="K489" s="2">
        <v>2.8713727874291819</v>
      </c>
      <c r="L489" s="2">
        <v>0.33006227328382709</v>
      </c>
      <c r="M489" s="2">
        <v>7.0930306827942144E-2</v>
      </c>
      <c r="N489" s="2" t="s">
        <v>13</v>
      </c>
      <c r="O489" s="2" t="s">
        <v>13</v>
      </c>
    </row>
    <row r="490" spans="1:15" x14ac:dyDescent="0.25">
      <c r="A490" s="4" t="s">
        <v>189</v>
      </c>
      <c r="B490" s="1">
        <v>5</v>
      </c>
      <c r="C490" s="1" t="s">
        <v>193</v>
      </c>
      <c r="D490" s="1" t="s">
        <v>12</v>
      </c>
      <c r="E490" s="1">
        <v>3</v>
      </c>
      <c r="F490" s="1">
        <v>114</v>
      </c>
      <c r="G490" s="1">
        <v>133</v>
      </c>
      <c r="H490" s="1">
        <v>36</v>
      </c>
      <c r="I490" s="2">
        <v>3.0542322834645668</v>
      </c>
      <c r="J490" s="3">
        <v>11.340736389160156</v>
      </c>
      <c r="K490" s="7">
        <v>3.6679860861225064</v>
      </c>
      <c r="L490" s="2">
        <v>0.34637243198034329</v>
      </c>
      <c r="M490" s="2">
        <v>0.18529815149051759</v>
      </c>
      <c r="N490" s="2" t="s">
        <v>13</v>
      </c>
      <c r="O490" s="2" t="s">
        <v>13</v>
      </c>
    </row>
    <row r="491" spans="1:15" ht="30" x14ac:dyDescent="0.25">
      <c r="A491" s="4" t="s">
        <v>49</v>
      </c>
      <c r="B491" s="1">
        <v>5</v>
      </c>
      <c r="C491" s="1" t="s">
        <v>194</v>
      </c>
      <c r="D491" s="1" t="s">
        <v>12</v>
      </c>
      <c r="E491" s="1">
        <v>1</v>
      </c>
      <c r="F491" s="1">
        <v>110</v>
      </c>
      <c r="G491" s="1">
        <v>138</v>
      </c>
      <c r="H491" s="1">
        <v>108</v>
      </c>
      <c r="I491" s="2">
        <v>1.9242524271844659</v>
      </c>
      <c r="J491" s="2" t="s">
        <v>13</v>
      </c>
      <c r="K491" s="2" t="s">
        <v>13</v>
      </c>
      <c r="L491" s="2" t="s">
        <v>13</v>
      </c>
      <c r="M491" s="2" t="s">
        <v>13</v>
      </c>
      <c r="N491" s="2" t="s">
        <v>13</v>
      </c>
      <c r="O491" s="2" t="s">
        <v>13</v>
      </c>
    </row>
    <row r="492" spans="1:15" ht="30" x14ac:dyDescent="0.25">
      <c r="A492" s="4" t="s">
        <v>49</v>
      </c>
      <c r="B492" s="1">
        <v>5</v>
      </c>
      <c r="C492" s="1" t="s">
        <v>194</v>
      </c>
      <c r="D492" s="1" t="s">
        <v>12</v>
      </c>
      <c r="E492" s="1">
        <v>2</v>
      </c>
      <c r="F492" s="1">
        <v>109</v>
      </c>
      <c r="G492" s="1">
        <v>150</v>
      </c>
      <c r="H492" s="5">
        <v>98</v>
      </c>
      <c r="I492" s="2">
        <v>2.0196474045053869</v>
      </c>
      <c r="J492" s="2" t="s">
        <v>13</v>
      </c>
      <c r="K492" s="2" t="s">
        <v>13</v>
      </c>
      <c r="L492" s="2" t="s">
        <v>13</v>
      </c>
      <c r="M492" s="2" t="s">
        <v>13</v>
      </c>
      <c r="N492" s="2" t="s">
        <v>13</v>
      </c>
      <c r="O492" s="2" t="s">
        <v>13</v>
      </c>
    </row>
    <row r="493" spans="1:15" ht="30" x14ac:dyDescent="0.25">
      <c r="A493" s="4" t="s">
        <v>49</v>
      </c>
      <c r="B493" s="1">
        <v>5</v>
      </c>
      <c r="C493" s="1" t="s">
        <v>194</v>
      </c>
      <c r="D493" s="1" t="s">
        <v>12</v>
      </c>
      <c r="E493" s="1">
        <v>3</v>
      </c>
      <c r="F493" s="1">
        <v>114</v>
      </c>
      <c r="G493" s="1">
        <v>145</v>
      </c>
      <c r="H493" s="1">
        <v>96</v>
      </c>
      <c r="I493" s="2">
        <v>1.9132413793103447</v>
      </c>
      <c r="J493" s="2" t="s">
        <v>13</v>
      </c>
      <c r="K493" s="2" t="s">
        <v>13</v>
      </c>
      <c r="L493" s="2" t="s">
        <v>13</v>
      </c>
      <c r="M493" s="2" t="s">
        <v>13</v>
      </c>
      <c r="N493" s="2" t="s">
        <v>13</v>
      </c>
      <c r="O493" s="2" t="s">
        <v>13</v>
      </c>
    </row>
    <row r="494" spans="1:15" ht="30" x14ac:dyDescent="0.25">
      <c r="A494" s="4" t="s">
        <v>49</v>
      </c>
      <c r="B494" s="1">
        <v>5</v>
      </c>
      <c r="C494" s="1" t="s">
        <v>195</v>
      </c>
      <c r="D494" s="1" t="s">
        <v>12</v>
      </c>
      <c r="E494" s="1">
        <v>1</v>
      </c>
      <c r="F494" s="1">
        <v>114</v>
      </c>
      <c r="G494" s="1">
        <v>132</v>
      </c>
      <c r="H494" s="1">
        <v>84</v>
      </c>
      <c r="I494" s="2">
        <v>2.0307368421052634</v>
      </c>
      <c r="J494" s="3">
        <v>12.310420989990234</v>
      </c>
      <c r="K494" s="2">
        <v>3.9438675802309762</v>
      </c>
      <c r="L494" s="2">
        <v>0.24999225446199119</v>
      </c>
      <c r="M494" s="2">
        <v>8.0089571955595781E-2</v>
      </c>
      <c r="N494" s="2" t="s">
        <v>13</v>
      </c>
      <c r="O494" s="2" t="s">
        <v>13</v>
      </c>
    </row>
    <row r="495" spans="1:15" ht="30" x14ac:dyDescent="0.25">
      <c r="A495" s="4" t="s">
        <v>49</v>
      </c>
      <c r="B495" s="1">
        <v>5</v>
      </c>
      <c r="C495" s="1" t="s">
        <v>195</v>
      </c>
      <c r="D495" s="1" t="s">
        <v>12</v>
      </c>
      <c r="E495" s="1">
        <v>2</v>
      </c>
      <c r="F495" s="1">
        <v>109</v>
      </c>
      <c r="G495" s="1">
        <v>131</v>
      </c>
      <c r="H495" s="1">
        <v>60</v>
      </c>
      <c r="I495" s="2">
        <v>1.98</v>
      </c>
      <c r="J495" s="3">
        <v>12.964023590087891</v>
      </c>
      <c r="K495" s="2">
        <v>4.6736615801647146</v>
      </c>
      <c r="L495" s="2">
        <v>0.25668766708374025</v>
      </c>
      <c r="M495" s="2">
        <v>9.253849928726135E-2</v>
      </c>
      <c r="N495" s="2" t="s">
        <v>13</v>
      </c>
      <c r="O495" s="2" t="s">
        <v>13</v>
      </c>
    </row>
    <row r="496" spans="1:15" ht="30" x14ac:dyDescent="0.25">
      <c r="A496" s="4" t="s">
        <v>49</v>
      </c>
      <c r="B496" s="1">
        <v>5</v>
      </c>
      <c r="C496" s="1" t="s">
        <v>195</v>
      </c>
      <c r="D496" s="1" t="s">
        <v>12</v>
      </c>
      <c r="E496" s="1">
        <v>3</v>
      </c>
      <c r="F496" s="1">
        <v>113</v>
      </c>
      <c r="G496" s="1">
        <v>110</v>
      </c>
      <c r="H496" s="1">
        <v>60</v>
      </c>
      <c r="I496" s="2">
        <v>2.5819444444444444</v>
      </c>
      <c r="J496" s="3">
        <v>13.514870643615723</v>
      </c>
      <c r="K496" s="2">
        <v>3.7916023030474686</v>
      </c>
      <c r="L496" s="2">
        <v>0.34894645175668926</v>
      </c>
      <c r="M496" s="2">
        <v>9.7897065018961726E-2</v>
      </c>
      <c r="N496" s="2" t="s">
        <v>13</v>
      </c>
      <c r="O496" s="2" t="s">
        <v>13</v>
      </c>
    </row>
    <row r="497" spans="1:15" ht="30" x14ac:dyDescent="0.25">
      <c r="A497" s="4" t="s">
        <v>49</v>
      </c>
      <c r="B497" s="1">
        <v>5</v>
      </c>
      <c r="C497" s="1" t="s">
        <v>196</v>
      </c>
      <c r="D497" s="1" t="s">
        <v>12</v>
      </c>
      <c r="E497" s="1">
        <v>1</v>
      </c>
      <c r="F497" s="1">
        <v>109</v>
      </c>
      <c r="G497" s="1">
        <v>137</v>
      </c>
      <c r="H497" s="1">
        <v>84</v>
      </c>
      <c r="I497" s="2">
        <v>1.7693942403177756</v>
      </c>
      <c r="J497" s="3">
        <v>12.750614166259766</v>
      </c>
      <c r="K497" s="2">
        <v>3.9210782965316473</v>
      </c>
      <c r="L497" s="2">
        <v>0.22560863266294268</v>
      </c>
      <c r="M497" s="2">
        <v>6.9379333537181315E-2</v>
      </c>
      <c r="N497" s="2" t="s">
        <v>13</v>
      </c>
      <c r="O497" s="2" t="s">
        <v>13</v>
      </c>
    </row>
    <row r="498" spans="1:15" ht="30" x14ac:dyDescent="0.25">
      <c r="A498" s="4" t="s">
        <v>49</v>
      </c>
      <c r="B498" s="1">
        <v>5</v>
      </c>
      <c r="C498" s="1" t="s">
        <v>196</v>
      </c>
      <c r="D498" s="1" t="s">
        <v>12</v>
      </c>
      <c r="E498" s="1">
        <v>2</v>
      </c>
      <c r="F498" s="1">
        <v>108</v>
      </c>
      <c r="G498" s="1">
        <v>152</v>
      </c>
      <c r="H498" s="1">
        <v>96</v>
      </c>
      <c r="I498" s="2">
        <v>1.8004301075268818</v>
      </c>
      <c r="J498" s="3">
        <v>13.483818054199219</v>
      </c>
      <c r="K498" s="2">
        <v>4.3713624926931418</v>
      </c>
      <c r="L498" s="2">
        <v>0.24276671989194806</v>
      </c>
      <c r="M498" s="2">
        <v>7.8703326427584916E-2</v>
      </c>
      <c r="N498" s="2" t="s">
        <v>13</v>
      </c>
      <c r="O498" s="2" t="s">
        <v>13</v>
      </c>
    </row>
    <row r="499" spans="1:15" ht="30" x14ac:dyDescent="0.25">
      <c r="A499" s="4" t="s">
        <v>49</v>
      </c>
      <c r="B499" s="1">
        <v>5</v>
      </c>
      <c r="C499" s="1" t="s">
        <v>196</v>
      </c>
      <c r="D499" s="1" t="s">
        <v>12</v>
      </c>
      <c r="E499" s="1">
        <v>3</v>
      </c>
      <c r="F499" s="1">
        <v>108</v>
      </c>
      <c r="G499" s="1">
        <v>150</v>
      </c>
      <c r="H499" s="1">
        <v>60</v>
      </c>
      <c r="I499" s="2">
        <v>1.9652127659574468</v>
      </c>
      <c r="J499" s="3">
        <v>13.561609268188477</v>
      </c>
      <c r="K499" s="2">
        <v>4.0007018775226664</v>
      </c>
      <c r="L499" s="2">
        <v>0.26651447660770822</v>
      </c>
      <c r="M499" s="2">
        <v>7.8622304024974707E-2</v>
      </c>
      <c r="N499" s="2" t="s">
        <v>13</v>
      </c>
      <c r="O499" s="2" t="s">
        <v>13</v>
      </c>
    </row>
    <row r="500" spans="1:15" x14ac:dyDescent="0.25">
      <c r="A500" s="4" t="s">
        <v>189</v>
      </c>
      <c r="B500" s="1">
        <v>4</v>
      </c>
      <c r="C500" s="1" t="s">
        <v>197</v>
      </c>
      <c r="D500" s="1" t="s">
        <v>12</v>
      </c>
      <c r="E500" s="1">
        <v>1</v>
      </c>
      <c r="F500" s="1">
        <v>101</v>
      </c>
      <c r="G500" s="1">
        <v>115</v>
      </c>
      <c r="H500" s="1">
        <v>48</v>
      </c>
      <c r="I500" s="2">
        <v>2.7586614173228345</v>
      </c>
      <c r="J500" s="3">
        <v>14.357810974121094</v>
      </c>
      <c r="K500" s="2">
        <v>4.6668342972087951</v>
      </c>
      <c r="L500" s="2">
        <v>0.39608339171522244</v>
      </c>
      <c r="M500" s="2">
        <v>0.1287421571674883</v>
      </c>
      <c r="N500" s="2" t="s">
        <v>13</v>
      </c>
      <c r="O500" s="2" t="s">
        <v>13</v>
      </c>
    </row>
    <row r="501" spans="1:15" x14ac:dyDescent="0.25">
      <c r="A501" s="4" t="s">
        <v>189</v>
      </c>
      <c r="B501" s="1">
        <v>4</v>
      </c>
      <c r="C501" s="1" t="s">
        <v>197</v>
      </c>
      <c r="D501" s="1" t="s">
        <v>12</v>
      </c>
      <c r="E501" s="1">
        <v>2</v>
      </c>
      <c r="F501" s="1">
        <v>99</v>
      </c>
      <c r="G501" s="1">
        <v>112</v>
      </c>
      <c r="H501" s="1">
        <v>24</v>
      </c>
      <c r="I501" s="2">
        <v>2.238564453125</v>
      </c>
      <c r="J501" s="3">
        <v>14.210124015808105</v>
      </c>
      <c r="K501" s="2">
        <v>4.9131835890533813</v>
      </c>
      <c r="L501" s="2">
        <v>0.31810278496285904</v>
      </c>
      <c r="M501" s="2">
        <v>0.10998478134132007</v>
      </c>
      <c r="N501" s="2" t="s">
        <v>13</v>
      </c>
      <c r="O501" s="2" t="s">
        <v>13</v>
      </c>
    </row>
    <row r="502" spans="1:15" x14ac:dyDescent="0.25">
      <c r="A502" s="4" t="s">
        <v>189</v>
      </c>
      <c r="B502" s="1">
        <v>4</v>
      </c>
      <c r="C502" s="1" t="s">
        <v>197</v>
      </c>
      <c r="D502" s="1" t="s">
        <v>12</v>
      </c>
      <c r="E502" s="1">
        <v>3</v>
      </c>
      <c r="F502" s="1">
        <v>98</v>
      </c>
      <c r="G502" s="1">
        <v>100</v>
      </c>
      <c r="H502" s="5">
        <v>54</v>
      </c>
      <c r="I502" s="2">
        <v>3.7019230769230766</v>
      </c>
      <c r="J502" s="3">
        <v>13.038497924804688</v>
      </c>
      <c r="K502" s="2">
        <v>4.1819974508814486</v>
      </c>
      <c r="L502" s="2">
        <v>0.48267516356248119</v>
      </c>
      <c r="M502" s="2">
        <v>0.15481432871051515</v>
      </c>
      <c r="N502" s="2" t="s">
        <v>13</v>
      </c>
      <c r="O502" s="2" t="s">
        <v>13</v>
      </c>
    </row>
    <row r="503" spans="1:15" x14ac:dyDescent="0.25">
      <c r="A503" s="4" t="s">
        <v>189</v>
      </c>
      <c r="B503" s="1">
        <v>3</v>
      </c>
      <c r="C503" s="1" t="s">
        <v>198</v>
      </c>
      <c r="D503" s="1" t="s">
        <v>12</v>
      </c>
      <c r="E503" s="1">
        <v>1</v>
      </c>
      <c r="F503" s="1">
        <v>94</v>
      </c>
      <c r="G503" s="1">
        <v>138</v>
      </c>
      <c r="H503" s="1">
        <v>84</v>
      </c>
      <c r="I503" s="2">
        <v>2.6054736842105264</v>
      </c>
      <c r="J503" s="3">
        <v>10.868118286132813</v>
      </c>
      <c r="K503" s="2">
        <v>2.260138476756218</v>
      </c>
      <c r="L503" s="2">
        <v>0.28316596191406251</v>
      </c>
      <c r="M503" s="2">
        <v>5.88873132385999E-2</v>
      </c>
      <c r="N503" s="2" t="s">
        <v>13</v>
      </c>
      <c r="O503" s="2" t="s">
        <v>13</v>
      </c>
    </row>
    <row r="504" spans="1:15" x14ac:dyDescent="0.25">
      <c r="A504" s="4" t="s">
        <v>189</v>
      </c>
      <c r="B504" s="1">
        <v>3</v>
      </c>
      <c r="C504" s="1" t="s">
        <v>198</v>
      </c>
      <c r="D504" s="1" t="s">
        <v>12</v>
      </c>
      <c r="E504" s="1">
        <v>2</v>
      </c>
      <c r="F504" s="1">
        <v>98</v>
      </c>
      <c r="G504" s="1">
        <v>135</v>
      </c>
      <c r="H504" s="1">
        <v>48</v>
      </c>
      <c r="I504" s="2">
        <v>2.4335334645669295</v>
      </c>
      <c r="J504" s="3">
        <v>14.62529468536377</v>
      </c>
      <c r="K504" s="2">
        <v>2.8798026936190513</v>
      </c>
      <c r="L504" s="2">
        <v>0.35591144045985595</v>
      </c>
      <c r="M504" s="2">
        <v>7.0080962262719454E-2</v>
      </c>
      <c r="N504" s="2" t="s">
        <v>13</v>
      </c>
      <c r="O504" s="2" t="s">
        <v>13</v>
      </c>
    </row>
    <row r="505" spans="1:15" x14ac:dyDescent="0.25">
      <c r="A505" s="4" t="s">
        <v>189</v>
      </c>
      <c r="B505" s="1">
        <v>3</v>
      </c>
      <c r="C505" s="1" t="s">
        <v>198</v>
      </c>
      <c r="D505" s="1" t="s">
        <v>12</v>
      </c>
      <c r="E505" s="1">
        <v>3</v>
      </c>
      <c r="F505" s="1">
        <v>91</v>
      </c>
      <c r="G505" s="1">
        <v>143</v>
      </c>
      <c r="H505" s="1">
        <v>60</v>
      </c>
      <c r="I505" s="2">
        <v>2.4630905511811023</v>
      </c>
      <c r="J505" s="3">
        <v>13.762691497802734</v>
      </c>
      <c r="K505" s="2">
        <v>2.1379908336428657</v>
      </c>
      <c r="L505" s="2">
        <v>0.33898755387058405</v>
      </c>
      <c r="M505" s="2">
        <v>5.26606502085755E-2</v>
      </c>
      <c r="N505" s="2" t="s">
        <v>13</v>
      </c>
      <c r="O505" s="2" t="s">
        <v>13</v>
      </c>
    </row>
    <row r="506" spans="1:15" ht="30" x14ac:dyDescent="0.25">
      <c r="A506" s="4" t="s">
        <v>49</v>
      </c>
      <c r="B506" s="1">
        <v>4</v>
      </c>
      <c r="C506" s="1" t="s">
        <v>199</v>
      </c>
      <c r="D506" s="1" t="s">
        <v>12</v>
      </c>
      <c r="E506" s="1">
        <v>1</v>
      </c>
      <c r="F506" s="1">
        <v>111</v>
      </c>
      <c r="G506" s="1">
        <v>107</v>
      </c>
      <c r="H506" s="1">
        <v>60</v>
      </c>
      <c r="I506" s="2">
        <v>3.144604878048781</v>
      </c>
      <c r="J506" s="2" t="s">
        <v>13</v>
      </c>
      <c r="K506" s="2">
        <v>3.6713286713288462</v>
      </c>
      <c r="L506" s="2" t="s">
        <v>13</v>
      </c>
      <c r="M506" s="2">
        <v>0.11544878048781039</v>
      </c>
      <c r="N506" s="2" t="s">
        <v>13</v>
      </c>
      <c r="O506" s="2" t="s">
        <v>13</v>
      </c>
    </row>
    <row r="507" spans="1:15" ht="30" x14ac:dyDescent="0.25">
      <c r="A507" s="4" t="s">
        <v>49</v>
      </c>
      <c r="B507" s="1">
        <v>4</v>
      </c>
      <c r="C507" s="1" t="s">
        <v>199</v>
      </c>
      <c r="D507" s="1" t="s">
        <v>12</v>
      </c>
      <c r="E507" s="1">
        <v>2</v>
      </c>
      <c r="F507" s="1">
        <v>109</v>
      </c>
      <c r="G507" s="1">
        <v>115</v>
      </c>
      <c r="H507" s="1">
        <v>36</v>
      </c>
      <c r="I507" s="2">
        <v>2.719134328358209</v>
      </c>
      <c r="J507" s="2" t="s">
        <v>13</v>
      </c>
      <c r="K507" s="2">
        <v>4.1601388319792845</v>
      </c>
      <c r="L507" s="2" t="s">
        <v>13</v>
      </c>
      <c r="M507" s="2">
        <v>0.11311976308770896</v>
      </c>
      <c r="N507" s="2" t="s">
        <v>13</v>
      </c>
      <c r="O507" s="2" t="s">
        <v>13</v>
      </c>
    </row>
    <row r="508" spans="1:15" ht="30" x14ac:dyDescent="0.25">
      <c r="A508" s="4" t="s">
        <v>49</v>
      </c>
      <c r="B508" s="1">
        <v>4</v>
      </c>
      <c r="C508" s="1" t="s">
        <v>199</v>
      </c>
      <c r="D508" s="1" t="s">
        <v>12</v>
      </c>
      <c r="E508" s="1">
        <v>3</v>
      </c>
      <c r="F508" s="1">
        <v>109</v>
      </c>
      <c r="G508" s="1">
        <v>120</v>
      </c>
      <c r="H508" s="5">
        <v>48</v>
      </c>
      <c r="I508" s="2">
        <v>2.9170858283433132</v>
      </c>
      <c r="J508" s="2" t="s">
        <v>13</v>
      </c>
      <c r="K508" s="2">
        <v>3.6188731103985989</v>
      </c>
      <c r="L508" s="2" t="s">
        <v>13</v>
      </c>
      <c r="M508" s="2">
        <v>0.10556563464916439</v>
      </c>
      <c r="N508" s="2" t="s">
        <v>13</v>
      </c>
      <c r="O508" s="2" t="s">
        <v>13</v>
      </c>
    </row>
    <row r="509" spans="1:15" ht="30" x14ac:dyDescent="0.25">
      <c r="A509" s="4" t="s">
        <v>49</v>
      </c>
      <c r="B509" s="1">
        <v>4</v>
      </c>
      <c r="C509" s="1" t="s">
        <v>200</v>
      </c>
      <c r="D509" s="1" t="s">
        <v>12</v>
      </c>
      <c r="E509" s="1">
        <v>1</v>
      </c>
      <c r="F509" s="1">
        <v>117</v>
      </c>
      <c r="G509" s="1">
        <v>155</v>
      </c>
      <c r="H509" s="1">
        <v>108</v>
      </c>
      <c r="I509" s="2" t="s">
        <v>13</v>
      </c>
      <c r="J509" s="3">
        <v>13.177765846252441</v>
      </c>
      <c r="K509" s="2">
        <v>4.4245781918913671</v>
      </c>
      <c r="L509" s="2" t="s">
        <v>13</v>
      </c>
      <c r="M509" s="2" t="s">
        <v>13</v>
      </c>
      <c r="N509" s="2" t="s">
        <v>13</v>
      </c>
      <c r="O509" s="2" t="s">
        <v>13</v>
      </c>
    </row>
    <row r="510" spans="1:15" ht="30" x14ac:dyDescent="0.25">
      <c r="A510" s="4" t="s">
        <v>49</v>
      </c>
      <c r="B510" s="1">
        <v>4</v>
      </c>
      <c r="C510" s="1" t="s">
        <v>200</v>
      </c>
      <c r="D510" s="1" t="s">
        <v>12</v>
      </c>
      <c r="E510" s="1">
        <v>2</v>
      </c>
      <c r="F510" s="1">
        <v>117</v>
      </c>
      <c r="G510" s="1">
        <v>139</v>
      </c>
      <c r="H510" s="1">
        <v>72</v>
      </c>
      <c r="I510" s="2" t="s">
        <v>13</v>
      </c>
      <c r="J510" s="3">
        <v>16.674631118774414</v>
      </c>
      <c r="K510" s="2">
        <v>3.4237676729078945</v>
      </c>
      <c r="L510" s="2" t="s">
        <v>13</v>
      </c>
      <c r="M510" s="2" t="s">
        <v>13</v>
      </c>
      <c r="N510" s="2" t="s">
        <v>13</v>
      </c>
      <c r="O510" s="2" t="s">
        <v>13</v>
      </c>
    </row>
    <row r="511" spans="1:15" ht="30" x14ac:dyDescent="0.25">
      <c r="A511" s="4" t="s">
        <v>49</v>
      </c>
      <c r="B511" s="1">
        <v>4</v>
      </c>
      <c r="C511" s="1" t="s">
        <v>200</v>
      </c>
      <c r="D511" s="1" t="s">
        <v>12</v>
      </c>
      <c r="E511" s="1">
        <v>3</v>
      </c>
      <c r="F511" s="1">
        <v>120</v>
      </c>
      <c r="G511" s="1">
        <v>141</v>
      </c>
      <c r="H511" s="1">
        <v>60</v>
      </c>
      <c r="I511" s="2" t="s">
        <v>13</v>
      </c>
      <c r="J511" s="3">
        <v>11.048843383789063</v>
      </c>
      <c r="K511" s="2">
        <v>3.7577834628571796</v>
      </c>
      <c r="L511" s="2" t="s">
        <v>13</v>
      </c>
      <c r="M511" s="2" t="s">
        <v>13</v>
      </c>
      <c r="N511" s="2" t="s">
        <v>13</v>
      </c>
      <c r="O511" s="2" t="s">
        <v>13</v>
      </c>
    </row>
    <row r="512" spans="1:15" x14ac:dyDescent="0.25">
      <c r="A512" s="4" t="s">
        <v>189</v>
      </c>
      <c r="B512" s="1">
        <v>3</v>
      </c>
      <c r="C512" s="1" t="s">
        <v>201</v>
      </c>
      <c r="D512" s="1" t="s">
        <v>12</v>
      </c>
      <c r="E512" s="1">
        <v>1</v>
      </c>
      <c r="F512" s="1">
        <v>93</v>
      </c>
      <c r="G512" s="1">
        <v>125</v>
      </c>
      <c r="H512" s="1">
        <v>60</v>
      </c>
      <c r="I512" s="2" t="s">
        <v>13</v>
      </c>
      <c r="J512" s="2" t="s">
        <v>13</v>
      </c>
      <c r="K512" s="2" t="s">
        <v>13</v>
      </c>
      <c r="L512" s="2" t="s">
        <v>13</v>
      </c>
      <c r="M512" s="2" t="s">
        <v>13</v>
      </c>
      <c r="N512" s="2" t="s">
        <v>13</v>
      </c>
      <c r="O512" s="2" t="s">
        <v>13</v>
      </c>
    </row>
    <row r="513" spans="1:15" x14ac:dyDescent="0.25">
      <c r="A513" s="4" t="s">
        <v>189</v>
      </c>
      <c r="B513" s="1">
        <v>3</v>
      </c>
      <c r="C513" s="1" t="s">
        <v>201</v>
      </c>
      <c r="D513" s="1" t="s">
        <v>12</v>
      </c>
      <c r="E513" s="1">
        <v>2</v>
      </c>
      <c r="F513" s="1">
        <v>91</v>
      </c>
      <c r="G513" s="1">
        <v>142</v>
      </c>
      <c r="H513" s="1">
        <v>48</v>
      </c>
      <c r="I513" s="2" t="s">
        <v>13</v>
      </c>
      <c r="J513" s="2" t="s">
        <v>13</v>
      </c>
      <c r="K513" s="2" t="s">
        <v>13</v>
      </c>
      <c r="L513" s="2" t="s">
        <v>13</v>
      </c>
      <c r="M513" s="2" t="s">
        <v>13</v>
      </c>
      <c r="N513" s="2" t="s">
        <v>13</v>
      </c>
      <c r="O513" s="2" t="s">
        <v>13</v>
      </c>
    </row>
    <row r="514" spans="1:15" x14ac:dyDescent="0.25">
      <c r="A514" s="4" t="s">
        <v>189</v>
      </c>
      <c r="B514" s="1">
        <v>3</v>
      </c>
      <c r="C514" s="1" t="s">
        <v>201</v>
      </c>
      <c r="D514" s="1" t="s">
        <v>12</v>
      </c>
      <c r="E514" s="1">
        <v>3</v>
      </c>
      <c r="F514" s="1">
        <v>97</v>
      </c>
      <c r="G514" s="1">
        <v>129</v>
      </c>
      <c r="H514" s="1">
        <v>48</v>
      </c>
      <c r="I514" s="2" t="s">
        <v>13</v>
      </c>
      <c r="J514" s="2" t="s">
        <v>13</v>
      </c>
      <c r="K514" s="2" t="s">
        <v>13</v>
      </c>
      <c r="L514" s="2" t="s">
        <v>13</v>
      </c>
      <c r="M514" s="2" t="s">
        <v>13</v>
      </c>
      <c r="N514" s="2" t="s">
        <v>13</v>
      </c>
      <c r="O514" s="2" t="s">
        <v>13</v>
      </c>
    </row>
    <row r="515" spans="1:15" x14ac:dyDescent="0.25">
      <c r="A515" s="4" t="s">
        <v>189</v>
      </c>
      <c r="B515" s="1">
        <v>4</v>
      </c>
      <c r="C515" s="1" t="s">
        <v>202</v>
      </c>
      <c r="D515" s="1" t="s">
        <v>12</v>
      </c>
      <c r="E515" s="1">
        <v>1</v>
      </c>
      <c r="F515" s="1">
        <v>128</v>
      </c>
      <c r="G515" s="1">
        <v>111</v>
      </c>
      <c r="H515" s="1">
        <v>48</v>
      </c>
      <c r="I515" s="2" t="s">
        <v>13</v>
      </c>
      <c r="J515" s="2" t="s">
        <v>13</v>
      </c>
      <c r="K515" s="2" t="s">
        <v>13</v>
      </c>
      <c r="L515" s="2" t="s">
        <v>13</v>
      </c>
      <c r="M515" s="2" t="s">
        <v>13</v>
      </c>
      <c r="N515" s="2" t="s">
        <v>13</v>
      </c>
      <c r="O515" s="2" t="s">
        <v>13</v>
      </c>
    </row>
    <row r="516" spans="1:15" x14ac:dyDescent="0.25">
      <c r="A516" s="4" t="s">
        <v>189</v>
      </c>
      <c r="B516" s="1">
        <v>4</v>
      </c>
      <c r="C516" s="1" t="s">
        <v>202</v>
      </c>
      <c r="D516" s="1" t="s">
        <v>12</v>
      </c>
      <c r="E516" s="1">
        <v>2</v>
      </c>
      <c r="F516" s="1">
        <v>139</v>
      </c>
      <c r="G516" s="1">
        <v>97</v>
      </c>
      <c r="H516" s="5">
        <v>60</v>
      </c>
      <c r="I516" s="2" t="s">
        <v>13</v>
      </c>
      <c r="J516" s="2" t="s">
        <v>13</v>
      </c>
      <c r="K516" s="2" t="s">
        <v>13</v>
      </c>
      <c r="L516" s="2" t="s">
        <v>13</v>
      </c>
      <c r="M516" s="2" t="s">
        <v>13</v>
      </c>
      <c r="N516" s="2" t="s">
        <v>13</v>
      </c>
      <c r="O516" s="2" t="s">
        <v>13</v>
      </c>
    </row>
    <row r="517" spans="1:15" x14ac:dyDescent="0.25">
      <c r="A517" s="4" t="s">
        <v>189</v>
      </c>
      <c r="B517" s="1">
        <v>4</v>
      </c>
      <c r="C517" s="1" t="s">
        <v>202</v>
      </c>
      <c r="D517" s="1" t="s">
        <v>12</v>
      </c>
      <c r="E517" s="1">
        <v>3</v>
      </c>
      <c r="F517" s="1">
        <v>143</v>
      </c>
      <c r="G517" s="1">
        <v>112</v>
      </c>
      <c r="H517" s="1">
        <v>84</v>
      </c>
      <c r="I517" s="2" t="s">
        <v>13</v>
      </c>
      <c r="J517" s="2" t="s">
        <v>13</v>
      </c>
      <c r="K517" s="2" t="s">
        <v>13</v>
      </c>
      <c r="L517" s="2" t="s">
        <v>13</v>
      </c>
      <c r="M517" s="2" t="s">
        <v>13</v>
      </c>
      <c r="N517" s="2" t="s">
        <v>13</v>
      </c>
      <c r="O517" s="2" t="s">
        <v>13</v>
      </c>
    </row>
    <row r="518" spans="1:15" x14ac:dyDescent="0.25">
      <c r="A518" s="4" t="s">
        <v>172</v>
      </c>
      <c r="B518" s="1">
        <v>3</v>
      </c>
      <c r="C518" s="1" t="s">
        <v>203</v>
      </c>
      <c r="D518" s="1" t="s">
        <v>12</v>
      </c>
      <c r="E518" s="1">
        <v>1</v>
      </c>
      <c r="F518" s="1">
        <v>106</v>
      </c>
      <c r="G518" s="1">
        <v>95</v>
      </c>
      <c r="H518" s="5">
        <v>48</v>
      </c>
      <c r="I518" s="2" t="s">
        <v>13</v>
      </c>
      <c r="J518" s="2" t="s">
        <v>13</v>
      </c>
      <c r="K518" s="2" t="s">
        <v>13</v>
      </c>
      <c r="L518" s="2" t="s">
        <v>13</v>
      </c>
      <c r="M518" s="2" t="s">
        <v>13</v>
      </c>
      <c r="N518" s="2" t="s">
        <v>13</v>
      </c>
      <c r="O518" s="2" t="s">
        <v>13</v>
      </c>
    </row>
    <row r="519" spans="1:15" x14ac:dyDescent="0.25">
      <c r="A519" s="4" t="s">
        <v>172</v>
      </c>
      <c r="B519" s="1">
        <v>3</v>
      </c>
      <c r="C519" s="1" t="s">
        <v>203</v>
      </c>
      <c r="D519" s="1" t="s">
        <v>12</v>
      </c>
      <c r="E519" s="1">
        <v>2</v>
      </c>
      <c r="F519" s="1">
        <v>108</v>
      </c>
      <c r="G519" s="1">
        <v>98</v>
      </c>
      <c r="H519" s="1">
        <v>12</v>
      </c>
      <c r="I519" s="2" t="s">
        <v>13</v>
      </c>
      <c r="J519" s="2" t="s">
        <v>13</v>
      </c>
      <c r="K519" s="2" t="s">
        <v>13</v>
      </c>
      <c r="L519" s="2" t="s">
        <v>13</v>
      </c>
      <c r="M519" s="2" t="s">
        <v>13</v>
      </c>
      <c r="N519" s="2" t="s">
        <v>13</v>
      </c>
      <c r="O519" s="2" t="s">
        <v>13</v>
      </c>
    </row>
    <row r="520" spans="1:15" x14ac:dyDescent="0.25">
      <c r="A520" s="4" t="s">
        <v>172</v>
      </c>
      <c r="B520" s="1">
        <v>3</v>
      </c>
      <c r="C520" s="1" t="s">
        <v>203</v>
      </c>
      <c r="D520" s="1" t="s">
        <v>12</v>
      </c>
      <c r="E520" s="1">
        <v>3</v>
      </c>
      <c r="F520" s="1">
        <v>108</v>
      </c>
      <c r="G520" s="1">
        <v>96</v>
      </c>
      <c r="H520" s="1">
        <v>36</v>
      </c>
      <c r="I520" s="2" t="s">
        <v>13</v>
      </c>
      <c r="J520" s="2" t="s">
        <v>13</v>
      </c>
      <c r="K520" s="2" t="s">
        <v>13</v>
      </c>
      <c r="L520" s="2" t="s">
        <v>13</v>
      </c>
      <c r="M520" s="2" t="s">
        <v>13</v>
      </c>
      <c r="N520" s="2" t="s">
        <v>13</v>
      </c>
      <c r="O520" s="2" t="s">
        <v>13</v>
      </c>
    </row>
    <row r="521" spans="1:15" ht="30" x14ac:dyDescent="0.25">
      <c r="A521" s="4" t="s">
        <v>49</v>
      </c>
      <c r="B521" s="1">
        <v>4</v>
      </c>
      <c r="C521" s="1" t="s">
        <v>204</v>
      </c>
      <c r="D521" s="1" t="s">
        <v>12</v>
      </c>
      <c r="E521" s="1">
        <v>1</v>
      </c>
      <c r="F521" s="1">
        <v>137</v>
      </c>
      <c r="G521" s="1">
        <v>118</v>
      </c>
      <c r="H521" s="1">
        <v>36</v>
      </c>
      <c r="I521" s="2">
        <v>1.9178494623655915</v>
      </c>
      <c r="J521" s="2" t="s">
        <v>13</v>
      </c>
      <c r="K521" s="2" t="s">
        <v>13</v>
      </c>
      <c r="L521" s="2" t="s">
        <v>13</v>
      </c>
      <c r="M521" s="2" t="s">
        <v>13</v>
      </c>
      <c r="N521" s="2" t="s">
        <v>13</v>
      </c>
      <c r="O521" s="2" t="s">
        <v>13</v>
      </c>
    </row>
    <row r="522" spans="1:15" ht="30" x14ac:dyDescent="0.25">
      <c r="A522" s="4" t="s">
        <v>49</v>
      </c>
      <c r="B522" s="1">
        <v>4</v>
      </c>
      <c r="C522" s="1" t="s">
        <v>204</v>
      </c>
      <c r="D522" s="1" t="s">
        <v>12</v>
      </c>
      <c r="E522" s="1">
        <v>2</v>
      </c>
      <c r="F522" s="1">
        <v>138</v>
      </c>
      <c r="G522" s="1">
        <v>122</v>
      </c>
      <c r="H522" s="1">
        <v>72</v>
      </c>
      <c r="I522" s="2">
        <v>0.3526027397260274</v>
      </c>
      <c r="J522" s="2" t="s">
        <v>13</v>
      </c>
      <c r="K522" s="2" t="s">
        <v>13</v>
      </c>
      <c r="L522" s="2" t="s">
        <v>13</v>
      </c>
      <c r="M522" s="2" t="s">
        <v>13</v>
      </c>
      <c r="N522" s="2" t="s">
        <v>13</v>
      </c>
      <c r="O522" s="2" t="s">
        <v>13</v>
      </c>
    </row>
    <row r="523" spans="1:15" ht="30" x14ac:dyDescent="0.25">
      <c r="A523" s="4" t="s">
        <v>49</v>
      </c>
      <c r="B523" s="1">
        <v>4</v>
      </c>
      <c r="C523" s="1" t="s">
        <v>204</v>
      </c>
      <c r="D523" s="1" t="s">
        <v>12</v>
      </c>
      <c r="E523" s="1">
        <v>3</v>
      </c>
      <c r="F523" s="1">
        <v>140</v>
      </c>
      <c r="G523" s="1">
        <v>122</v>
      </c>
      <c r="H523" s="5">
        <v>48</v>
      </c>
      <c r="I523" s="2">
        <v>1.8966315789473682</v>
      </c>
      <c r="J523" s="2" t="s">
        <v>13</v>
      </c>
      <c r="K523" s="2" t="s">
        <v>13</v>
      </c>
      <c r="L523" s="2" t="s">
        <v>13</v>
      </c>
      <c r="M523" s="2" t="s">
        <v>13</v>
      </c>
      <c r="N523" s="2" t="s">
        <v>13</v>
      </c>
      <c r="O523" s="2" t="s">
        <v>13</v>
      </c>
    </row>
    <row r="524" spans="1:15" ht="30" x14ac:dyDescent="0.25">
      <c r="A524" s="4" t="s">
        <v>49</v>
      </c>
      <c r="B524" s="1">
        <v>5</v>
      </c>
      <c r="C524" s="1" t="s">
        <v>205</v>
      </c>
      <c r="D524" s="1" t="s">
        <v>12</v>
      </c>
      <c r="E524" s="1">
        <v>1</v>
      </c>
      <c r="F524" s="1">
        <v>102</v>
      </c>
      <c r="G524" s="1">
        <v>122</v>
      </c>
      <c r="H524" s="1">
        <v>36</v>
      </c>
      <c r="I524" s="2">
        <v>2.0406859903381642</v>
      </c>
      <c r="J524" s="3">
        <v>12.835614204406738</v>
      </c>
      <c r="K524" s="2">
        <v>2.8858159202808609</v>
      </c>
      <c r="L524" s="2">
        <v>0.26193458084318377</v>
      </c>
      <c r="M524" s="2">
        <v>5.8890441192119891E-2</v>
      </c>
      <c r="N524" s="2" t="s">
        <v>13</v>
      </c>
      <c r="O524" s="2" t="s">
        <v>13</v>
      </c>
    </row>
    <row r="525" spans="1:15" ht="30" x14ac:dyDescent="0.25">
      <c r="A525" s="4" t="s">
        <v>49</v>
      </c>
      <c r="B525" s="1">
        <v>5</v>
      </c>
      <c r="C525" s="1" t="s">
        <v>205</v>
      </c>
      <c r="D525" s="1" t="s">
        <v>12</v>
      </c>
      <c r="E525" s="1">
        <v>2</v>
      </c>
      <c r="F525" s="1">
        <v>105</v>
      </c>
      <c r="G525" s="1">
        <v>115</v>
      </c>
      <c r="H525" s="1">
        <v>48</v>
      </c>
      <c r="I525" s="2">
        <v>2.0812871287128716</v>
      </c>
      <c r="J525" s="3">
        <v>13.089381217956543</v>
      </c>
      <c r="K525" s="2">
        <v>3.0013998623862426</v>
      </c>
      <c r="L525" s="2">
        <v>0.2724276065174896</v>
      </c>
      <c r="M525" s="2">
        <v>6.2467749017050711E-2</v>
      </c>
      <c r="N525" s="2" t="s">
        <v>13</v>
      </c>
      <c r="O525" s="2" t="s">
        <v>13</v>
      </c>
    </row>
    <row r="526" spans="1:15" ht="30" x14ac:dyDescent="0.25">
      <c r="A526" s="4" t="s">
        <v>49</v>
      </c>
      <c r="B526" s="1">
        <v>5</v>
      </c>
      <c r="C526" s="1" t="s">
        <v>205</v>
      </c>
      <c r="D526" s="1" t="s">
        <v>12</v>
      </c>
      <c r="E526" s="1">
        <v>3</v>
      </c>
      <c r="F526" s="1">
        <v>108</v>
      </c>
      <c r="G526" s="1">
        <v>140</v>
      </c>
      <c r="H526" s="1">
        <v>72</v>
      </c>
      <c r="I526" s="2">
        <v>2.3373103448275865</v>
      </c>
      <c r="J526" s="3">
        <v>8.6460809707641602</v>
      </c>
      <c r="K526" s="2">
        <v>3.1836955452848681</v>
      </c>
      <c r="L526" s="2">
        <v>0.20208574495184012</v>
      </c>
      <c r="M526" s="2">
        <v>7.441284532775827E-2</v>
      </c>
      <c r="N526" s="2" t="s">
        <v>13</v>
      </c>
      <c r="O526" s="2" t="s">
        <v>13</v>
      </c>
    </row>
    <row r="527" spans="1:15" ht="30" x14ac:dyDescent="0.25">
      <c r="A527" s="4" t="s">
        <v>49</v>
      </c>
      <c r="B527" s="1">
        <v>5</v>
      </c>
      <c r="C527" s="1" t="s">
        <v>206</v>
      </c>
      <c r="D527" s="1" t="s">
        <v>12</v>
      </c>
      <c r="E527" s="1">
        <v>1</v>
      </c>
      <c r="F527" s="1">
        <v>104</v>
      </c>
      <c r="G527" s="1">
        <v>102</v>
      </c>
      <c r="H527" s="1">
        <v>72</v>
      </c>
      <c r="I527" s="2">
        <v>2.4134782608695651</v>
      </c>
      <c r="J527" s="3">
        <v>14.04538631439209</v>
      </c>
      <c r="K527" s="2">
        <v>3.4246247968647987</v>
      </c>
      <c r="L527" s="2">
        <v>0.33898234535300209</v>
      </c>
      <c r="M527" s="2">
        <v>8.2652574988680422E-2</v>
      </c>
      <c r="N527" s="2" t="s">
        <v>13</v>
      </c>
      <c r="O527" s="2" t="s">
        <v>13</v>
      </c>
    </row>
    <row r="528" spans="1:15" ht="30" x14ac:dyDescent="0.25">
      <c r="A528" s="4" t="s">
        <v>49</v>
      </c>
      <c r="B528" s="1">
        <v>5</v>
      </c>
      <c r="C528" s="1" t="s">
        <v>206</v>
      </c>
      <c r="D528" s="1" t="s">
        <v>12</v>
      </c>
      <c r="E528" s="1">
        <v>2</v>
      </c>
      <c r="F528" s="1">
        <v>104</v>
      </c>
      <c r="G528" s="1">
        <v>112</v>
      </c>
      <c r="H528" s="1">
        <v>96</v>
      </c>
      <c r="I528" s="2">
        <v>1.9094788593903638</v>
      </c>
      <c r="J528" s="3">
        <v>13.473658561706543</v>
      </c>
      <c r="K528" s="2">
        <v>3.039413726687743</v>
      </c>
      <c r="L528" s="2">
        <v>0.25727666182222619</v>
      </c>
      <c r="M528" s="2">
        <v>5.8036962560511267E-2</v>
      </c>
      <c r="N528" s="2" t="s">
        <v>13</v>
      </c>
      <c r="O528" s="2" t="s">
        <v>13</v>
      </c>
    </row>
    <row r="529" spans="1:15" ht="30" x14ac:dyDescent="0.25">
      <c r="A529" s="4" t="s">
        <v>49</v>
      </c>
      <c r="B529" s="1">
        <v>5</v>
      </c>
      <c r="C529" s="1" t="s">
        <v>206</v>
      </c>
      <c r="D529" s="1" t="s">
        <v>12</v>
      </c>
      <c r="E529" s="1">
        <v>3</v>
      </c>
      <c r="F529" s="1">
        <v>104</v>
      </c>
      <c r="G529" s="1">
        <v>126</v>
      </c>
      <c r="H529" s="1">
        <v>48</v>
      </c>
      <c r="I529" s="2">
        <v>2.3301648884578077</v>
      </c>
      <c r="J529" s="3">
        <v>12.395853996276855</v>
      </c>
      <c r="K529" s="2">
        <v>2.9191254716068338</v>
      </c>
      <c r="L529" s="2">
        <v>0.28884383744573727</v>
      </c>
      <c r="M529" s="2">
        <v>6.8020436789410832E-2</v>
      </c>
      <c r="N529" s="2" t="s">
        <v>13</v>
      </c>
      <c r="O529" s="2" t="s">
        <v>13</v>
      </c>
    </row>
    <row r="530" spans="1:15" x14ac:dyDescent="0.25">
      <c r="A530" s="4" t="s">
        <v>189</v>
      </c>
      <c r="B530" s="1">
        <v>5</v>
      </c>
      <c r="C530" s="1" t="s">
        <v>207</v>
      </c>
      <c r="D530" s="1" t="s">
        <v>12</v>
      </c>
      <c r="E530" s="1">
        <v>1</v>
      </c>
      <c r="F530" s="1">
        <v>117</v>
      </c>
      <c r="G530" s="1">
        <v>143</v>
      </c>
      <c r="H530" s="1">
        <v>108</v>
      </c>
      <c r="I530" s="2">
        <v>1.8620964566929132</v>
      </c>
      <c r="J530" s="2" t="s">
        <v>13</v>
      </c>
      <c r="K530" s="2" t="s">
        <v>13</v>
      </c>
      <c r="L530" s="2" t="s">
        <v>13</v>
      </c>
      <c r="M530" s="2" t="s">
        <v>13</v>
      </c>
      <c r="N530" s="2" t="s">
        <v>13</v>
      </c>
      <c r="O530" s="2" t="s">
        <v>13</v>
      </c>
    </row>
    <row r="531" spans="1:15" x14ac:dyDescent="0.25">
      <c r="A531" s="4" t="s">
        <v>189</v>
      </c>
      <c r="B531" s="1">
        <v>5</v>
      </c>
      <c r="C531" s="1" t="s">
        <v>207</v>
      </c>
      <c r="D531" s="1" t="s">
        <v>12</v>
      </c>
      <c r="E531" s="1">
        <v>2</v>
      </c>
      <c r="F531" s="1">
        <v>117</v>
      </c>
      <c r="G531" s="1">
        <v>135</v>
      </c>
      <c r="H531" s="1">
        <v>60</v>
      </c>
      <c r="I531" s="2">
        <v>1.9234901960784312</v>
      </c>
      <c r="J531" s="2" t="s">
        <v>13</v>
      </c>
      <c r="K531" s="2" t="s">
        <v>13</v>
      </c>
      <c r="L531" s="2" t="s">
        <v>13</v>
      </c>
      <c r="M531" s="2" t="s">
        <v>13</v>
      </c>
      <c r="N531" s="2" t="s">
        <v>13</v>
      </c>
      <c r="O531" s="2" t="s">
        <v>13</v>
      </c>
    </row>
    <row r="532" spans="1:15" x14ac:dyDescent="0.25">
      <c r="A532" s="4" t="s">
        <v>189</v>
      </c>
      <c r="B532" s="1">
        <v>5</v>
      </c>
      <c r="C532" s="1" t="s">
        <v>207</v>
      </c>
      <c r="D532" s="1" t="s">
        <v>12</v>
      </c>
      <c r="E532" s="1">
        <v>3</v>
      </c>
      <c r="F532" s="1">
        <v>120</v>
      </c>
      <c r="G532" s="1">
        <v>134</v>
      </c>
      <c r="H532" s="1">
        <v>72</v>
      </c>
      <c r="I532" s="2">
        <v>0.54809798270893362</v>
      </c>
      <c r="J532" s="2" t="s">
        <v>13</v>
      </c>
      <c r="K532" s="2" t="s">
        <v>13</v>
      </c>
      <c r="L532" s="2" t="s">
        <v>13</v>
      </c>
      <c r="M532" s="2" t="s">
        <v>13</v>
      </c>
      <c r="N532" s="2" t="s">
        <v>13</v>
      </c>
      <c r="O532" s="2" t="s">
        <v>13</v>
      </c>
    </row>
    <row r="533" spans="1:15" x14ac:dyDescent="0.25">
      <c r="A533" s="4" t="s">
        <v>189</v>
      </c>
      <c r="B533" s="1">
        <v>3</v>
      </c>
      <c r="C533" s="1" t="s">
        <v>208</v>
      </c>
      <c r="D533" s="1" t="s">
        <v>12</v>
      </c>
      <c r="E533" s="1">
        <v>1</v>
      </c>
      <c r="F533" s="1">
        <v>90</v>
      </c>
      <c r="G533" s="1">
        <v>141</v>
      </c>
      <c r="H533" s="1">
        <v>108</v>
      </c>
      <c r="I533" s="2">
        <v>2.9782839506172842</v>
      </c>
      <c r="J533" s="3">
        <v>15.582076072692871</v>
      </c>
      <c r="K533" s="2">
        <v>3.0486051193554733</v>
      </c>
      <c r="L533" s="2">
        <v>0.4640784708459878</v>
      </c>
      <c r="M533" s="2">
        <v>9.0796116987460956E-2</v>
      </c>
      <c r="N533" s="2" t="s">
        <v>13</v>
      </c>
      <c r="O533" s="2" t="s">
        <v>13</v>
      </c>
    </row>
    <row r="534" spans="1:15" x14ac:dyDescent="0.25">
      <c r="A534" s="4" t="s">
        <v>189</v>
      </c>
      <c r="B534" s="1">
        <v>3</v>
      </c>
      <c r="C534" s="1" t="s">
        <v>208</v>
      </c>
      <c r="D534" s="1" t="s">
        <v>12</v>
      </c>
      <c r="E534" s="1">
        <v>2</v>
      </c>
      <c r="F534" s="1">
        <v>94</v>
      </c>
      <c r="G534" s="1">
        <v>147</v>
      </c>
      <c r="H534" s="1">
        <v>108</v>
      </c>
      <c r="I534" s="2">
        <v>2.4332608695652174</v>
      </c>
      <c r="J534" s="3">
        <v>15.558128356933594</v>
      </c>
      <c r="K534" s="2">
        <v>3.1892805408010592</v>
      </c>
      <c r="L534" s="2">
        <v>0.37856984934599502</v>
      </c>
      <c r="M534" s="2">
        <v>7.7603515419970126E-2</v>
      </c>
      <c r="N534" s="2" t="s">
        <v>13</v>
      </c>
      <c r="O534" s="2" t="s">
        <v>13</v>
      </c>
    </row>
    <row r="535" spans="1:15" x14ac:dyDescent="0.25">
      <c r="A535" s="4" t="s">
        <v>189</v>
      </c>
      <c r="B535" s="1">
        <v>3</v>
      </c>
      <c r="C535" s="1" t="s">
        <v>208</v>
      </c>
      <c r="D535" s="1" t="s">
        <v>12</v>
      </c>
      <c r="E535" s="1">
        <v>3</v>
      </c>
      <c r="F535" s="1">
        <v>90</v>
      </c>
      <c r="G535" s="1">
        <v>126</v>
      </c>
      <c r="H535" s="1">
        <v>72</v>
      </c>
      <c r="I535" s="2">
        <v>2.6310869565217394</v>
      </c>
      <c r="J535" s="3">
        <v>14.637062072753906</v>
      </c>
      <c r="K535" s="2">
        <v>3.0129883205798076</v>
      </c>
      <c r="L535" s="2">
        <v>0.38511383101421859</v>
      </c>
      <c r="M535" s="2">
        <v>7.9274342704298728E-2</v>
      </c>
      <c r="N535" s="2" t="s">
        <v>13</v>
      </c>
      <c r="O535" s="2" t="s">
        <v>13</v>
      </c>
    </row>
    <row r="536" spans="1:15" x14ac:dyDescent="0.25">
      <c r="A536" s="4" t="s">
        <v>209</v>
      </c>
      <c r="B536" s="1">
        <v>4</v>
      </c>
      <c r="C536" s="1" t="s">
        <v>210</v>
      </c>
      <c r="D536" s="1" t="s">
        <v>12</v>
      </c>
      <c r="E536" s="1">
        <v>1</v>
      </c>
      <c r="F536" s="1">
        <v>102</v>
      </c>
      <c r="G536" s="1">
        <v>126</v>
      </c>
      <c r="H536" s="1">
        <v>84</v>
      </c>
      <c r="I536" s="2">
        <v>2.6291786055396367</v>
      </c>
      <c r="J536" s="3">
        <v>15.765399932861328</v>
      </c>
      <c r="K536" s="2">
        <v>3.7799848702993679</v>
      </c>
      <c r="L536" s="2">
        <v>0.41450052211255028</v>
      </c>
      <c r="M536" s="2">
        <v>9.938255350254617E-2</v>
      </c>
      <c r="N536" s="2" t="s">
        <v>13</v>
      </c>
      <c r="O536" s="2" t="s">
        <v>13</v>
      </c>
    </row>
    <row r="537" spans="1:15" x14ac:dyDescent="0.25">
      <c r="A537" s="4" t="s">
        <v>209</v>
      </c>
      <c r="B537" s="1">
        <v>4</v>
      </c>
      <c r="C537" s="1" t="s">
        <v>210</v>
      </c>
      <c r="D537" s="1" t="s">
        <v>12</v>
      </c>
      <c r="E537" s="1">
        <v>2</v>
      </c>
      <c r="F537" s="1">
        <v>102</v>
      </c>
      <c r="G537" s="1">
        <v>132</v>
      </c>
      <c r="H537" s="1">
        <v>72</v>
      </c>
      <c r="I537" s="2">
        <v>2.766048309178744</v>
      </c>
      <c r="J537" s="3">
        <v>16.515905380249023</v>
      </c>
      <c r="K537" s="2">
        <v>4.088705768298623</v>
      </c>
      <c r="L537" s="2">
        <v>0.45683792151593933</v>
      </c>
      <c r="M537" s="2">
        <v>0.11309557677131783</v>
      </c>
      <c r="N537" s="2" t="s">
        <v>13</v>
      </c>
      <c r="O537" s="2" t="s">
        <v>13</v>
      </c>
    </row>
    <row r="538" spans="1:15" x14ac:dyDescent="0.25">
      <c r="A538" s="4" t="s">
        <v>209</v>
      </c>
      <c r="B538" s="1">
        <v>4</v>
      </c>
      <c r="C538" s="1" t="s">
        <v>210</v>
      </c>
      <c r="D538" s="1" t="s">
        <v>12</v>
      </c>
      <c r="E538" s="1">
        <v>3</v>
      </c>
      <c r="F538" s="1">
        <v>99</v>
      </c>
      <c r="G538" s="1">
        <v>126</v>
      </c>
      <c r="H538" s="1">
        <v>48</v>
      </c>
      <c r="I538" s="2">
        <v>3.1484608030592733</v>
      </c>
      <c r="J538" s="3">
        <v>13.861590385437012</v>
      </c>
      <c r="K538" s="2">
        <v>3.7105893139103814</v>
      </c>
      <c r="L538" s="2">
        <v>0.43642673996611714</v>
      </c>
      <c r="M538" s="2">
        <v>0.11682645011097437</v>
      </c>
      <c r="N538" s="2" t="s">
        <v>13</v>
      </c>
      <c r="O538" s="2" t="s">
        <v>13</v>
      </c>
    </row>
    <row r="539" spans="1:15" x14ac:dyDescent="0.25">
      <c r="A539" s="4" t="s">
        <v>172</v>
      </c>
      <c r="B539" s="1">
        <v>5</v>
      </c>
      <c r="C539" s="1" t="s">
        <v>211</v>
      </c>
      <c r="D539" s="1" t="s">
        <v>12</v>
      </c>
      <c r="E539" s="1">
        <v>1</v>
      </c>
      <c r="F539" s="1">
        <v>101</v>
      </c>
      <c r="G539" s="1">
        <v>127</v>
      </c>
      <c r="H539" s="1">
        <v>84</v>
      </c>
      <c r="I539" s="2">
        <v>1.7612903225806451</v>
      </c>
      <c r="J539" s="3">
        <v>16.167869567871094</v>
      </c>
      <c r="K539" s="7">
        <v>3.7801713248967403</v>
      </c>
      <c r="L539" s="2">
        <v>0.28476312206637472</v>
      </c>
      <c r="M539" s="2">
        <v>0.14747868810437861</v>
      </c>
      <c r="N539" s="2" t="s">
        <v>13</v>
      </c>
      <c r="O539" s="2" t="s">
        <v>13</v>
      </c>
    </row>
    <row r="540" spans="1:15" x14ac:dyDescent="0.25">
      <c r="A540" s="4" t="s">
        <v>172</v>
      </c>
      <c r="B540" s="1">
        <v>5</v>
      </c>
      <c r="C540" s="1" t="s">
        <v>211</v>
      </c>
      <c r="D540" s="1" t="s">
        <v>12</v>
      </c>
      <c r="E540" s="1">
        <v>2</v>
      </c>
      <c r="F540" s="1">
        <v>103</v>
      </c>
      <c r="G540" s="1">
        <v>138</v>
      </c>
      <c r="H540" s="1">
        <v>96</v>
      </c>
      <c r="I540" s="2">
        <v>1.7019884726224785</v>
      </c>
      <c r="J540" s="3">
        <v>15.681217193603516</v>
      </c>
      <c r="K540" s="2">
        <v>4.265107586140731</v>
      </c>
      <c r="L540" s="2">
        <v>0.26689250900202599</v>
      </c>
      <c r="M540" s="2">
        <v>7.2591639461062091E-2</v>
      </c>
      <c r="N540" s="2" t="s">
        <v>13</v>
      </c>
      <c r="O540" s="2" t="s">
        <v>13</v>
      </c>
    </row>
    <row r="541" spans="1:15" x14ac:dyDescent="0.25">
      <c r="A541" s="4" t="s">
        <v>172</v>
      </c>
      <c r="B541" s="1">
        <v>5</v>
      </c>
      <c r="C541" s="1" t="s">
        <v>211</v>
      </c>
      <c r="D541" s="1" t="s">
        <v>12</v>
      </c>
      <c r="E541" s="1">
        <v>3</v>
      </c>
      <c r="F541" s="1">
        <v>109</v>
      </c>
      <c r="G541" s="1">
        <v>133</v>
      </c>
      <c r="H541" s="1">
        <v>60</v>
      </c>
      <c r="I541" s="2">
        <v>1.6666896551724137</v>
      </c>
      <c r="J541" s="3">
        <v>17.175888061523438</v>
      </c>
      <c r="K541" s="2">
        <v>4.2056074766353575</v>
      </c>
      <c r="L541" s="2">
        <v>0.28626874950540476</v>
      </c>
      <c r="M541" s="2">
        <v>7.0094424750239095E-2</v>
      </c>
      <c r="N541" s="2" t="s">
        <v>13</v>
      </c>
      <c r="O541" s="2" t="s">
        <v>13</v>
      </c>
    </row>
    <row r="542" spans="1:15" x14ac:dyDescent="0.25">
      <c r="A542" s="4" t="s">
        <v>14</v>
      </c>
      <c r="B542" s="1">
        <v>1</v>
      </c>
      <c r="C542" s="1" t="s">
        <v>212</v>
      </c>
      <c r="D542" s="1" t="s">
        <v>12</v>
      </c>
      <c r="E542" s="1">
        <v>1</v>
      </c>
      <c r="F542" s="1">
        <v>159</v>
      </c>
      <c r="G542" s="1">
        <v>98</v>
      </c>
      <c r="H542" s="1">
        <v>96</v>
      </c>
      <c r="I542" s="2" t="s">
        <v>13</v>
      </c>
      <c r="J542" s="2" t="s">
        <v>13</v>
      </c>
      <c r="K542" s="2" t="s">
        <v>13</v>
      </c>
      <c r="L542" s="2" t="s">
        <v>13</v>
      </c>
      <c r="M542" s="2" t="s">
        <v>13</v>
      </c>
      <c r="N542" s="1">
        <v>7</v>
      </c>
      <c r="O542" s="1">
        <v>1.5</v>
      </c>
    </row>
    <row r="543" spans="1:15" x14ac:dyDescent="0.25">
      <c r="A543" s="4" t="s">
        <v>14</v>
      </c>
      <c r="B543" s="1">
        <v>1</v>
      </c>
      <c r="C543" s="1" t="s">
        <v>212</v>
      </c>
      <c r="D543" s="1" t="s">
        <v>12</v>
      </c>
      <c r="E543" s="1">
        <v>2</v>
      </c>
      <c r="F543" s="1">
        <v>160</v>
      </c>
      <c r="G543" s="1">
        <v>119</v>
      </c>
      <c r="H543" s="1">
        <v>48</v>
      </c>
      <c r="I543" s="2" t="s">
        <v>13</v>
      </c>
      <c r="J543" s="2" t="s">
        <v>13</v>
      </c>
      <c r="K543" s="2" t="s">
        <v>13</v>
      </c>
      <c r="L543" s="2" t="s">
        <v>13</v>
      </c>
      <c r="M543" s="2" t="s">
        <v>13</v>
      </c>
      <c r="N543" s="1">
        <v>8.5</v>
      </c>
      <c r="O543" s="1">
        <v>1</v>
      </c>
    </row>
    <row r="544" spans="1:15" x14ac:dyDescent="0.25">
      <c r="A544" s="4" t="s">
        <v>14</v>
      </c>
      <c r="B544" s="1">
        <v>1</v>
      </c>
      <c r="C544" s="1" t="s">
        <v>212</v>
      </c>
      <c r="D544" s="1" t="s">
        <v>12</v>
      </c>
      <c r="E544" s="1">
        <v>3</v>
      </c>
      <c r="F544" s="1">
        <v>160</v>
      </c>
      <c r="G544" s="1">
        <v>108</v>
      </c>
      <c r="H544" s="1">
        <v>48</v>
      </c>
      <c r="I544" s="2" t="s">
        <v>13</v>
      </c>
      <c r="J544" s="2" t="s">
        <v>13</v>
      </c>
      <c r="K544" s="2" t="s">
        <v>13</v>
      </c>
      <c r="L544" s="2" t="s">
        <v>13</v>
      </c>
      <c r="M544" s="2" t="s">
        <v>13</v>
      </c>
      <c r="N544" s="1">
        <v>10</v>
      </c>
      <c r="O544" s="1">
        <v>2</v>
      </c>
    </row>
    <row r="545" spans="1:15" x14ac:dyDescent="0.25">
      <c r="A545" s="4" t="s">
        <v>14</v>
      </c>
      <c r="B545" s="1">
        <v>1</v>
      </c>
      <c r="C545" s="1" t="s">
        <v>213</v>
      </c>
      <c r="D545" s="1" t="s">
        <v>12</v>
      </c>
      <c r="E545" s="1">
        <v>1</v>
      </c>
      <c r="F545" s="1">
        <v>140</v>
      </c>
      <c r="G545" s="1">
        <v>146</v>
      </c>
      <c r="H545" s="1">
        <v>96</v>
      </c>
      <c r="I545" s="2" t="s">
        <v>13</v>
      </c>
      <c r="J545" s="2" t="s">
        <v>13</v>
      </c>
      <c r="K545" s="2" t="s">
        <v>13</v>
      </c>
      <c r="L545" s="2" t="s">
        <v>13</v>
      </c>
      <c r="M545" s="2" t="s">
        <v>13</v>
      </c>
      <c r="N545" s="1">
        <v>13.5</v>
      </c>
      <c r="O545" s="1">
        <v>2.5</v>
      </c>
    </row>
    <row r="546" spans="1:15" x14ac:dyDescent="0.25">
      <c r="A546" s="4" t="s">
        <v>14</v>
      </c>
      <c r="B546" s="1">
        <v>1</v>
      </c>
      <c r="C546" s="1" t="s">
        <v>213</v>
      </c>
      <c r="D546" s="1" t="s">
        <v>12</v>
      </c>
      <c r="E546" s="1">
        <v>2</v>
      </c>
      <c r="F546" s="1">
        <v>140</v>
      </c>
      <c r="G546" s="1">
        <v>132</v>
      </c>
      <c r="H546" s="1">
        <v>96</v>
      </c>
      <c r="I546" s="2" t="s">
        <v>13</v>
      </c>
      <c r="J546" s="2" t="s">
        <v>13</v>
      </c>
      <c r="K546" s="2" t="s">
        <v>13</v>
      </c>
      <c r="L546" s="2" t="s">
        <v>13</v>
      </c>
      <c r="M546" s="2" t="s">
        <v>13</v>
      </c>
      <c r="N546" s="1">
        <v>11</v>
      </c>
      <c r="O546" s="1">
        <v>3</v>
      </c>
    </row>
    <row r="547" spans="1:15" x14ac:dyDescent="0.25">
      <c r="A547" s="4" t="s">
        <v>14</v>
      </c>
      <c r="B547" s="1">
        <v>1</v>
      </c>
      <c r="C547" s="1" t="s">
        <v>213</v>
      </c>
      <c r="D547" s="1" t="s">
        <v>12</v>
      </c>
      <c r="E547" s="1">
        <v>3</v>
      </c>
      <c r="F547" s="1">
        <v>139</v>
      </c>
      <c r="G547" s="1">
        <v>134</v>
      </c>
      <c r="H547" s="1">
        <v>84</v>
      </c>
      <c r="I547" s="2" t="s">
        <v>13</v>
      </c>
      <c r="J547" s="2" t="s">
        <v>13</v>
      </c>
      <c r="K547" s="2" t="s">
        <v>13</v>
      </c>
      <c r="L547" s="2" t="s">
        <v>13</v>
      </c>
      <c r="M547" s="2" t="s">
        <v>13</v>
      </c>
      <c r="N547" s="1">
        <v>11.5</v>
      </c>
      <c r="O547" s="1">
        <v>2.5</v>
      </c>
    </row>
    <row r="548" spans="1:15" x14ac:dyDescent="0.25">
      <c r="A548" s="4" t="s">
        <v>214</v>
      </c>
      <c r="B548" s="1">
        <v>2</v>
      </c>
      <c r="C548" s="1" t="s">
        <v>215</v>
      </c>
      <c r="D548" s="1" t="s">
        <v>12</v>
      </c>
      <c r="E548" s="1">
        <v>1</v>
      </c>
      <c r="F548" s="1">
        <v>107</v>
      </c>
      <c r="G548" s="1">
        <v>110</v>
      </c>
      <c r="H548" s="5">
        <v>72</v>
      </c>
      <c r="I548" s="2" t="s">
        <v>13</v>
      </c>
      <c r="J548" s="2" t="s">
        <v>13</v>
      </c>
      <c r="K548" s="2" t="s">
        <v>13</v>
      </c>
      <c r="L548" s="2" t="s">
        <v>13</v>
      </c>
      <c r="M548" s="2" t="s">
        <v>13</v>
      </c>
      <c r="N548" s="2" t="s">
        <v>13</v>
      </c>
      <c r="O548" s="2" t="s">
        <v>13</v>
      </c>
    </row>
    <row r="549" spans="1:15" x14ac:dyDescent="0.25">
      <c r="A549" s="4" t="s">
        <v>214</v>
      </c>
      <c r="B549" s="1">
        <v>2</v>
      </c>
      <c r="C549" s="1" t="s">
        <v>215</v>
      </c>
      <c r="D549" s="1" t="s">
        <v>12</v>
      </c>
      <c r="E549" s="1">
        <v>2</v>
      </c>
      <c r="F549" s="1">
        <v>108</v>
      </c>
      <c r="G549" s="1">
        <v>104</v>
      </c>
      <c r="H549" s="1">
        <v>60</v>
      </c>
      <c r="I549" s="2" t="s">
        <v>13</v>
      </c>
      <c r="J549" s="2" t="s">
        <v>13</v>
      </c>
      <c r="K549" s="2" t="s">
        <v>13</v>
      </c>
      <c r="L549" s="2" t="s">
        <v>13</v>
      </c>
      <c r="M549" s="2" t="s">
        <v>13</v>
      </c>
      <c r="N549" s="2" t="s">
        <v>13</v>
      </c>
      <c r="O549" s="2" t="s">
        <v>13</v>
      </c>
    </row>
    <row r="550" spans="1:15" x14ac:dyDescent="0.25">
      <c r="A550" s="4" t="s">
        <v>214</v>
      </c>
      <c r="B550" s="1">
        <v>2</v>
      </c>
      <c r="C550" s="1" t="s">
        <v>215</v>
      </c>
      <c r="D550" s="1" t="s">
        <v>12</v>
      </c>
      <c r="E550" s="1">
        <v>3</v>
      </c>
      <c r="F550" s="1">
        <v>108</v>
      </c>
      <c r="G550" s="1">
        <v>115</v>
      </c>
      <c r="H550" s="1">
        <v>96</v>
      </c>
      <c r="I550" s="2" t="s">
        <v>13</v>
      </c>
      <c r="J550" s="2" t="s">
        <v>13</v>
      </c>
      <c r="K550" s="2" t="s">
        <v>13</v>
      </c>
      <c r="L550" s="2" t="s">
        <v>13</v>
      </c>
      <c r="M550" s="2" t="s">
        <v>13</v>
      </c>
      <c r="N550" s="2" t="s">
        <v>13</v>
      </c>
      <c r="O550" s="2" t="s">
        <v>13</v>
      </c>
    </row>
    <row r="551" spans="1:15" x14ac:dyDescent="0.25">
      <c r="A551" s="4" t="s">
        <v>216</v>
      </c>
      <c r="B551" s="1" t="s">
        <v>20</v>
      </c>
      <c r="C551" s="1" t="s">
        <v>217</v>
      </c>
      <c r="D551" s="1" t="s">
        <v>12</v>
      </c>
      <c r="E551" s="1">
        <v>1</v>
      </c>
      <c r="F551" s="1">
        <v>151</v>
      </c>
      <c r="G551" s="1">
        <v>117</v>
      </c>
      <c r="H551" s="1">
        <v>60</v>
      </c>
      <c r="I551" s="2" t="s">
        <v>13</v>
      </c>
      <c r="J551" s="2" t="s">
        <v>13</v>
      </c>
      <c r="K551" s="2" t="s">
        <v>13</v>
      </c>
      <c r="L551" s="2" t="s">
        <v>13</v>
      </c>
      <c r="M551" s="2" t="s">
        <v>13</v>
      </c>
      <c r="N551" s="2" t="s">
        <v>13</v>
      </c>
      <c r="O551" s="2" t="s">
        <v>13</v>
      </c>
    </row>
    <row r="552" spans="1:15" x14ac:dyDescent="0.25">
      <c r="A552" s="4" t="s">
        <v>216</v>
      </c>
      <c r="B552" s="1" t="s">
        <v>20</v>
      </c>
      <c r="C552" s="1" t="s">
        <v>217</v>
      </c>
      <c r="D552" s="1" t="s">
        <v>12</v>
      </c>
      <c r="E552" s="1">
        <v>2</v>
      </c>
      <c r="F552" s="1">
        <v>139</v>
      </c>
      <c r="G552" s="1">
        <v>138</v>
      </c>
      <c r="H552" s="1">
        <v>72</v>
      </c>
      <c r="I552" s="2" t="s">
        <v>13</v>
      </c>
      <c r="J552" s="2" t="s">
        <v>13</v>
      </c>
      <c r="K552" s="2" t="s">
        <v>13</v>
      </c>
      <c r="L552" s="2" t="s">
        <v>13</v>
      </c>
      <c r="M552" s="2" t="s">
        <v>13</v>
      </c>
      <c r="N552" s="2" t="s">
        <v>13</v>
      </c>
      <c r="O552" s="2" t="s">
        <v>13</v>
      </c>
    </row>
    <row r="553" spans="1:15" x14ac:dyDescent="0.25">
      <c r="A553" s="4" t="s">
        <v>216</v>
      </c>
      <c r="B553" s="1" t="s">
        <v>20</v>
      </c>
      <c r="C553" s="1" t="s">
        <v>217</v>
      </c>
      <c r="D553" s="1" t="s">
        <v>12</v>
      </c>
      <c r="E553" s="1">
        <v>3</v>
      </c>
      <c r="F553" s="1">
        <v>140</v>
      </c>
      <c r="G553" s="1">
        <v>127</v>
      </c>
      <c r="H553" s="1">
        <v>72</v>
      </c>
      <c r="I553" s="2" t="s">
        <v>13</v>
      </c>
      <c r="J553" s="2" t="s">
        <v>13</v>
      </c>
      <c r="K553" s="2" t="s">
        <v>13</v>
      </c>
      <c r="L553" s="2" t="s">
        <v>13</v>
      </c>
      <c r="M553" s="2" t="s">
        <v>13</v>
      </c>
      <c r="N553" s="2" t="s">
        <v>13</v>
      </c>
      <c r="O553" s="2" t="s">
        <v>13</v>
      </c>
    </row>
    <row r="554" spans="1:15" x14ac:dyDescent="0.25">
      <c r="A554" s="4" t="s">
        <v>14</v>
      </c>
      <c r="B554" s="1">
        <v>1</v>
      </c>
      <c r="C554" s="1" t="s">
        <v>218</v>
      </c>
      <c r="D554" s="1" t="s">
        <v>12</v>
      </c>
      <c r="E554" s="1">
        <v>1</v>
      </c>
      <c r="F554" s="1">
        <v>138</v>
      </c>
      <c r="G554" s="1">
        <v>131</v>
      </c>
      <c r="H554" s="5">
        <v>60</v>
      </c>
      <c r="I554" s="2">
        <v>2.2156521739130439</v>
      </c>
      <c r="J554" s="2" t="s">
        <v>13</v>
      </c>
      <c r="K554" s="2" t="s">
        <v>13</v>
      </c>
      <c r="L554" s="2" t="s">
        <v>13</v>
      </c>
      <c r="M554" s="2" t="s">
        <v>13</v>
      </c>
      <c r="N554" s="1">
        <v>12</v>
      </c>
      <c r="O554" s="1">
        <v>6.5</v>
      </c>
    </row>
    <row r="555" spans="1:15" x14ac:dyDescent="0.25">
      <c r="A555" s="4" t="s">
        <v>14</v>
      </c>
      <c r="B555" s="1">
        <v>1</v>
      </c>
      <c r="C555" s="1" t="s">
        <v>218</v>
      </c>
      <c r="D555" s="1" t="s">
        <v>12</v>
      </c>
      <c r="E555" s="1">
        <v>2</v>
      </c>
      <c r="F555" s="1">
        <v>141</v>
      </c>
      <c r="G555" s="1">
        <v>130</v>
      </c>
      <c r="H555" s="1">
        <v>60</v>
      </c>
      <c r="I555" s="2">
        <v>2.7203191489361704</v>
      </c>
      <c r="J555" s="2" t="s">
        <v>13</v>
      </c>
      <c r="K555" s="2" t="s">
        <v>13</v>
      </c>
      <c r="L555" s="2" t="s">
        <v>13</v>
      </c>
      <c r="M555" s="2" t="s">
        <v>13</v>
      </c>
      <c r="N555" s="1">
        <v>9.5</v>
      </c>
      <c r="O555" s="1">
        <v>4.5</v>
      </c>
    </row>
    <row r="556" spans="1:15" x14ac:dyDescent="0.25">
      <c r="A556" s="4" t="s">
        <v>14</v>
      </c>
      <c r="B556" s="1">
        <v>1</v>
      </c>
      <c r="C556" s="1" t="s">
        <v>218</v>
      </c>
      <c r="D556" s="1" t="s">
        <v>12</v>
      </c>
      <c r="E556" s="1">
        <v>3</v>
      </c>
      <c r="F556" s="1">
        <v>142</v>
      </c>
      <c r="G556" s="1">
        <v>140</v>
      </c>
      <c r="H556" s="1">
        <v>84</v>
      </c>
      <c r="I556" s="2">
        <v>0.9718446601941747</v>
      </c>
      <c r="J556" s="2" t="s">
        <v>13</v>
      </c>
      <c r="K556" s="2" t="s">
        <v>13</v>
      </c>
      <c r="L556" s="2" t="s">
        <v>13</v>
      </c>
      <c r="M556" s="2" t="s">
        <v>13</v>
      </c>
      <c r="N556" s="1">
        <v>10</v>
      </c>
      <c r="O556" s="1">
        <v>1.5</v>
      </c>
    </row>
    <row r="557" spans="1:15" x14ac:dyDescent="0.25">
      <c r="A557" s="4" t="s">
        <v>219</v>
      </c>
      <c r="B557" s="1">
        <v>2</v>
      </c>
      <c r="C557" s="1" t="s">
        <v>220</v>
      </c>
      <c r="D557" s="1" t="s">
        <v>12</v>
      </c>
      <c r="E557" s="1">
        <v>1</v>
      </c>
      <c r="F557" s="1">
        <v>84</v>
      </c>
      <c r="G557" s="1">
        <v>83</v>
      </c>
      <c r="H557" s="1">
        <v>72</v>
      </c>
      <c r="I557" s="2" t="s">
        <v>13</v>
      </c>
      <c r="J557" s="3">
        <v>14.438474655151367</v>
      </c>
      <c r="K557" s="2">
        <v>3.9449610265927455</v>
      </c>
      <c r="L557" s="2" t="s">
        <v>13</v>
      </c>
      <c r="M557" s="2" t="s">
        <v>13</v>
      </c>
      <c r="N557" s="2" t="s">
        <v>13</v>
      </c>
      <c r="O557" s="2" t="s">
        <v>13</v>
      </c>
    </row>
    <row r="558" spans="1:15" x14ac:dyDescent="0.25">
      <c r="A558" s="4" t="s">
        <v>219</v>
      </c>
      <c r="B558" s="1">
        <v>2</v>
      </c>
      <c r="C558" s="1" t="s">
        <v>220</v>
      </c>
      <c r="D558" s="1" t="s">
        <v>12</v>
      </c>
      <c r="E558" s="1">
        <v>2</v>
      </c>
      <c r="F558" s="1">
        <v>84</v>
      </c>
      <c r="G558" s="1">
        <v>90</v>
      </c>
      <c r="H558" s="1">
        <v>84</v>
      </c>
      <c r="I558" s="2" t="s">
        <v>13</v>
      </c>
      <c r="J558" s="3">
        <v>15.746231079101563</v>
      </c>
      <c r="K558" s="2">
        <v>4.3288871388488559</v>
      </c>
      <c r="L558" s="2" t="s">
        <v>13</v>
      </c>
      <c r="M558" s="2" t="s">
        <v>13</v>
      </c>
      <c r="N558" s="2" t="s">
        <v>13</v>
      </c>
      <c r="O558" s="2" t="s">
        <v>13</v>
      </c>
    </row>
    <row r="559" spans="1:15" x14ac:dyDescent="0.25">
      <c r="A559" s="4" t="s">
        <v>219</v>
      </c>
      <c r="B559" s="1">
        <v>2</v>
      </c>
      <c r="C559" s="1" t="s">
        <v>220</v>
      </c>
      <c r="D559" s="1" t="s">
        <v>12</v>
      </c>
      <c r="E559" s="1">
        <v>3</v>
      </c>
      <c r="F559" s="1">
        <v>84</v>
      </c>
      <c r="G559" s="1">
        <v>89</v>
      </c>
      <c r="H559" s="1">
        <v>84</v>
      </c>
      <c r="I559" s="2" t="s">
        <v>13</v>
      </c>
      <c r="J559" s="3">
        <v>18.44944953918457</v>
      </c>
      <c r="K559" s="2">
        <v>4.4081476705594334</v>
      </c>
      <c r="L559" s="2" t="s">
        <v>13</v>
      </c>
      <c r="M559" s="2" t="s">
        <v>13</v>
      </c>
      <c r="N559" s="2" t="s">
        <v>13</v>
      </c>
      <c r="O559" s="2" t="s">
        <v>13</v>
      </c>
    </row>
    <row r="560" spans="1:15" x14ac:dyDescent="0.25">
      <c r="A560" s="4" t="s">
        <v>219</v>
      </c>
      <c r="B560" s="1">
        <v>1</v>
      </c>
      <c r="C560" s="1" t="s">
        <v>221</v>
      </c>
      <c r="D560" s="1" t="s">
        <v>12</v>
      </c>
      <c r="E560" s="1">
        <v>1</v>
      </c>
      <c r="F560" s="1">
        <v>106</v>
      </c>
      <c r="G560" s="1">
        <v>96</v>
      </c>
      <c r="H560" s="1">
        <v>96</v>
      </c>
      <c r="I560" s="2">
        <v>2.500048971596474</v>
      </c>
      <c r="J560" s="3">
        <v>17.413431167602539</v>
      </c>
      <c r="K560" s="2">
        <v>4.6548877553532355</v>
      </c>
      <c r="L560" s="2">
        <v>0.43534430682530717</v>
      </c>
      <c r="M560" s="2">
        <v>0.11637447345667876</v>
      </c>
      <c r="N560" s="2" t="s">
        <v>13</v>
      </c>
      <c r="O560" s="2" t="s">
        <v>13</v>
      </c>
    </row>
    <row r="561" spans="1:15" x14ac:dyDescent="0.25">
      <c r="A561" s="4" t="s">
        <v>219</v>
      </c>
      <c r="B561" s="1">
        <v>1</v>
      </c>
      <c r="C561" s="1" t="s">
        <v>221</v>
      </c>
      <c r="D561" s="1" t="s">
        <v>12</v>
      </c>
      <c r="E561" s="1">
        <v>2</v>
      </c>
      <c r="F561" s="1">
        <v>107</v>
      </c>
      <c r="G561" s="1">
        <v>120</v>
      </c>
      <c r="H561" s="1">
        <v>72</v>
      </c>
      <c r="I561" s="2">
        <v>2.4134782608695651</v>
      </c>
      <c r="J561" s="3">
        <v>18.062286376953125</v>
      </c>
      <c r="K561" s="2">
        <v>5.1124351335771578</v>
      </c>
      <c r="L561" s="2">
        <v>0.43592935512376862</v>
      </c>
      <c r="M561" s="2">
        <v>0.12338751054994261</v>
      </c>
      <c r="N561" s="2" t="s">
        <v>13</v>
      </c>
      <c r="O561" s="2" t="s">
        <v>13</v>
      </c>
    </row>
    <row r="562" spans="1:15" x14ac:dyDescent="0.25">
      <c r="A562" s="4" t="s">
        <v>219</v>
      </c>
      <c r="B562" s="1">
        <v>1</v>
      </c>
      <c r="C562" s="1" t="s">
        <v>221</v>
      </c>
      <c r="D562" s="1" t="s">
        <v>12</v>
      </c>
      <c r="E562" s="1">
        <v>3</v>
      </c>
      <c r="F562" s="1">
        <v>107</v>
      </c>
      <c r="G562" s="1">
        <v>115</v>
      </c>
      <c r="H562" s="1">
        <v>48</v>
      </c>
      <c r="I562" s="2">
        <v>2.585753424657534</v>
      </c>
      <c r="J562" s="3">
        <v>16.880847930908203</v>
      </c>
      <c r="K562" s="2">
        <v>5.1711983887209811</v>
      </c>
      <c r="L562" s="2">
        <v>0.43649710348468929</v>
      </c>
      <c r="M562" s="2">
        <v>0.13371443943218797</v>
      </c>
      <c r="N562" s="2" t="s">
        <v>13</v>
      </c>
      <c r="O562" s="2" t="s">
        <v>13</v>
      </c>
    </row>
    <row r="563" spans="1:15" x14ac:dyDescent="0.25">
      <c r="A563" s="4" t="s">
        <v>219</v>
      </c>
      <c r="B563" s="1">
        <v>2</v>
      </c>
      <c r="C563" s="1" t="s">
        <v>222</v>
      </c>
      <c r="D563" s="1" t="s">
        <v>12</v>
      </c>
      <c r="E563" s="1">
        <v>1</v>
      </c>
      <c r="F563" s="1">
        <v>85</v>
      </c>
      <c r="G563" s="1">
        <v>117</v>
      </c>
      <c r="H563" s="5">
        <v>72</v>
      </c>
      <c r="I563" s="2">
        <v>2.8613856589147288</v>
      </c>
      <c r="J563" s="3">
        <v>17.300392150878906</v>
      </c>
      <c r="K563" s="2">
        <v>4.146205762113393</v>
      </c>
      <c r="L563" s="2">
        <v>0.49503093994125846</v>
      </c>
      <c r="M563" s="2">
        <v>0.11863893706620877</v>
      </c>
      <c r="N563" s="2" t="s">
        <v>13</v>
      </c>
      <c r="O563" s="2" t="s">
        <v>13</v>
      </c>
    </row>
    <row r="564" spans="1:15" x14ac:dyDescent="0.25">
      <c r="A564" s="4" t="s">
        <v>219</v>
      </c>
      <c r="B564" s="1">
        <v>2</v>
      </c>
      <c r="C564" s="1" t="s">
        <v>222</v>
      </c>
      <c r="D564" s="1" t="s">
        <v>12</v>
      </c>
      <c r="E564" s="1">
        <v>2</v>
      </c>
      <c r="F564" s="1">
        <v>85</v>
      </c>
      <c r="G564" s="1">
        <v>119</v>
      </c>
      <c r="H564" s="1">
        <v>60</v>
      </c>
      <c r="I564" s="2">
        <v>2.6467793240556663</v>
      </c>
      <c r="J564" s="3">
        <v>14.452438354492188</v>
      </c>
      <c r="K564" s="2">
        <v>4.0064178188855948</v>
      </c>
      <c r="L564" s="2">
        <v>0.38252415018859015</v>
      </c>
      <c r="M564" s="2">
        <v>0.10604103846554593</v>
      </c>
      <c r="N564" s="2" t="s">
        <v>13</v>
      </c>
      <c r="O564" s="2" t="s">
        <v>13</v>
      </c>
    </row>
    <row r="565" spans="1:15" x14ac:dyDescent="0.25">
      <c r="A565" s="4" t="s">
        <v>219</v>
      </c>
      <c r="B565" s="1">
        <v>2</v>
      </c>
      <c r="C565" s="1" t="s">
        <v>222</v>
      </c>
      <c r="D565" s="1" t="s">
        <v>12</v>
      </c>
      <c r="E565" s="1">
        <v>3</v>
      </c>
      <c r="F565" s="1">
        <v>84</v>
      </c>
      <c r="G565" s="1">
        <v>124</v>
      </c>
      <c r="H565" s="1">
        <v>72</v>
      </c>
      <c r="I565" s="2">
        <v>3.0116045845272201</v>
      </c>
      <c r="J565" s="3">
        <v>15.063982963562012</v>
      </c>
      <c r="K565" s="2">
        <v>4.0879299622061174</v>
      </c>
      <c r="L565" s="2">
        <v>0.45366760154303293</v>
      </c>
      <c r="M565" s="2">
        <v>0.12311228615406129</v>
      </c>
      <c r="N565" s="2" t="s">
        <v>13</v>
      </c>
      <c r="O565" s="2" t="s">
        <v>13</v>
      </c>
    </row>
    <row r="566" spans="1:15" x14ac:dyDescent="0.25">
      <c r="A566" s="4" t="s">
        <v>14</v>
      </c>
      <c r="B566" s="1">
        <v>1</v>
      </c>
      <c r="C566" s="1" t="s">
        <v>223</v>
      </c>
      <c r="D566" s="1" t="s">
        <v>12</v>
      </c>
      <c r="E566" s="1">
        <v>1</v>
      </c>
      <c r="F566" s="1">
        <v>162</v>
      </c>
      <c r="G566" s="1">
        <v>104</v>
      </c>
      <c r="H566" s="5">
        <v>78</v>
      </c>
      <c r="I566" s="2" t="s">
        <v>13</v>
      </c>
      <c r="J566" s="2" t="s">
        <v>13</v>
      </c>
      <c r="K566" s="2" t="s">
        <v>13</v>
      </c>
      <c r="L566" s="2" t="s">
        <v>13</v>
      </c>
      <c r="M566" s="2" t="s">
        <v>13</v>
      </c>
      <c r="N566" s="2" t="s">
        <v>13</v>
      </c>
      <c r="O566" s="2" t="s">
        <v>13</v>
      </c>
    </row>
    <row r="567" spans="1:15" x14ac:dyDescent="0.25">
      <c r="A567" s="4" t="s">
        <v>14</v>
      </c>
      <c r="B567" s="1">
        <v>1</v>
      </c>
      <c r="C567" s="1" t="s">
        <v>223</v>
      </c>
      <c r="D567" s="1" t="s">
        <v>12</v>
      </c>
      <c r="E567" s="1">
        <v>2</v>
      </c>
      <c r="F567" s="1">
        <v>196</v>
      </c>
      <c r="G567" s="1">
        <v>90</v>
      </c>
      <c r="H567" s="1">
        <v>96</v>
      </c>
      <c r="I567" s="2" t="s">
        <v>13</v>
      </c>
      <c r="J567" s="2" t="s">
        <v>13</v>
      </c>
      <c r="K567" s="2" t="s">
        <v>13</v>
      </c>
      <c r="L567" s="2" t="s">
        <v>13</v>
      </c>
      <c r="M567" s="2" t="s">
        <v>13</v>
      </c>
      <c r="N567" s="2" t="s">
        <v>13</v>
      </c>
      <c r="O567" s="2" t="s">
        <v>13</v>
      </c>
    </row>
    <row r="568" spans="1:15" x14ac:dyDescent="0.25">
      <c r="A568" s="4" t="s">
        <v>14</v>
      </c>
      <c r="B568" s="1">
        <v>1</v>
      </c>
      <c r="C568" s="1" t="s">
        <v>223</v>
      </c>
      <c r="D568" s="1" t="s">
        <v>12</v>
      </c>
      <c r="E568" s="1">
        <v>3</v>
      </c>
      <c r="F568" s="1">
        <v>191</v>
      </c>
      <c r="G568" s="1">
        <v>88</v>
      </c>
      <c r="H568" s="1">
        <v>72</v>
      </c>
      <c r="I568" s="2" t="s">
        <v>13</v>
      </c>
      <c r="J568" s="2" t="s">
        <v>13</v>
      </c>
      <c r="K568" s="2" t="s">
        <v>13</v>
      </c>
      <c r="L568" s="2" t="s">
        <v>13</v>
      </c>
      <c r="M568" s="2" t="s">
        <v>13</v>
      </c>
      <c r="N568" s="2" t="s">
        <v>13</v>
      </c>
      <c r="O568" s="2" t="s">
        <v>13</v>
      </c>
    </row>
    <row r="569" spans="1:15" x14ac:dyDescent="0.25">
      <c r="A569" s="4" t="s">
        <v>224</v>
      </c>
      <c r="B569" s="1">
        <v>1</v>
      </c>
      <c r="C569" s="1" t="s">
        <v>225</v>
      </c>
      <c r="D569" s="1" t="s">
        <v>12</v>
      </c>
      <c r="E569" s="1">
        <v>1</v>
      </c>
      <c r="F569" s="1">
        <v>141</v>
      </c>
      <c r="G569" s="1">
        <v>107</v>
      </c>
      <c r="H569" s="1">
        <v>108</v>
      </c>
      <c r="I569" s="2" t="s">
        <v>13</v>
      </c>
      <c r="J569" s="2" t="s">
        <v>13</v>
      </c>
      <c r="K569" s="2" t="s">
        <v>13</v>
      </c>
      <c r="L569" s="2" t="s">
        <v>13</v>
      </c>
      <c r="M569" s="2" t="s">
        <v>13</v>
      </c>
      <c r="N569" s="2" t="s">
        <v>13</v>
      </c>
      <c r="O569" s="2" t="s">
        <v>13</v>
      </c>
    </row>
    <row r="570" spans="1:15" x14ac:dyDescent="0.25">
      <c r="A570" s="4" t="s">
        <v>224</v>
      </c>
      <c r="B570" s="1">
        <v>1</v>
      </c>
      <c r="C570" s="1" t="s">
        <v>225</v>
      </c>
      <c r="D570" s="1" t="s">
        <v>12</v>
      </c>
      <c r="E570" s="1">
        <v>2</v>
      </c>
      <c r="F570" s="1">
        <v>143</v>
      </c>
      <c r="G570" s="1">
        <v>103</v>
      </c>
      <c r="H570" s="1">
        <v>96</v>
      </c>
      <c r="I570" s="2" t="s">
        <v>13</v>
      </c>
      <c r="J570" s="2" t="s">
        <v>13</v>
      </c>
      <c r="K570" s="2" t="s">
        <v>13</v>
      </c>
      <c r="L570" s="2" t="s">
        <v>13</v>
      </c>
      <c r="M570" s="2" t="s">
        <v>13</v>
      </c>
      <c r="N570" s="2" t="s">
        <v>13</v>
      </c>
      <c r="O570" s="2" t="s">
        <v>13</v>
      </c>
    </row>
    <row r="571" spans="1:15" x14ac:dyDescent="0.25">
      <c r="A571" s="4" t="s">
        <v>224</v>
      </c>
      <c r="B571" s="1">
        <v>1</v>
      </c>
      <c r="C571" s="1" t="s">
        <v>225</v>
      </c>
      <c r="D571" s="1" t="s">
        <v>12</v>
      </c>
      <c r="E571" s="1">
        <v>3</v>
      </c>
      <c r="F571" s="1">
        <v>142</v>
      </c>
      <c r="G571" s="1">
        <v>110</v>
      </c>
      <c r="H571" s="1">
        <v>96</v>
      </c>
      <c r="I571" s="2" t="s">
        <v>13</v>
      </c>
      <c r="J571" s="2" t="s">
        <v>13</v>
      </c>
      <c r="K571" s="2" t="s">
        <v>13</v>
      </c>
      <c r="L571" s="2" t="s">
        <v>13</v>
      </c>
      <c r="M571" s="2" t="s">
        <v>13</v>
      </c>
      <c r="N571" s="2" t="s">
        <v>13</v>
      </c>
      <c r="O571" s="2" t="s">
        <v>13</v>
      </c>
    </row>
    <row r="572" spans="1:15" x14ac:dyDescent="0.25">
      <c r="A572" s="4" t="s">
        <v>226</v>
      </c>
      <c r="B572" s="1">
        <v>2</v>
      </c>
      <c r="C572" s="1" t="s">
        <v>227</v>
      </c>
      <c r="D572" s="1" t="s">
        <v>12</v>
      </c>
      <c r="E572" s="1">
        <v>1</v>
      </c>
      <c r="F572" s="1">
        <v>102</v>
      </c>
      <c r="G572" s="1">
        <v>119</v>
      </c>
      <c r="H572" s="1">
        <v>24</v>
      </c>
      <c r="I572" s="2">
        <v>2.2682758620689651</v>
      </c>
      <c r="J572" s="3">
        <v>14.470599174499512</v>
      </c>
      <c r="K572" s="2">
        <v>5.4443880142207188</v>
      </c>
      <c r="L572" s="2">
        <v>0.32823310817192336</v>
      </c>
      <c r="M572" s="2">
        <v>0.12349373916394443</v>
      </c>
      <c r="N572" s="2" t="s">
        <v>13</v>
      </c>
      <c r="O572" s="2" t="s">
        <v>13</v>
      </c>
    </row>
    <row r="573" spans="1:15" x14ac:dyDescent="0.25">
      <c r="A573" s="4" t="s">
        <v>226</v>
      </c>
      <c r="B573" s="1">
        <v>2</v>
      </c>
      <c r="C573" s="1" t="s">
        <v>227</v>
      </c>
      <c r="D573" s="1" t="s">
        <v>12</v>
      </c>
      <c r="E573" s="1">
        <v>2</v>
      </c>
      <c r="F573" s="1">
        <v>107</v>
      </c>
      <c r="G573" s="1">
        <v>127</v>
      </c>
      <c r="H573" s="1">
        <v>12</v>
      </c>
      <c r="I573" s="2">
        <v>2.1379625984251964</v>
      </c>
      <c r="J573" s="3">
        <v>14.830286979675293</v>
      </c>
      <c r="K573" s="2">
        <v>5.3804878048785074</v>
      </c>
      <c r="L573" s="2">
        <v>0.31706598886457943</v>
      </c>
      <c r="M573" s="2">
        <v>0.11503281688113134</v>
      </c>
      <c r="N573" s="2" t="s">
        <v>13</v>
      </c>
      <c r="O573" s="2" t="s">
        <v>13</v>
      </c>
    </row>
    <row r="574" spans="1:15" x14ac:dyDescent="0.25">
      <c r="A574" s="4" t="s">
        <v>226</v>
      </c>
      <c r="B574" s="1">
        <v>2</v>
      </c>
      <c r="C574" s="1" t="s">
        <v>227</v>
      </c>
      <c r="D574" s="1" t="s">
        <v>12</v>
      </c>
      <c r="E574" s="1">
        <v>3</v>
      </c>
      <c r="F574" s="1">
        <v>107</v>
      </c>
      <c r="G574" s="1">
        <v>136</v>
      </c>
      <c r="H574" s="1">
        <v>24</v>
      </c>
      <c r="I574" s="2">
        <v>2.3720845624385447</v>
      </c>
      <c r="J574" s="3">
        <v>16.649518966674805</v>
      </c>
      <c r="K574" s="2">
        <v>5.3803159173751762</v>
      </c>
      <c r="L574" s="2">
        <v>0.39494066912877052</v>
      </c>
      <c r="M574" s="2">
        <v>0.12762564328648032</v>
      </c>
      <c r="N574" s="2" t="s">
        <v>13</v>
      </c>
      <c r="O574" s="2" t="s">
        <v>13</v>
      </c>
    </row>
    <row r="575" spans="1:15" x14ac:dyDescent="0.25">
      <c r="A575" s="4" t="s">
        <v>228</v>
      </c>
      <c r="B575" s="1">
        <v>2</v>
      </c>
      <c r="C575" s="1" t="s">
        <v>229</v>
      </c>
      <c r="D575" s="1" t="s">
        <v>12</v>
      </c>
      <c r="E575" s="1">
        <v>1</v>
      </c>
      <c r="F575" s="1">
        <v>109</v>
      </c>
      <c r="G575" s="1">
        <v>115</v>
      </c>
      <c r="H575" s="1">
        <v>96</v>
      </c>
      <c r="I575" s="2">
        <v>2.2776660156249999</v>
      </c>
      <c r="J575" s="3">
        <v>14.801277160644531</v>
      </c>
      <c r="K575" s="2">
        <v>4.5562101603247873</v>
      </c>
      <c r="L575" s="2">
        <v>0.33712365976646547</v>
      </c>
      <c r="M575" s="2">
        <v>0.10377525042217101</v>
      </c>
      <c r="N575" s="2" t="s">
        <v>13</v>
      </c>
      <c r="O575" s="2" t="s">
        <v>13</v>
      </c>
    </row>
    <row r="576" spans="1:15" x14ac:dyDescent="0.25">
      <c r="A576" s="4" t="s">
        <v>228</v>
      </c>
      <c r="B576" s="1">
        <v>2</v>
      </c>
      <c r="C576" s="1" t="s">
        <v>229</v>
      </c>
      <c r="D576" s="1" t="s">
        <v>12</v>
      </c>
      <c r="E576" s="1">
        <v>2</v>
      </c>
      <c r="F576" s="1">
        <v>104</v>
      </c>
      <c r="G576" s="1">
        <v>117</v>
      </c>
      <c r="H576" s="1">
        <v>108</v>
      </c>
      <c r="I576" s="2">
        <v>2.1614683301343569</v>
      </c>
      <c r="J576" s="3">
        <v>14.348409652709961</v>
      </c>
      <c r="K576" s="2">
        <v>3.7759377494020288</v>
      </c>
      <c r="L576" s="2">
        <v>0.31013633052126688</v>
      </c>
      <c r="M576" s="2">
        <v>8.1615698618912852E-2</v>
      </c>
      <c r="N576" s="2" t="s">
        <v>13</v>
      </c>
      <c r="O576" s="2" t="s">
        <v>13</v>
      </c>
    </row>
    <row r="577" spans="1:15" x14ac:dyDescent="0.25">
      <c r="A577" s="4" t="s">
        <v>228</v>
      </c>
      <c r="B577" s="1">
        <v>2</v>
      </c>
      <c r="C577" s="1" t="s">
        <v>229</v>
      </c>
      <c r="D577" s="1" t="s">
        <v>12</v>
      </c>
      <c r="E577" s="1">
        <v>3</v>
      </c>
      <c r="F577" s="5">
        <v>109</v>
      </c>
      <c r="G577" s="1">
        <v>118</v>
      </c>
      <c r="H577" s="1">
        <v>84</v>
      </c>
      <c r="I577" s="2">
        <v>2.3640217391304352</v>
      </c>
      <c r="J577" s="3">
        <v>12.881673812866211</v>
      </c>
      <c r="K577" s="2">
        <v>3.6786902020976933</v>
      </c>
      <c r="L577" s="2">
        <v>0.30452556930002966</v>
      </c>
      <c r="M577" s="2">
        <v>8.6965036092850806E-2</v>
      </c>
      <c r="N577" s="2" t="s">
        <v>13</v>
      </c>
      <c r="O577" s="2" t="s">
        <v>13</v>
      </c>
    </row>
    <row r="578" spans="1:15" x14ac:dyDescent="0.25">
      <c r="A578" s="4" t="s">
        <v>230</v>
      </c>
      <c r="B578" s="1">
        <v>2</v>
      </c>
      <c r="C578" s="1" t="s">
        <v>231</v>
      </c>
      <c r="D578" s="1" t="s">
        <v>12</v>
      </c>
      <c r="E578" s="1">
        <v>1</v>
      </c>
      <c r="F578" s="1">
        <v>88</v>
      </c>
      <c r="G578" s="1">
        <v>85</v>
      </c>
      <c r="H578" s="1">
        <v>108</v>
      </c>
      <c r="I578" s="2">
        <v>2.0974280039721944</v>
      </c>
      <c r="J578" s="3">
        <v>15.348878860473633</v>
      </c>
      <c r="K578" s="2">
        <v>4.1603393834210367</v>
      </c>
      <c r="L578" s="2">
        <v>0.32193168351534224</v>
      </c>
      <c r="M578" s="2">
        <v>8.7260123288156952E-2</v>
      </c>
      <c r="N578" s="2" t="s">
        <v>13</v>
      </c>
      <c r="O578" s="2" t="s">
        <v>13</v>
      </c>
    </row>
    <row r="579" spans="1:15" x14ac:dyDescent="0.25">
      <c r="A579" s="4" t="s">
        <v>230</v>
      </c>
      <c r="B579" s="1">
        <v>2</v>
      </c>
      <c r="C579" s="1" t="s">
        <v>231</v>
      </c>
      <c r="D579" s="1" t="s">
        <v>12</v>
      </c>
      <c r="E579" s="1">
        <v>2</v>
      </c>
      <c r="F579" s="1">
        <v>88</v>
      </c>
      <c r="G579" s="1">
        <v>90</v>
      </c>
      <c r="H579" s="1">
        <v>96</v>
      </c>
      <c r="I579" s="2">
        <v>2.5147311827956988</v>
      </c>
      <c r="J579" s="3">
        <v>16.386676788330078</v>
      </c>
      <c r="K579" s="2">
        <v>4.5325176220242254</v>
      </c>
      <c r="L579" s="2">
        <v>0.41208087102008123</v>
      </c>
      <c r="M579" s="2">
        <v>0.11398063400675329</v>
      </c>
      <c r="N579" s="2" t="s">
        <v>13</v>
      </c>
      <c r="O579" s="2" t="s">
        <v>13</v>
      </c>
    </row>
    <row r="580" spans="1:15" x14ac:dyDescent="0.25">
      <c r="A580" s="4" t="s">
        <v>230</v>
      </c>
      <c r="B580" s="1">
        <v>2</v>
      </c>
      <c r="C580" s="1" t="s">
        <v>231</v>
      </c>
      <c r="D580" s="1" t="s">
        <v>12</v>
      </c>
      <c r="E580" s="1">
        <v>3</v>
      </c>
      <c r="F580" s="1">
        <v>90</v>
      </c>
      <c r="G580" s="1">
        <v>93</v>
      </c>
      <c r="H580" s="1">
        <v>84</v>
      </c>
      <c r="I580" s="2">
        <v>2.1570705064548163</v>
      </c>
      <c r="J580" s="3">
        <v>17.29755973815918</v>
      </c>
      <c r="K580" s="2">
        <v>4.3511781429190561</v>
      </c>
      <c r="L580" s="2">
        <v>0.37312055944823463</v>
      </c>
      <c r="M580" s="2">
        <v>9.3857980404215363E-2</v>
      </c>
      <c r="N580" s="2" t="s">
        <v>13</v>
      </c>
      <c r="O580" s="2" t="s">
        <v>13</v>
      </c>
    </row>
    <row r="581" spans="1:15" x14ac:dyDescent="0.25">
      <c r="A581" s="4" t="s">
        <v>230</v>
      </c>
      <c r="B581" s="1">
        <v>2</v>
      </c>
      <c r="C581" s="1" t="s">
        <v>232</v>
      </c>
      <c r="D581" s="1" t="s">
        <v>12</v>
      </c>
      <c r="E581" s="1">
        <v>1</v>
      </c>
      <c r="F581" s="1">
        <v>90</v>
      </c>
      <c r="G581" s="1">
        <v>94</v>
      </c>
      <c r="H581" s="1">
        <v>96</v>
      </c>
      <c r="I581" s="2">
        <v>2.7925736738703337</v>
      </c>
      <c r="J581" s="3">
        <v>19.049375534057617</v>
      </c>
      <c r="K581" s="2">
        <v>5.12113306000726</v>
      </c>
      <c r="L581" s="2">
        <v>0.5319678462007893</v>
      </c>
      <c r="M581" s="2">
        <v>0.14301141363763298</v>
      </c>
      <c r="N581" s="2" t="s">
        <v>13</v>
      </c>
      <c r="O581" s="2" t="s">
        <v>13</v>
      </c>
    </row>
    <row r="582" spans="1:15" x14ac:dyDescent="0.25">
      <c r="A582" s="4" t="s">
        <v>230</v>
      </c>
      <c r="B582" s="1">
        <v>2</v>
      </c>
      <c r="C582" s="1" t="s">
        <v>232</v>
      </c>
      <c r="D582" s="1" t="s">
        <v>12</v>
      </c>
      <c r="E582" s="1">
        <v>2</v>
      </c>
      <c r="F582" s="1">
        <v>91</v>
      </c>
      <c r="G582" s="1">
        <v>76</v>
      </c>
      <c r="H582" s="1">
        <v>108</v>
      </c>
      <c r="I582" s="2">
        <v>2.8304137931034483</v>
      </c>
      <c r="J582" s="3">
        <v>19.29570198059082</v>
      </c>
      <c r="K582" s="2">
        <v>4.8004822182041131</v>
      </c>
      <c r="L582" s="2">
        <v>0.54614821033477789</v>
      </c>
      <c r="M582" s="2">
        <v>0.13587351083952759</v>
      </c>
      <c r="N582" s="2" t="s">
        <v>13</v>
      </c>
      <c r="O582" s="2" t="s">
        <v>13</v>
      </c>
    </row>
    <row r="583" spans="1:15" x14ac:dyDescent="0.25">
      <c r="A583" s="4" t="s">
        <v>230</v>
      </c>
      <c r="B583" s="1">
        <v>2</v>
      </c>
      <c r="C583" s="1" t="s">
        <v>232</v>
      </c>
      <c r="D583" s="1" t="s">
        <v>12</v>
      </c>
      <c r="E583" s="1">
        <v>3</v>
      </c>
      <c r="F583" s="1">
        <v>94</v>
      </c>
      <c r="G583" s="1">
        <v>86</v>
      </c>
      <c r="H583" s="1">
        <v>60</v>
      </c>
      <c r="I583" s="2">
        <v>2.753241650294695</v>
      </c>
      <c r="J583" s="3">
        <v>18.286844253540039</v>
      </c>
      <c r="K583" s="2">
        <v>4.9974434188217414</v>
      </c>
      <c r="L583" s="2">
        <v>0.50348101251298638</v>
      </c>
      <c r="M583" s="2">
        <v>0.13759169365691135</v>
      </c>
      <c r="N583" s="2" t="s">
        <v>13</v>
      </c>
      <c r="O583" s="2" t="s">
        <v>13</v>
      </c>
    </row>
    <row r="584" spans="1:15" x14ac:dyDescent="0.25">
      <c r="A584" s="4" t="s">
        <v>233</v>
      </c>
      <c r="B584" s="1">
        <v>1</v>
      </c>
      <c r="C584" s="1" t="s">
        <v>234</v>
      </c>
      <c r="D584" s="1" t="s">
        <v>12</v>
      </c>
      <c r="E584" s="1">
        <v>1</v>
      </c>
      <c r="F584" s="1">
        <v>162</v>
      </c>
      <c r="G584" s="1">
        <v>129</v>
      </c>
      <c r="H584" s="1">
        <v>108</v>
      </c>
      <c r="I584" s="2" t="s">
        <v>13</v>
      </c>
      <c r="J584" s="2" t="s">
        <v>13</v>
      </c>
      <c r="K584" s="2" t="s">
        <v>13</v>
      </c>
      <c r="L584" s="2" t="s">
        <v>13</v>
      </c>
      <c r="M584" s="2" t="s">
        <v>13</v>
      </c>
      <c r="N584" s="2" t="s">
        <v>13</v>
      </c>
      <c r="O584" s="2" t="s">
        <v>13</v>
      </c>
    </row>
    <row r="585" spans="1:15" x14ac:dyDescent="0.25">
      <c r="A585" s="4" t="s">
        <v>233</v>
      </c>
      <c r="B585" s="1">
        <v>1</v>
      </c>
      <c r="C585" s="1" t="s">
        <v>234</v>
      </c>
      <c r="D585" s="1" t="s">
        <v>12</v>
      </c>
      <c r="E585" s="1">
        <v>2</v>
      </c>
      <c r="F585" s="1">
        <v>159</v>
      </c>
      <c r="G585" s="1">
        <v>123</v>
      </c>
      <c r="H585" s="1">
        <v>60</v>
      </c>
      <c r="I585" s="2" t="s">
        <v>13</v>
      </c>
      <c r="J585" s="2" t="s">
        <v>13</v>
      </c>
      <c r="K585" s="2" t="s">
        <v>13</v>
      </c>
      <c r="L585" s="2" t="s">
        <v>13</v>
      </c>
      <c r="M585" s="2" t="s">
        <v>13</v>
      </c>
      <c r="N585" s="2" t="s">
        <v>13</v>
      </c>
      <c r="O585" s="2" t="s">
        <v>13</v>
      </c>
    </row>
    <row r="586" spans="1:15" x14ac:dyDescent="0.25">
      <c r="A586" s="4" t="s">
        <v>233</v>
      </c>
      <c r="B586" s="1">
        <v>1</v>
      </c>
      <c r="C586" s="1" t="s">
        <v>234</v>
      </c>
      <c r="D586" s="1" t="s">
        <v>12</v>
      </c>
      <c r="E586" s="1">
        <v>3</v>
      </c>
      <c r="F586" s="1">
        <v>163</v>
      </c>
      <c r="G586" s="1">
        <v>121</v>
      </c>
      <c r="H586" s="1">
        <v>72</v>
      </c>
      <c r="I586" s="2" t="s">
        <v>13</v>
      </c>
      <c r="J586" s="2" t="s">
        <v>13</v>
      </c>
      <c r="K586" s="2" t="s">
        <v>13</v>
      </c>
      <c r="L586" s="2" t="s">
        <v>13</v>
      </c>
      <c r="M586" s="2" t="s">
        <v>13</v>
      </c>
      <c r="N586" s="2" t="s">
        <v>13</v>
      </c>
      <c r="O586" s="2" t="s">
        <v>13</v>
      </c>
    </row>
    <row r="587" spans="1:15" x14ac:dyDescent="0.25">
      <c r="A587" s="4" t="s">
        <v>216</v>
      </c>
      <c r="B587" s="1">
        <v>1</v>
      </c>
      <c r="C587" s="1" t="s">
        <v>235</v>
      </c>
      <c r="D587" s="1" t="s">
        <v>12</v>
      </c>
      <c r="E587" s="1">
        <v>1</v>
      </c>
      <c r="F587" s="1">
        <v>137</v>
      </c>
      <c r="G587" s="1">
        <v>116</v>
      </c>
      <c r="H587" s="5">
        <v>78</v>
      </c>
      <c r="I587" s="2" t="s">
        <v>13</v>
      </c>
      <c r="J587" s="2" t="s">
        <v>13</v>
      </c>
      <c r="K587" s="2" t="s">
        <v>13</v>
      </c>
      <c r="L587" s="2" t="s">
        <v>13</v>
      </c>
      <c r="M587" s="2" t="s">
        <v>13</v>
      </c>
      <c r="N587" s="2" t="s">
        <v>13</v>
      </c>
      <c r="O587" s="2" t="s">
        <v>13</v>
      </c>
    </row>
    <row r="588" spans="1:15" x14ac:dyDescent="0.25">
      <c r="A588" s="4" t="s">
        <v>216</v>
      </c>
      <c r="B588" s="1">
        <v>1</v>
      </c>
      <c r="C588" s="1" t="s">
        <v>235</v>
      </c>
      <c r="D588" s="1" t="s">
        <v>12</v>
      </c>
      <c r="E588" s="1">
        <v>2</v>
      </c>
      <c r="F588" s="1">
        <v>139</v>
      </c>
      <c r="G588" s="1">
        <v>128</v>
      </c>
      <c r="H588" s="1">
        <v>84</v>
      </c>
      <c r="I588" s="2" t="s">
        <v>13</v>
      </c>
      <c r="J588" s="2" t="s">
        <v>13</v>
      </c>
      <c r="K588" s="2" t="s">
        <v>13</v>
      </c>
      <c r="L588" s="2" t="s">
        <v>13</v>
      </c>
      <c r="M588" s="2" t="s">
        <v>13</v>
      </c>
      <c r="N588" s="2" t="s">
        <v>13</v>
      </c>
      <c r="O588" s="2" t="s">
        <v>13</v>
      </c>
    </row>
    <row r="589" spans="1:15" x14ac:dyDescent="0.25">
      <c r="A589" s="4" t="s">
        <v>216</v>
      </c>
      <c r="B589" s="1">
        <v>1</v>
      </c>
      <c r="C589" s="1" t="s">
        <v>235</v>
      </c>
      <c r="D589" s="1" t="s">
        <v>12</v>
      </c>
      <c r="E589" s="1">
        <v>3</v>
      </c>
      <c r="F589" s="1">
        <v>154</v>
      </c>
      <c r="G589" s="1">
        <v>150</v>
      </c>
      <c r="H589" s="1">
        <v>84</v>
      </c>
      <c r="I589" s="2" t="s">
        <v>13</v>
      </c>
      <c r="J589" s="2" t="s">
        <v>13</v>
      </c>
      <c r="K589" s="2" t="s">
        <v>13</v>
      </c>
      <c r="L589" s="2" t="s">
        <v>13</v>
      </c>
      <c r="M589" s="2" t="s">
        <v>13</v>
      </c>
      <c r="N589" s="2" t="s">
        <v>13</v>
      </c>
      <c r="O589" s="2" t="s">
        <v>13</v>
      </c>
    </row>
    <row r="590" spans="1:15" x14ac:dyDescent="0.25">
      <c r="A590" s="4" t="s">
        <v>224</v>
      </c>
      <c r="B590" s="1">
        <v>1</v>
      </c>
      <c r="C590" s="1" t="s">
        <v>236</v>
      </c>
      <c r="D590" s="1" t="s">
        <v>12</v>
      </c>
      <c r="E590" s="1">
        <v>1</v>
      </c>
      <c r="F590" s="1">
        <v>153</v>
      </c>
      <c r="G590" s="1">
        <v>126</v>
      </c>
      <c r="H590" s="5">
        <v>84</v>
      </c>
      <c r="I590" s="2" t="s">
        <v>13</v>
      </c>
      <c r="J590" s="2" t="s">
        <v>13</v>
      </c>
      <c r="K590" s="2" t="s">
        <v>13</v>
      </c>
      <c r="L590" s="2" t="s">
        <v>13</v>
      </c>
      <c r="M590" s="2" t="s">
        <v>13</v>
      </c>
      <c r="N590" s="2" t="s">
        <v>13</v>
      </c>
      <c r="O590" s="2" t="s">
        <v>13</v>
      </c>
    </row>
    <row r="591" spans="1:15" x14ac:dyDescent="0.25">
      <c r="A591" s="4" t="s">
        <v>224</v>
      </c>
      <c r="B591" s="1">
        <v>1</v>
      </c>
      <c r="C591" s="1" t="s">
        <v>236</v>
      </c>
      <c r="D591" s="1" t="s">
        <v>12</v>
      </c>
      <c r="E591" s="1">
        <v>2</v>
      </c>
      <c r="F591" s="1">
        <v>139</v>
      </c>
      <c r="G591" s="1">
        <v>116</v>
      </c>
      <c r="H591" s="1">
        <v>84</v>
      </c>
      <c r="I591" s="2" t="s">
        <v>13</v>
      </c>
      <c r="J591" s="2" t="s">
        <v>13</v>
      </c>
      <c r="K591" s="2" t="s">
        <v>13</v>
      </c>
      <c r="L591" s="2" t="s">
        <v>13</v>
      </c>
      <c r="M591" s="2" t="s">
        <v>13</v>
      </c>
      <c r="N591" s="2" t="s">
        <v>13</v>
      </c>
      <c r="O591" s="2" t="s">
        <v>13</v>
      </c>
    </row>
    <row r="592" spans="1:15" x14ac:dyDescent="0.25">
      <c r="A592" s="4" t="s">
        <v>224</v>
      </c>
      <c r="B592" s="1">
        <v>1</v>
      </c>
      <c r="C592" s="1" t="s">
        <v>236</v>
      </c>
      <c r="D592" s="1" t="s">
        <v>12</v>
      </c>
      <c r="E592" s="1">
        <v>3</v>
      </c>
      <c r="F592" s="1">
        <v>139</v>
      </c>
      <c r="G592" s="1">
        <v>121</v>
      </c>
      <c r="H592" s="1">
        <v>84</v>
      </c>
      <c r="I592" s="2" t="s">
        <v>13</v>
      </c>
      <c r="J592" s="2" t="s">
        <v>13</v>
      </c>
      <c r="K592" s="2" t="s">
        <v>13</v>
      </c>
      <c r="L592" s="2" t="s">
        <v>13</v>
      </c>
      <c r="M592" s="2" t="s">
        <v>13</v>
      </c>
      <c r="N592" s="2" t="s">
        <v>13</v>
      </c>
      <c r="O592" s="2" t="s">
        <v>13</v>
      </c>
    </row>
    <row r="593" spans="1:15" x14ac:dyDescent="0.25">
      <c r="A593" s="4" t="s">
        <v>14</v>
      </c>
      <c r="B593" s="1">
        <v>1</v>
      </c>
      <c r="C593" s="1" t="s">
        <v>237</v>
      </c>
      <c r="D593" s="1" t="s">
        <v>12</v>
      </c>
      <c r="E593" s="1">
        <v>1</v>
      </c>
      <c r="F593" s="5">
        <v>0</v>
      </c>
      <c r="G593" s="1">
        <v>117</v>
      </c>
      <c r="H593" s="1">
        <v>96</v>
      </c>
      <c r="I593" s="2" t="s">
        <v>13</v>
      </c>
      <c r="J593" s="2" t="s">
        <v>13</v>
      </c>
      <c r="K593" s="2" t="s">
        <v>13</v>
      </c>
      <c r="L593" s="2" t="s">
        <v>13</v>
      </c>
      <c r="M593" s="2" t="s">
        <v>13</v>
      </c>
      <c r="N593" s="2" t="s">
        <v>13</v>
      </c>
      <c r="O593" s="2" t="s">
        <v>13</v>
      </c>
    </row>
    <row r="594" spans="1:15" x14ac:dyDescent="0.25">
      <c r="A594" s="4" t="s">
        <v>14</v>
      </c>
      <c r="B594" s="1">
        <v>1</v>
      </c>
      <c r="C594" s="1" t="s">
        <v>237</v>
      </c>
      <c r="D594" s="1" t="s">
        <v>12</v>
      </c>
      <c r="E594" s="1">
        <v>2</v>
      </c>
      <c r="F594" s="5">
        <v>0</v>
      </c>
      <c r="G594" s="1">
        <v>100</v>
      </c>
      <c r="H594" s="1">
        <v>84</v>
      </c>
      <c r="I594" s="2" t="s">
        <v>13</v>
      </c>
      <c r="J594" s="2" t="s">
        <v>13</v>
      </c>
      <c r="K594" s="2" t="s">
        <v>13</v>
      </c>
      <c r="L594" s="2" t="s">
        <v>13</v>
      </c>
      <c r="M594" s="2" t="s">
        <v>13</v>
      </c>
      <c r="N594" s="2" t="s">
        <v>13</v>
      </c>
      <c r="O594" s="2" t="s">
        <v>13</v>
      </c>
    </row>
    <row r="595" spans="1:15" x14ac:dyDescent="0.25">
      <c r="A595" s="4" t="s">
        <v>14</v>
      </c>
      <c r="B595" s="1">
        <v>1</v>
      </c>
      <c r="C595" s="1" t="s">
        <v>237</v>
      </c>
      <c r="D595" s="1" t="s">
        <v>12</v>
      </c>
      <c r="E595" s="1">
        <v>3</v>
      </c>
      <c r="F595" s="5">
        <v>0</v>
      </c>
      <c r="G595" s="1">
        <v>122</v>
      </c>
      <c r="H595" s="1">
        <v>48</v>
      </c>
      <c r="I595" s="2" t="s">
        <v>13</v>
      </c>
      <c r="J595" s="2" t="s">
        <v>13</v>
      </c>
      <c r="K595" s="2" t="s">
        <v>13</v>
      </c>
      <c r="L595" s="2" t="s">
        <v>13</v>
      </c>
      <c r="M595" s="2" t="s">
        <v>13</v>
      </c>
      <c r="N595" s="2" t="s">
        <v>13</v>
      </c>
      <c r="O595" s="2" t="s">
        <v>13</v>
      </c>
    </row>
    <row r="596" spans="1:15" x14ac:dyDescent="0.25">
      <c r="A596" s="4" t="s">
        <v>224</v>
      </c>
      <c r="B596" s="1">
        <v>1</v>
      </c>
      <c r="C596" s="1" t="s">
        <v>238</v>
      </c>
      <c r="D596" s="1" t="s">
        <v>12</v>
      </c>
      <c r="E596" s="1">
        <v>1</v>
      </c>
      <c r="F596" s="1">
        <v>121</v>
      </c>
      <c r="G596" s="1">
        <v>109</v>
      </c>
      <c r="H596" s="1">
        <v>84</v>
      </c>
      <c r="I596" s="2">
        <v>2.8261204343534057</v>
      </c>
      <c r="J596" s="3">
        <v>16.703241348266602</v>
      </c>
      <c r="K596" s="2">
        <v>4.2201393895698844</v>
      </c>
      <c r="L596" s="2">
        <v>0.47205371694272968</v>
      </c>
      <c r="M596" s="2">
        <v>0.11926622164683158</v>
      </c>
      <c r="N596" s="2" t="s">
        <v>13</v>
      </c>
      <c r="O596" s="2" t="s">
        <v>13</v>
      </c>
    </row>
    <row r="597" spans="1:15" x14ac:dyDescent="0.25">
      <c r="A597" s="4" t="s">
        <v>224</v>
      </c>
      <c r="B597" s="1">
        <v>1</v>
      </c>
      <c r="C597" s="1" t="s">
        <v>238</v>
      </c>
      <c r="D597" s="1" t="s">
        <v>12</v>
      </c>
      <c r="E597" s="1">
        <v>2</v>
      </c>
      <c r="F597" s="1">
        <v>122</v>
      </c>
      <c r="G597" s="1">
        <v>115</v>
      </c>
      <c r="H597" s="1">
        <v>60</v>
      </c>
      <c r="I597" s="2">
        <v>2.7264591439688717</v>
      </c>
      <c r="J597" s="3">
        <v>14.271062850952148</v>
      </c>
      <c r="K597" s="2">
        <v>3.6334951456309641</v>
      </c>
      <c r="L597" s="2">
        <v>0.38909469804132962</v>
      </c>
      <c r="M597" s="2">
        <v>9.9065760643720482E-2</v>
      </c>
      <c r="N597" s="2" t="s">
        <v>13</v>
      </c>
      <c r="O597" s="2" t="s">
        <v>13</v>
      </c>
    </row>
    <row r="598" spans="1:15" x14ac:dyDescent="0.25">
      <c r="A598" s="4" t="s">
        <v>224</v>
      </c>
      <c r="B598" s="1">
        <v>1</v>
      </c>
      <c r="C598" s="1" t="s">
        <v>238</v>
      </c>
      <c r="D598" s="1" t="s">
        <v>12</v>
      </c>
      <c r="E598" s="1">
        <v>3</v>
      </c>
      <c r="F598" s="1">
        <v>127</v>
      </c>
      <c r="G598" s="1">
        <v>130</v>
      </c>
      <c r="H598" s="1">
        <v>72</v>
      </c>
      <c r="I598" s="2">
        <v>2.9537704918032786</v>
      </c>
      <c r="J598" s="3">
        <v>16.07227897644043</v>
      </c>
      <c r="K598" s="2">
        <v>3.7964283125109111</v>
      </c>
      <c r="L598" s="2">
        <v>0.4747382337663994</v>
      </c>
      <c r="M598" s="2">
        <v>0.11213777923741244</v>
      </c>
      <c r="N598" s="2" t="s">
        <v>13</v>
      </c>
      <c r="O598" s="2" t="s">
        <v>13</v>
      </c>
    </row>
    <row r="599" spans="1:15" x14ac:dyDescent="0.25">
      <c r="A599" s="4" t="s">
        <v>224</v>
      </c>
      <c r="B599" s="1">
        <v>1</v>
      </c>
      <c r="C599" s="1" t="s">
        <v>239</v>
      </c>
      <c r="D599" s="1" t="s">
        <v>12</v>
      </c>
      <c r="E599" s="1">
        <v>1</v>
      </c>
      <c r="F599" s="1">
        <v>136</v>
      </c>
      <c r="G599" s="1">
        <v>127</v>
      </c>
      <c r="H599" s="1">
        <v>132</v>
      </c>
      <c r="I599" s="2">
        <v>2.5248659384309833</v>
      </c>
      <c r="J599" s="3">
        <v>17.917654037475586</v>
      </c>
      <c r="K599" s="2" t="s">
        <v>13</v>
      </c>
      <c r="L599" s="2">
        <v>0.45239674375812494</v>
      </c>
      <c r="M599" s="2" t="s">
        <v>13</v>
      </c>
      <c r="N599" s="2" t="s">
        <v>13</v>
      </c>
      <c r="O599" s="2" t="s">
        <v>13</v>
      </c>
    </row>
    <row r="600" spans="1:15" x14ac:dyDescent="0.25">
      <c r="A600" s="4" t="s">
        <v>224</v>
      </c>
      <c r="B600" s="1">
        <v>1</v>
      </c>
      <c r="C600" s="1" t="s">
        <v>239</v>
      </c>
      <c r="D600" s="1" t="s">
        <v>12</v>
      </c>
      <c r="E600" s="1">
        <v>2</v>
      </c>
      <c r="F600" s="1">
        <v>140</v>
      </c>
      <c r="G600" s="1">
        <v>128</v>
      </c>
      <c r="H600" s="1">
        <v>84</v>
      </c>
      <c r="I600" s="2">
        <v>2.0138461538461536</v>
      </c>
      <c r="J600" s="3">
        <v>17.567590713500977</v>
      </c>
      <c r="K600" s="2" t="s">
        <v>13</v>
      </c>
      <c r="L600" s="2">
        <v>0.35378424990727347</v>
      </c>
      <c r="M600" s="2" t="s">
        <v>13</v>
      </c>
      <c r="N600" s="2" t="s">
        <v>13</v>
      </c>
      <c r="O600" s="2" t="s">
        <v>13</v>
      </c>
    </row>
    <row r="601" spans="1:15" x14ac:dyDescent="0.25">
      <c r="A601" s="4" t="s">
        <v>224</v>
      </c>
      <c r="B601" s="1">
        <v>1</v>
      </c>
      <c r="C601" s="1" t="s">
        <v>239</v>
      </c>
      <c r="D601" s="1" t="s">
        <v>12</v>
      </c>
      <c r="E601" s="1">
        <v>3</v>
      </c>
      <c r="F601" s="1">
        <v>138</v>
      </c>
      <c r="G601" s="1">
        <v>128</v>
      </c>
      <c r="H601" s="1">
        <v>84</v>
      </c>
      <c r="I601" s="2">
        <v>2.5</v>
      </c>
      <c r="J601" s="3">
        <v>13.980277061462402</v>
      </c>
      <c r="K601" s="2" t="s">
        <v>13</v>
      </c>
      <c r="L601" s="2">
        <v>0.34950692653656001</v>
      </c>
      <c r="M601" s="2" t="s">
        <v>13</v>
      </c>
      <c r="N601" s="2" t="s">
        <v>13</v>
      </c>
      <c r="O601" s="2" t="s">
        <v>13</v>
      </c>
    </row>
    <row r="602" spans="1:15" x14ac:dyDescent="0.25">
      <c r="A602" s="4" t="s">
        <v>230</v>
      </c>
      <c r="B602" s="1">
        <v>2</v>
      </c>
      <c r="C602" s="1" t="s">
        <v>240</v>
      </c>
      <c r="D602" s="1" t="s">
        <v>12</v>
      </c>
      <c r="E602" s="1">
        <v>1</v>
      </c>
      <c r="F602" s="1">
        <v>93</v>
      </c>
      <c r="G602" s="1">
        <v>125</v>
      </c>
      <c r="H602" s="1">
        <v>60</v>
      </c>
      <c r="I602" s="2">
        <v>2.3941240157480315</v>
      </c>
      <c r="J602" s="3">
        <v>13.939361572265625</v>
      </c>
      <c r="K602" s="2">
        <v>4.4035031769003812</v>
      </c>
      <c r="L602" s="2">
        <v>0.33372560304356369</v>
      </c>
      <c r="M602" s="2">
        <v>0.10542532709239956</v>
      </c>
      <c r="N602" s="2" t="s">
        <v>13</v>
      </c>
      <c r="O602" s="2" t="s">
        <v>13</v>
      </c>
    </row>
    <row r="603" spans="1:15" x14ac:dyDescent="0.25">
      <c r="A603" s="4" t="s">
        <v>230</v>
      </c>
      <c r="B603" s="1">
        <v>2</v>
      </c>
      <c r="C603" s="1" t="s">
        <v>240</v>
      </c>
      <c r="D603" s="1" t="s">
        <v>12</v>
      </c>
      <c r="E603" s="1">
        <v>2</v>
      </c>
      <c r="F603" s="1">
        <v>94</v>
      </c>
      <c r="G603" s="1">
        <v>110</v>
      </c>
      <c r="H603" s="5">
        <v>48</v>
      </c>
      <c r="I603" s="2">
        <v>2.1747916666666662</v>
      </c>
      <c r="J603" s="3">
        <v>18.347845077514648</v>
      </c>
      <c r="K603" s="2">
        <v>4.7693028531971322</v>
      </c>
      <c r="L603" s="2">
        <v>0.39902740575869872</v>
      </c>
      <c r="M603" s="2">
        <v>0.10372240100942677</v>
      </c>
      <c r="N603" s="2" t="s">
        <v>13</v>
      </c>
      <c r="O603" s="2" t="s">
        <v>13</v>
      </c>
    </row>
    <row r="604" spans="1:15" x14ac:dyDescent="0.25">
      <c r="A604" s="4" t="s">
        <v>230</v>
      </c>
      <c r="B604" s="1">
        <v>2</v>
      </c>
      <c r="C604" s="1" t="s">
        <v>240</v>
      </c>
      <c r="D604" s="1" t="s">
        <v>12</v>
      </c>
      <c r="E604" s="1">
        <v>3</v>
      </c>
      <c r="F604" s="1">
        <v>92</v>
      </c>
      <c r="G604" s="1">
        <v>116</v>
      </c>
      <c r="H604" s="1">
        <v>36</v>
      </c>
      <c r="I604" s="2">
        <v>2.3310958904109587</v>
      </c>
      <c r="J604" s="3">
        <v>16.334341049194336</v>
      </c>
      <c r="K604" s="2">
        <v>4.583407354769899</v>
      </c>
      <c r="L604" s="2">
        <v>0.38076915292347946</v>
      </c>
      <c r="M604" s="2">
        <v>0.10684362048783475</v>
      </c>
      <c r="N604" s="2" t="s">
        <v>13</v>
      </c>
      <c r="O604" s="2" t="s">
        <v>13</v>
      </c>
    </row>
    <row r="605" spans="1:15" x14ac:dyDescent="0.25">
      <c r="A605" s="4" t="s">
        <v>230</v>
      </c>
      <c r="B605" s="1">
        <v>2</v>
      </c>
      <c r="C605" s="1" t="s">
        <v>241</v>
      </c>
      <c r="D605" s="1" t="s">
        <v>12</v>
      </c>
      <c r="E605" s="1">
        <v>1</v>
      </c>
      <c r="F605" s="1">
        <v>84</v>
      </c>
      <c r="G605" s="1">
        <v>99</v>
      </c>
      <c r="H605" s="5">
        <v>48</v>
      </c>
      <c r="I605" s="2" t="s">
        <v>13</v>
      </c>
      <c r="J605" s="2" t="s">
        <v>13</v>
      </c>
      <c r="K605" s="2" t="s">
        <v>13</v>
      </c>
      <c r="L605" s="2" t="s">
        <v>13</v>
      </c>
      <c r="M605" s="2" t="s">
        <v>13</v>
      </c>
      <c r="N605" s="2" t="s">
        <v>13</v>
      </c>
      <c r="O605" s="2" t="s">
        <v>13</v>
      </c>
    </row>
    <row r="606" spans="1:15" x14ac:dyDescent="0.25">
      <c r="A606" s="4" t="s">
        <v>230</v>
      </c>
      <c r="B606" s="1">
        <v>2</v>
      </c>
      <c r="C606" s="1" t="s">
        <v>241</v>
      </c>
      <c r="D606" s="1" t="s">
        <v>12</v>
      </c>
      <c r="E606" s="1">
        <v>2</v>
      </c>
      <c r="F606" s="1">
        <v>85</v>
      </c>
      <c r="G606" s="1">
        <v>98</v>
      </c>
      <c r="H606" s="5">
        <v>48</v>
      </c>
      <c r="I606" s="2" t="s">
        <v>13</v>
      </c>
      <c r="J606" s="2" t="s">
        <v>13</v>
      </c>
      <c r="K606" s="2" t="s">
        <v>13</v>
      </c>
      <c r="L606" s="2" t="s">
        <v>13</v>
      </c>
      <c r="M606" s="2" t="s">
        <v>13</v>
      </c>
      <c r="N606" s="2" t="s">
        <v>13</v>
      </c>
      <c r="O606" s="2" t="s">
        <v>13</v>
      </c>
    </row>
    <row r="607" spans="1:15" x14ac:dyDescent="0.25">
      <c r="A607" s="4" t="s">
        <v>230</v>
      </c>
      <c r="B607" s="1">
        <v>2</v>
      </c>
      <c r="C607" s="1" t="s">
        <v>241</v>
      </c>
      <c r="D607" s="1" t="s">
        <v>12</v>
      </c>
      <c r="E607" s="1">
        <v>3</v>
      </c>
      <c r="F607" s="1">
        <v>84</v>
      </c>
      <c r="G607" s="1">
        <v>87</v>
      </c>
      <c r="H607" s="1">
        <v>60</v>
      </c>
      <c r="I607" s="2" t="s">
        <v>13</v>
      </c>
      <c r="J607" s="2" t="s">
        <v>13</v>
      </c>
      <c r="K607" s="2" t="s">
        <v>13</v>
      </c>
      <c r="L607" s="2" t="s">
        <v>13</v>
      </c>
      <c r="M607" s="2" t="s">
        <v>13</v>
      </c>
      <c r="N607" s="2" t="s">
        <v>13</v>
      </c>
      <c r="O607" s="2" t="s">
        <v>13</v>
      </c>
    </row>
    <row r="608" spans="1:15" x14ac:dyDescent="0.25">
      <c r="A608" s="4" t="s">
        <v>230</v>
      </c>
      <c r="B608" s="1">
        <v>1</v>
      </c>
      <c r="C608" s="1" t="s">
        <v>242</v>
      </c>
      <c r="D608" s="1" t="s">
        <v>12</v>
      </c>
      <c r="E608" s="1">
        <v>1</v>
      </c>
      <c r="F608" s="1">
        <v>113</v>
      </c>
      <c r="G608" s="1">
        <v>114</v>
      </c>
      <c r="H608" s="1">
        <v>96</v>
      </c>
      <c r="I608" s="2">
        <v>2.4756962025316458</v>
      </c>
      <c r="J608" s="3">
        <v>19.31367301940918</v>
      </c>
      <c r="K608" s="2">
        <v>4.3369093814195718</v>
      </c>
      <c r="L608" s="2">
        <v>0.47814786951089211</v>
      </c>
      <c r="M608" s="2">
        <v>0.10736870086304302</v>
      </c>
      <c r="N608" s="2" t="s">
        <v>13</v>
      </c>
      <c r="O608" s="2" t="s">
        <v>13</v>
      </c>
    </row>
    <row r="609" spans="1:15" x14ac:dyDescent="0.25">
      <c r="A609" s="4" t="s">
        <v>230</v>
      </c>
      <c r="B609" s="1">
        <v>1</v>
      </c>
      <c r="C609" s="1" t="s">
        <v>242</v>
      </c>
      <c r="D609" s="1" t="s">
        <v>12</v>
      </c>
      <c r="E609" s="1">
        <v>2</v>
      </c>
      <c r="F609" s="1">
        <v>114</v>
      </c>
      <c r="G609" s="1">
        <v>113</v>
      </c>
      <c r="H609" s="1">
        <v>72</v>
      </c>
      <c r="I609" s="2">
        <v>2.2408974358974358</v>
      </c>
      <c r="J609" s="3">
        <v>21.990085601806641</v>
      </c>
      <c r="K609" s="2">
        <v>4.5779467680607944</v>
      </c>
      <c r="L609" s="2">
        <v>0.49277526440253627</v>
      </c>
      <c r="M609" s="2">
        <v>0.10258709174222387</v>
      </c>
      <c r="N609" s="2" t="s">
        <v>13</v>
      </c>
      <c r="O609" s="2" t="s">
        <v>13</v>
      </c>
    </row>
    <row r="610" spans="1:15" x14ac:dyDescent="0.25">
      <c r="A610" s="4" t="s">
        <v>230</v>
      </c>
      <c r="B610" s="1">
        <v>1</v>
      </c>
      <c r="C610" s="1" t="s">
        <v>242</v>
      </c>
      <c r="D610" s="1" t="s">
        <v>12</v>
      </c>
      <c r="E610" s="1">
        <v>3</v>
      </c>
      <c r="F610" s="1">
        <v>116</v>
      </c>
      <c r="G610" s="1">
        <v>113</v>
      </c>
      <c r="H610" s="1">
        <v>84</v>
      </c>
      <c r="I610" s="2">
        <v>2.367956989247312</v>
      </c>
      <c r="J610" s="3">
        <v>18.11829948425293</v>
      </c>
      <c r="K610" s="2">
        <v>4.6905834134497688</v>
      </c>
      <c r="L610" s="2">
        <v>0.42903353897012697</v>
      </c>
      <c r="M610" s="2">
        <v>0.11107099777525895</v>
      </c>
      <c r="N610" s="2" t="s">
        <v>13</v>
      </c>
      <c r="O610" s="2" t="s">
        <v>13</v>
      </c>
    </row>
    <row r="611" spans="1:15" x14ac:dyDescent="0.25">
      <c r="A611" s="4" t="s">
        <v>230</v>
      </c>
      <c r="B611" s="1">
        <v>1</v>
      </c>
      <c r="C611" s="1" t="s">
        <v>243</v>
      </c>
      <c r="D611" s="1" t="s">
        <v>12</v>
      </c>
      <c r="E611" s="1">
        <v>1</v>
      </c>
      <c r="F611" s="1">
        <v>107</v>
      </c>
      <c r="G611" s="1">
        <v>105</v>
      </c>
      <c r="H611" s="1">
        <v>108</v>
      </c>
      <c r="I611" s="2">
        <v>2.4901480750246789</v>
      </c>
      <c r="J611" s="3">
        <v>18.290252685546875</v>
      </c>
      <c r="K611" s="2">
        <v>4.4037449930023786</v>
      </c>
      <c r="L611" s="2">
        <v>0.45545437516629517</v>
      </c>
      <c r="M611" s="2">
        <v>0.10965977117224442</v>
      </c>
      <c r="N611" s="2" t="s">
        <v>13</v>
      </c>
      <c r="O611" s="2" t="s">
        <v>13</v>
      </c>
    </row>
    <row r="612" spans="1:15" x14ac:dyDescent="0.25">
      <c r="A612" s="4" t="s">
        <v>230</v>
      </c>
      <c r="B612" s="1">
        <v>1</v>
      </c>
      <c r="C612" s="1" t="s">
        <v>243</v>
      </c>
      <c r="D612" s="1" t="s">
        <v>12</v>
      </c>
      <c r="E612" s="1">
        <v>2</v>
      </c>
      <c r="F612" s="1">
        <v>111</v>
      </c>
      <c r="G612" s="1">
        <v>115</v>
      </c>
      <c r="H612" s="1">
        <v>96</v>
      </c>
      <c r="I612" s="2">
        <v>2.529674234945706</v>
      </c>
      <c r="J612" s="3">
        <v>19.117441177368164</v>
      </c>
      <c r="K612" s="2">
        <v>4.3653797628060005</v>
      </c>
      <c r="L612" s="2">
        <v>0.48360898384478346</v>
      </c>
      <c r="M612" s="2">
        <v>0.11042988711723738</v>
      </c>
      <c r="N612" s="2" t="s">
        <v>13</v>
      </c>
      <c r="O612" s="2" t="s">
        <v>13</v>
      </c>
    </row>
    <row r="613" spans="1:15" x14ac:dyDescent="0.25">
      <c r="A613" s="4" t="s">
        <v>230</v>
      </c>
      <c r="B613" s="1">
        <v>1</v>
      </c>
      <c r="C613" s="1" t="s">
        <v>243</v>
      </c>
      <c r="D613" s="1" t="s">
        <v>12</v>
      </c>
      <c r="E613" s="1">
        <v>3</v>
      </c>
      <c r="F613" s="1">
        <v>109</v>
      </c>
      <c r="G613" s="1">
        <v>103</v>
      </c>
      <c r="H613" s="1">
        <v>132</v>
      </c>
      <c r="I613" s="2">
        <v>2.378709990300679</v>
      </c>
      <c r="J613" s="3">
        <v>19.799190521240234</v>
      </c>
      <c r="K613" s="2">
        <v>4.3989002749316706</v>
      </c>
      <c r="L613" s="2">
        <v>0.4709653229274065</v>
      </c>
      <c r="M613" s="2">
        <v>0.10463708030316368</v>
      </c>
      <c r="N613" s="2" t="s">
        <v>13</v>
      </c>
      <c r="O613" s="2" t="s">
        <v>13</v>
      </c>
    </row>
    <row r="614" spans="1:15" x14ac:dyDescent="0.25">
      <c r="A614" s="4" t="s">
        <v>230</v>
      </c>
      <c r="B614" s="1">
        <v>1</v>
      </c>
      <c r="C614" s="1" t="s">
        <v>244</v>
      </c>
      <c r="D614" s="1" t="s">
        <v>12</v>
      </c>
      <c r="E614" s="1">
        <v>1</v>
      </c>
      <c r="F614" s="1">
        <v>104</v>
      </c>
      <c r="G614" s="1">
        <v>108</v>
      </c>
      <c r="H614" s="1">
        <v>72</v>
      </c>
      <c r="I614" s="2">
        <v>2.1242151162790694</v>
      </c>
      <c r="J614" s="3">
        <v>17.183443069458008</v>
      </c>
      <c r="K614" s="2">
        <v>4.7832395692789467</v>
      </c>
      <c r="L614" s="2">
        <v>0.36501329517863512</v>
      </c>
      <c r="M614" s="2">
        <v>0.10160629797846524</v>
      </c>
      <c r="N614" s="2" t="s">
        <v>13</v>
      </c>
      <c r="O614" s="2" t="s">
        <v>13</v>
      </c>
    </row>
    <row r="615" spans="1:15" x14ac:dyDescent="0.25">
      <c r="A615" s="4" t="s">
        <v>230</v>
      </c>
      <c r="B615" s="1">
        <v>1</v>
      </c>
      <c r="C615" s="1" t="s">
        <v>244</v>
      </c>
      <c r="D615" s="1" t="s">
        <v>12</v>
      </c>
      <c r="E615" s="1">
        <v>2</v>
      </c>
      <c r="F615" s="1">
        <v>110</v>
      </c>
      <c r="G615" s="1">
        <v>93</v>
      </c>
      <c r="H615" s="1">
        <v>48</v>
      </c>
      <c r="I615" s="2">
        <v>2.5297819623389497</v>
      </c>
      <c r="J615" s="3">
        <v>16.848136901855469</v>
      </c>
      <c r="K615" s="2">
        <v>4.6600863962163137</v>
      </c>
      <c r="L615" s="2">
        <v>0.42622112833331199</v>
      </c>
      <c r="M615" s="2">
        <v>0.11789002508089151</v>
      </c>
      <c r="N615" s="2" t="s">
        <v>13</v>
      </c>
      <c r="O615" s="2" t="s">
        <v>13</v>
      </c>
    </row>
    <row r="616" spans="1:15" x14ac:dyDescent="0.25">
      <c r="A616" s="4" t="s">
        <v>230</v>
      </c>
      <c r="B616" s="1">
        <v>1</v>
      </c>
      <c r="C616" s="1" t="s">
        <v>244</v>
      </c>
      <c r="D616" s="1" t="s">
        <v>12</v>
      </c>
      <c r="E616" s="1">
        <v>3</v>
      </c>
      <c r="F616" s="1">
        <v>109</v>
      </c>
      <c r="G616" s="1">
        <v>96</v>
      </c>
      <c r="H616" s="1">
        <v>84</v>
      </c>
      <c r="I616" s="2">
        <v>2.6263861386138609</v>
      </c>
      <c r="J616" s="3">
        <v>19.176687240600586</v>
      </c>
      <c r="K616" s="2">
        <v>4.4773457010347633</v>
      </c>
      <c r="L616" s="2">
        <v>0.50365385553246678</v>
      </c>
      <c r="M616" s="2">
        <v>0.11759238686980063</v>
      </c>
      <c r="N616" s="2" t="s">
        <v>13</v>
      </c>
      <c r="O616" s="2" t="s">
        <v>13</v>
      </c>
    </row>
    <row r="617" spans="1:15" x14ac:dyDescent="0.25">
      <c r="A617" s="4" t="s">
        <v>245</v>
      </c>
      <c r="B617" s="1">
        <v>5</v>
      </c>
      <c r="C617" s="1" t="s">
        <v>246</v>
      </c>
      <c r="D617" s="1" t="s">
        <v>12</v>
      </c>
      <c r="E617" s="1">
        <v>1</v>
      </c>
      <c r="F617" s="1">
        <v>128</v>
      </c>
      <c r="G617" s="1">
        <v>124</v>
      </c>
      <c r="H617" s="1">
        <v>120</v>
      </c>
      <c r="I617" s="2">
        <v>1.7578536585365854</v>
      </c>
      <c r="J617" s="3">
        <v>16.493818283081055</v>
      </c>
      <c r="K617" s="2">
        <v>3.2925472747494253</v>
      </c>
      <c r="L617" s="2">
        <v>0.28993718812151653</v>
      </c>
      <c r="M617" s="2">
        <v>5.7878162728229404E-2</v>
      </c>
      <c r="N617" s="2" t="s">
        <v>13</v>
      </c>
      <c r="O617" s="2" t="s">
        <v>13</v>
      </c>
    </row>
    <row r="618" spans="1:15" x14ac:dyDescent="0.25">
      <c r="A618" s="4" t="s">
        <v>245</v>
      </c>
      <c r="B618" s="1">
        <v>5</v>
      </c>
      <c r="C618" s="1" t="s">
        <v>246</v>
      </c>
      <c r="D618" s="1" t="s">
        <v>12</v>
      </c>
      <c r="E618" s="1">
        <v>2</v>
      </c>
      <c r="F618" s="1">
        <v>129</v>
      </c>
      <c r="G618" s="1">
        <v>140</v>
      </c>
      <c r="H618" s="1">
        <v>72</v>
      </c>
      <c r="I618" s="2">
        <v>2.0813829787234042</v>
      </c>
      <c r="J618" s="3">
        <v>16.917634963989258</v>
      </c>
      <c r="K618" s="2">
        <v>4.0647702854801109</v>
      </c>
      <c r="L618" s="2">
        <v>0.35212077454303176</v>
      </c>
      <c r="M618" s="2">
        <v>8.4603436846189747E-2</v>
      </c>
      <c r="N618" s="2" t="s">
        <v>13</v>
      </c>
      <c r="O618" s="2" t="s">
        <v>13</v>
      </c>
    </row>
    <row r="619" spans="1:15" x14ac:dyDescent="0.25">
      <c r="A619" s="4" t="s">
        <v>245</v>
      </c>
      <c r="B619" s="1">
        <v>5</v>
      </c>
      <c r="C619" s="1" t="s">
        <v>246</v>
      </c>
      <c r="D619" s="1" t="s">
        <v>12</v>
      </c>
      <c r="E619" s="1">
        <v>3</v>
      </c>
      <c r="F619" s="1">
        <v>135</v>
      </c>
      <c r="G619" s="1">
        <v>135</v>
      </c>
      <c r="H619" s="1">
        <v>72</v>
      </c>
      <c r="I619" s="2">
        <v>2.0115789473684211</v>
      </c>
      <c r="J619" s="3">
        <v>15.78331184387207</v>
      </c>
      <c r="K619" s="2">
        <v>3.5479241921919433</v>
      </c>
      <c r="L619" s="2">
        <v>0.31749377824883712</v>
      </c>
      <c r="M619" s="2">
        <v>7.1369296118724251E-2</v>
      </c>
      <c r="N619" s="2" t="s">
        <v>13</v>
      </c>
      <c r="O619" s="2" t="s">
        <v>13</v>
      </c>
    </row>
    <row r="620" spans="1:15" x14ac:dyDescent="0.25">
      <c r="A620" s="4" t="s">
        <v>247</v>
      </c>
      <c r="B620" s="1">
        <v>2</v>
      </c>
      <c r="C620" s="1" t="s">
        <v>248</v>
      </c>
      <c r="D620" s="1" t="s">
        <v>12</v>
      </c>
      <c r="E620" s="1">
        <v>1</v>
      </c>
      <c r="F620" s="1">
        <v>108</v>
      </c>
      <c r="G620" s="1">
        <v>152</v>
      </c>
      <c r="H620" s="1">
        <v>60</v>
      </c>
      <c r="I620" s="2">
        <v>2.0175193798449613</v>
      </c>
      <c r="J620" s="3">
        <v>16.820646286010742</v>
      </c>
      <c r="K620" s="2">
        <v>4.2359680418076051</v>
      </c>
      <c r="L620" s="2">
        <v>0.33935979863543847</v>
      </c>
      <c r="M620" s="2">
        <v>8.5461476167507544E-2</v>
      </c>
      <c r="N620" s="2" t="s">
        <v>13</v>
      </c>
      <c r="O620" s="2" t="s">
        <v>13</v>
      </c>
    </row>
    <row r="621" spans="1:15" x14ac:dyDescent="0.25">
      <c r="A621" s="4" t="s">
        <v>247</v>
      </c>
      <c r="B621" s="1">
        <v>2</v>
      </c>
      <c r="C621" s="1" t="s">
        <v>248</v>
      </c>
      <c r="D621" s="1" t="s">
        <v>12</v>
      </c>
      <c r="E621" s="1">
        <v>2</v>
      </c>
      <c r="F621" s="1">
        <v>108</v>
      </c>
      <c r="G621" s="1">
        <v>138</v>
      </c>
      <c r="H621" s="1">
        <v>84</v>
      </c>
      <c r="I621" s="2">
        <v>1.6348710601719199</v>
      </c>
      <c r="J621" s="3">
        <v>18.207210540771484</v>
      </c>
      <c r="K621" s="2">
        <v>3.9866774323775491</v>
      </c>
      <c r="L621" s="2">
        <v>0.2976644159956443</v>
      </c>
      <c r="M621" s="2">
        <v>6.5177035604345512E-2</v>
      </c>
      <c r="N621" s="2" t="s">
        <v>13</v>
      </c>
      <c r="O621" s="2" t="s">
        <v>13</v>
      </c>
    </row>
    <row r="622" spans="1:15" x14ac:dyDescent="0.25">
      <c r="A622" s="4" t="s">
        <v>247</v>
      </c>
      <c r="B622" s="1">
        <v>2</v>
      </c>
      <c r="C622" s="1" t="s">
        <v>248</v>
      </c>
      <c r="D622" s="1" t="s">
        <v>12</v>
      </c>
      <c r="E622" s="1">
        <v>3</v>
      </c>
      <c r="F622" s="1">
        <v>109</v>
      </c>
      <c r="G622" s="1">
        <v>130</v>
      </c>
      <c r="H622" s="1">
        <v>96</v>
      </c>
      <c r="J622" s="3">
        <v>22.455802917480469</v>
      </c>
      <c r="K622" s="2">
        <v>4.4325786368829956</v>
      </c>
      <c r="L622" s="2">
        <v>0</v>
      </c>
      <c r="M622" s="2">
        <v>0</v>
      </c>
      <c r="N622" s="2" t="s">
        <v>13</v>
      </c>
      <c r="O622" s="2" t="s">
        <v>13</v>
      </c>
    </row>
    <row r="623" spans="1:15" x14ac:dyDescent="0.25">
      <c r="A623" s="4" t="s">
        <v>219</v>
      </c>
      <c r="B623" s="1">
        <v>2</v>
      </c>
      <c r="C623" s="1" t="s">
        <v>249</v>
      </c>
      <c r="D623" s="1" t="s">
        <v>12</v>
      </c>
      <c r="E623" s="1">
        <v>1</v>
      </c>
      <c r="F623" s="1">
        <v>107</v>
      </c>
      <c r="G623" s="1">
        <v>105</v>
      </c>
      <c r="H623" s="1">
        <v>84</v>
      </c>
      <c r="I623" s="2">
        <v>2.8514541832669322</v>
      </c>
      <c r="J623" s="3">
        <v>17.069478988647461</v>
      </c>
      <c r="K623" s="2">
        <v>4.2712338343237253</v>
      </c>
      <c r="L623" s="2">
        <v>0.48672837268365804</v>
      </c>
      <c r="M623" s="2">
        <v>0.12179227584593645</v>
      </c>
      <c r="N623" s="2" t="s">
        <v>13</v>
      </c>
      <c r="O623" s="2" t="s">
        <v>13</v>
      </c>
    </row>
    <row r="624" spans="1:15" x14ac:dyDescent="0.25">
      <c r="A624" s="4" t="s">
        <v>219</v>
      </c>
      <c r="B624" s="1">
        <v>2</v>
      </c>
      <c r="C624" s="1" t="s">
        <v>249</v>
      </c>
      <c r="D624" s="1" t="s">
        <v>12</v>
      </c>
      <c r="E624" s="1">
        <v>2</v>
      </c>
      <c r="F624" s="1">
        <v>106</v>
      </c>
      <c r="G624" s="1">
        <v>110</v>
      </c>
      <c r="H624" s="1">
        <v>96</v>
      </c>
      <c r="I624" s="2">
        <v>2.4078370514064016</v>
      </c>
      <c r="J624" s="3">
        <v>16.579338073730469</v>
      </c>
      <c r="K624" s="2">
        <v>4.4236666163981333</v>
      </c>
      <c r="L624" s="2">
        <v>0.39920344501721061</v>
      </c>
      <c r="M624" s="2">
        <v>0.10651468382033015</v>
      </c>
      <c r="N624" s="2" t="s">
        <v>13</v>
      </c>
      <c r="O624" s="2" t="s">
        <v>13</v>
      </c>
    </row>
    <row r="625" spans="1:15" x14ac:dyDescent="0.25">
      <c r="A625" s="4" t="s">
        <v>219</v>
      </c>
      <c r="B625" s="1">
        <v>2</v>
      </c>
      <c r="C625" s="1" t="s">
        <v>249</v>
      </c>
      <c r="D625" s="1" t="s">
        <v>12</v>
      </c>
      <c r="E625" s="1">
        <v>3</v>
      </c>
      <c r="F625" s="5">
        <v>107</v>
      </c>
      <c r="G625" s="1">
        <v>112</v>
      </c>
      <c r="H625" s="1">
        <v>96</v>
      </c>
      <c r="I625" s="2">
        <v>3.0693372898120672</v>
      </c>
      <c r="J625" s="3">
        <v>19.470357894897461</v>
      </c>
      <c r="K625" s="2">
        <v>4.0588321956490194</v>
      </c>
      <c r="L625" s="2">
        <v>0.59761095532795561</v>
      </c>
      <c r="M625" s="2">
        <v>0.12457925011195324</v>
      </c>
      <c r="N625" s="2" t="s">
        <v>13</v>
      </c>
      <c r="O625" s="2" t="s">
        <v>13</v>
      </c>
    </row>
    <row r="626" spans="1:15" x14ac:dyDescent="0.25">
      <c r="A626" s="4" t="s">
        <v>245</v>
      </c>
      <c r="B626" s="1">
        <v>2</v>
      </c>
      <c r="C626" s="1" t="s">
        <v>250</v>
      </c>
      <c r="D626" s="1" t="s">
        <v>12</v>
      </c>
      <c r="E626" s="1">
        <v>1</v>
      </c>
      <c r="F626" s="1">
        <v>91</v>
      </c>
      <c r="G626" s="1">
        <v>105</v>
      </c>
      <c r="H626" s="1">
        <v>108</v>
      </c>
      <c r="I626" s="2">
        <v>1.671591796875</v>
      </c>
      <c r="J626" s="2" t="s">
        <v>13</v>
      </c>
      <c r="K626" s="2" t="s">
        <v>13</v>
      </c>
      <c r="L626" s="2" t="s">
        <v>13</v>
      </c>
      <c r="M626" s="2" t="s">
        <v>13</v>
      </c>
      <c r="N626" s="2" t="s">
        <v>13</v>
      </c>
      <c r="O626" s="2" t="s">
        <v>13</v>
      </c>
    </row>
    <row r="627" spans="1:15" x14ac:dyDescent="0.25">
      <c r="A627" s="4" t="s">
        <v>245</v>
      </c>
      <c r="B627" s="1">
        <v>2</v>
      </c>
      <c r="C627" s="1" t="s">
        <v>250</v>
      </c>
      <c r="D627" s="1" t="s">
        <v>12</v>
      </c>
      <c r="E627" s="1">
        <v>2</v>
      </c>
      <c r="F627" s="1">
        <v>90</v>
      </c>
      <c r="G627" s="1">
        <v>99</v>
      </c>
      <c r="H627" s="1">
        <v>96</v>
      </c>
      <c r="I627" s="2">
        <v>1.7111956521739131</v>
      </c>
      <c r="J627" s="2" t="s">
        <v>13</v>
      </c>
      <c r="K627" s="2" t="s">
        <v>13</v>
      </c>
      <c r="L627" s="2" t="s">
        <v>13</v>
      </c>
      <c r="M627" s="2" t="s">
        <v>13</v>
      </c>
      <c r="N627" s="2" t="s">
        <v>13</v>
      </c>
      <c r="O627" s="2" t="s">
        <v>13</v>
      </c>
    </row>
    <row r="628" spans="1:15" x14ac:dyDescent="0.25">
      <c r="A628" s="4" t="s">
        <v>245</v>
      </c>
      <c r="B628" s="1">
        <v>2</v>
      </c>
      <c r="C628" s="1" t="s">
        <v>250</v>
      </c>
      <c r="D628" s="1" t="s">
        <v>12</v>
      </c>
      <c r="E628" s="1">
        <v>3</v>
      </c>
      <c r="F628" s="1">
        <v>94</v>
      </c>
      <c r="G628" s="1">
        <v>108</v>
      </c>
      <c r="H628" s="1">
        <v>60</v>
      </c>
      <c r="I628" s="2">
        <v>1.6779768786127167</v>
      </c>
      <c r="J628" s="2" t="s">
        <v>13</v>
      </c>
      <c r="K628" s="2" t="s">
        <v>13</v>
      </c>
      <c r="L628" s="2" t="s">
        <v>13</v>
      </c>
      <c r="M628" s="2" t="s">
        <v>13</v>
      </c>
      <c r="N628" s="2" t="s">
        <v>13</v>
      </c>
      <c r="O628" s="2" t="s">
        <v>13</v>
      </c>
    </row>
    <row r="629" spans="1:15" x14ac:dyDescent="0.25">
      <c r="A629" s="4" t="s">
        <v>172</v>
      </c>
      <c r="B629" s="1">
        <v>4</v>
      </c>
      <c r="C629" s="1" t="s">
        <v>251</v>
      </c>
      <c r="D629" s="1" t="s">
        <v>12</v>
      </c>
      <c r="E629" s="1">
        <v>1</v>
      </c>
      <c r="F629" s="1">
        <v>102</v>
      </c>
      <c r="G629" s="1">
        <v>130</v>
      </c>
      <c r="H629" s="1">
        <v>72</v>
      </c>
      <c r="I629" s="2">
        <v>2.754955925563173</v>
      </c>
      <c r="J629" s="3">
        <v>14.582912445068359</v>
      </c>
      <c r="K629" s="2">
        <v>3.5532226316051201</v>
      </c>
      <c r="L629" s="2">
        <v>0.4017528105251002</v>
      </c>
      <c r="M629" s="2">
        <v>9.788971743785696E-2</v>
      </c>
      <c r="N629" s="2" t="s">
        <v>13</v>
      </c>
      <c r="O629" s="2" t="s">
        <v>13</v>
      </c>
    </row>
    <row r="630" spans="1:15" x14ac:dyDescent="0.25">
      <c r="A630" s="4" t="s">
        <v>172</v>
      </c>
      <c r="B630" s="1">
        <v>4</v>
      </c>
      <c r="C630" s="1" t="s">
        <v>251</v>
      </c>
      <c r="D630" s="1" t="s">
        <v>12</v>
      </c>
      <c r="E630" s="1">
        <v>2</v>
      </c>
      <c r="F630" s="1">
        <v>106</v>
      </c>
      <c r="G630" s="1">
        <v>137</v>
      </c>
      <c r="H630" s="1">
        <v>60</v>
      </c>
      <c r="I630" s="2">
        <v>2.7417828685258967</v>
      </c>
      <c r="J630" s="3">
        <v>14.97980785369873</v>
      </c>
      <c r="K630" s="2">
        <v>3.9984036317379594</v>
      </c>
      <c r="L630" s="2">
        <v>0.41071380547080866</v>
      </c>
      <c r="M630" s="2">
        <v>0.10962754578950866</v>
      </c>
      <c r="N630" s="2" t="s">
        <v>13</v>
      </c>
      <c r="O630" s="2" t="s">
        <v>13</v>
      </c>
    </row>
    <row r="631" spans="1:15" x14ac:dyDescent="0.25">
      <c r="A631" s="4" t="s">
        <v>172</v>
      </c>
      <c r="B631" s="1">
        <v>4</v>
      </c>
      <c r="C631" s="1" t="s">
        <v>251</v>
      </c>
      <c r="D631" s="1" t="s">
        <v>12</v>
      </c>
      <c r="E631" s="1">
        <v>3</v>
      </c>
      <c r="F631" s="1">
        <v>103</v>
      </c>
      <c r="G631" s="1">
        <v>134</v>
      </c>
      <c r="H631" s="1">
        <v>96</v>
      </c>
      <c r="I631" s="2">
        <v>3.1714851485148516</v>
      </c>
      <c r="J631" s="3">
        <v>14.129450798034668</v>
      </c>
      <c r="K631" s="2">
        <v>4.0538187967870609</v>
      </c>
      <c r="L631" s="2">
        <v>0.44811343362638267</v>
      </c>
      <c r="M631" s="2">
        <v>0.12856626108780508</v>
      </c>
      <c r="N631" s="2" t="s">
        <v>13</v>
      </c>
      <c r="O631" s="2" t="s">
        <v>13</v>
      </c>
    </row>
    <row r="632" spans="1:15" x14ac:dyDescent="0.25">
      <c r="A632" s="4" t="s">
        <v>14</v>
      </c>
      <c r="B632" s="1">
        <v>1</v>
      </c>
      <c r="C632" s="1" t="s">
        <v>252</v>
      </c>
      <c r="D632" s="1" t="s">
        <v>12</v>
      </c>
      <c r="E632" s="1">
        <v>1</v>
      </c>
      <c r="F632" s="5">
        <v>162</v>
      </c>
      <c r="G632" s="1">
        <v>105</v>
      </c>
      <c r="H632" s="1">
        <v>84</v>
      </c>
      <c r="I632" s="2" t="s">
        <v>13</v>
      </c>
      <c r="J632" s="2" t="s">
        <v>13</v>
      </c>
      <c r="K632" s="2" t="s">
        <v>13</v>
      </c>
      <c r="L632" s="2" t="s">
        <v>13</v>
      </c>
      <c r="M632" s="2" t="s">
        <v>13</v>
      </c>
      <c r="N632" s="1">
        <v>8</v>
      </c>
      <c r="O632" s="1">
        <v>0.5</v>
      </c>
    </row>
    <row r="633" spans="1:15" x14ac:dyDescent="0.25">
      <c r="A633" s="4" t="s">
        <v>14</v>
      </c>
      <c r="B633" s="1">
        <v>1</v>
      </c>
      <c r="C633" s="1" t="s">
        <v>252</v>
      </c>
      <c r="D633" s="1" t="s">
        <v>12</v>
      </c>
      <c r="E633" s="1">
        <v>2</v>
      </c>
      <c r="F633" s="1">
        <v>162</v>
      </c>
      <c r="G633" s="1">
        <v>88</v>
      </c>
      <c r="H633" s="1">
        <v>72</v>
      </c>
      <c r="I633" s="2" t="s">
        <v>13</v>
      </c>
      <c r="J633" s="2" t="s">
        <v>13</v>
      </c>
      <c r="K633" s="2" t="s">
        <v>13</v>
      </c>
      <c r="L633" s="2" t="s">
        <v>13</v>
      </c>
      <c r="M633" s="2" t="s">
        <v>13</v>
      </c>
      <c r="N633" s="1">
        <v>12</v>
      </c>
      <c r="O633" s="1">
        <v>0.5</v>
      </c>
    </row>
    <row r="634" spans="1:15" x14ac:dyDescent="0.25">
      <c r="A634" s="4" t="s">
        <v>14</v>
      </c>
      <c r="B634" s="1">
        <v>1</v>
      </c>
      <c r="C634" s="1" t="s">
        <v>252</v>
      </c>
      <c r="D634" s="1" t="s">
        <v>12</v>
      </c>
      <c r="E634" s="1">
        <v>3</v>
      </c>
      <c r="F634" s="1">
        <v>154</v>
      </c>
      <c r="G634" s="1">
        <v>107</v>
      </c>
      <c r="H634" s="1">
        <v>48</v>
      </c>
      <c r="I634" s="2" t="s">
        <v>13</v>
      </c>
      <c r="J634" s="2" t="s">
        <v>13</v>
      </c>
      <c r="K634" s="2" t="s">
        <v>13</v>
      </c>
      <c r="L634" s="2" t="s">
        <v>13</v>
      </c>
      <c r="M634" s="2" t="s">
        <v>13</v>
      </c>
      <c r="N634" s="1">
        <v>11</v>
      </c>
      <c r="O634" s="1">
        <v>3</v>
      </c>
    </row>
    <row r="635" spans="1:15" x14ac:dyDescent="0.25">
      <c r="A635" s="4" t="s">
        <v>14</v>
      </c>
      <c r="B635" s="1">
        <v>1</v>
      </c>
      <c r="C635" s="1" t="s">
        <v>253</v>
      </c>
      <c r="D635" s="1" t="s">
        <v>12</v>
      </c>
      <c r="E635" s="1">
        <v>1</v>
      </c>
      <c r="F635" s="1">
        <v>122</v>
      </c>
      <c r="G635" s="1">
        <v>143</v>
      </c>
      <c r="H635" s="1">
        <v>108</v>
      </c>
      <c r="I635" s="2" t="s">
        <v>13</v>
      </c>
      <c r="J635" s="3">
        <v>19.480697631835938</v>
      </c>
      <c r="K635" s="2" t="s">
        <v>13</v>
      </c>
      <c r="L635" s="2" t="s">
        <v>13</v>
      </c>
      <c r="M635" s="2" t="s">
        <v>13</v>
      </c>
      <c r="N635" s="1">
        <v>12</v>
      </c>
      <c r="O635" s="1">
        <v>1.2</v>
      </c>
    </row>
    <row r="636" spans="1:15" x14ac:dyDescent="0.25">
      <c r="A636" s="4" t="s">
        <v>14</v>
      </c>
      <c r="B636" s="1">
        <v>1</v>
      </c>
      <c r="C636" s="1" t="s">
        <v>253</v>
      </c>
      <c r="D636" s="1" t="s">
        <v>12</v>
      </c>
      <c r="E636" s="1">
        <v>2</v>
      </c>
      <c r="F636" s="1">
        <v>128</v>
      </c>
      <c r="G636" s="1">
        <v>142</v>
      </c>
      <c r="H636" s="1">
        <v>84</v>
      </c>
      <c r="I636" s="2" t="s">
        <v>13</v>
      </c>
      <c r="J636" s="3">
        <v>19.247894287109375</v>
      </c>
      <c r="K636" s="2" t="s">
        <v>13</v>
      </c>
      <c r="L636" s="2" t="s">
        <v>13</v>
      </c>
      <c r="M636" s="2" t="s">
        <v>13</v>
      </c>
      <c r="N636" s="1">
        <v>12</v>
      </c>
      <c r="O636" s="1">
        <v>1.5</v>
      </c>
    </row>
    <row r="637" spans="1:15" x14ac:dyDescent="0.25">
      <c r="A637" s="4" t="s">
        <v>14</v>
      </c>
      <c r="B637" s="1">
        <v>1</v>
      </c>
      <c r="C637" s="1" t="s">
        <v>253</v>
      </c>
      <c r="D637" s="1" t="s">
        <v>12</v>
      </c>
      <c r="E637" s="1">
        <v>3</v>
      </c>
      <c r="F637" s="1">
        <v>127</v>
      </c>
      <c r="G637" s="1">
        <v>141</v>
      </c>
      <c r="H637" s="1">
        <v>84</v>
      </c>
      <c r="I637" s="2" t="s">
        <v>13</v>
      </c>
      <c r="J637" s="3">
        <v>20.6461181640625</v>
      </c>
      <c r="K637" s="2" t="s">
        <v>13</v>
      </c>
      <c r="L637" s="2" t="s">
        <v>13</v>
      </c>
      <c r="M637" s="2" t="s">
        <v>13</v>
      </c>
      <c r="N637" s="1">
        <v>10</v>
      </c>
      <c r="O637" s="1">
        <v>1.5</v>
      </c>
    </row>
    <row r="638" spans="1:15" x14ac:dyDescent="0.25">
      <c r="A638" s="4" t="s">
        <v>14</v>
      </c>
      <c r="B638" s="1">
        <v>1</v>
      </c>
      <c r="C638" s="1" t="s">
        <v>254</v>
      </c>
      <c r="D638" s="1" t="s">
        <v>12</v>
      </c>
      <c r="E638" s="1">
        <v>1</v>
      </c>
      <c r="F638" s="1">
        <v>154</v>
      </c>
      <c r="G638" s="1">
        <v>121</v>
      </c>
      <c r="H638" s="1">
        <v>84</v>
      </c>
      <c r="I638" s="2" t="s">
        <v>13</v>
      </c>
      <c r="J638" s="2" t="s">
        <v>13</v>
      </c>
      <c r="K638" s="2" t="s">
        <v>13</v>
      </c>
      <c r="L638" s="2" t="s">
        <v>13</v>
      </c>
      <c r="M638" s="2" t="s">
        <v>13</v>
      </c>
      <c r="N638" s="1">
        <v>10</v>
      </c>
      <c r="O638" s="1">
        <v>2</v>
      </c>
    </row>
    <row r="639" spans="1:15" x14ac:dyDescent="0.25">
      <c r="A639" s="4" t="s">
        <v>14</v>
      </c>
      <c r="B639" s="1">
        <v>1</v>
      </c>
      <c r="C639" s="1" t="s">
        <v>254</v>
      </c>
      <c r="D639" s="1" t="s">
        <v>12</v>
      </c>
      <c r="E639" s="1">
        <v>2</v>
      </c>
      <c r="F639" s="1">
        <v>162</v>
      </c>
      <c r="G639" s="1">
        <v>108</v>
      </c>
      <c r="H639" s="1">
        <v>48</v>
      </c>
      <c r="I639" s="2" t="s">
        <v>13</v>
      </c>
      <c r="J639" s="2" t="s">
        <v>13</v>
      </c>
      <c r="K639" s="2" t="s">
        <v>13</v>
      </c>
      <c r="L639" s="2" t="s">
        <v>13</v>
      </c>
      <c r="M639" s="2" t="s">
        <v>13</v>
      </c>
      <c r="N639" s="1">
        <v>9</v>
      </c>
      <c r="O639" s="1">
        <v>0.5</v>
      </c>
    </row>
    <row r="640" spans="1:15" x14ac:dyDescent="0.25">
      <c r="A640" s="4" t="s">
        <v>14</v>
      </c>
      <c r="B640" s="1">
        <v>1</v>
      </c>
      <c r="C640" s="1" t="s">
        <v>254</v>
      </c>
      <c r="D640" s="1" t="s">
        <v>12</v>
      </c>
      <c r="E640" s="1">
        <v>3</v>
      </c>
      <c r="F640" s="1">
        <v>160</v>
      </c>
      <c r="G640" s="1">
        <v>118</v>
      </c>
      <c r="H640" s="1">
        <v>36</v>
      </c>
      <c r="I640" s="2" t="s">
        <v>13</v>
      </c>
      <c r="J640" s="2" t="s">
        <v>13</v>
      </c>
      <c r="K640" s="2" t="s">
        <v>13</v>
      </c>
      <c r="L640" s="2" t="s">
        <v>13</v>
      </c>
      <c r="M640" s="2" t="s">
        <v>13</v>
      </c>
      <c r="N640" s="1">
        <v>11</v>
      </c>
      <c r="O640" s="1">
        <v>0.5</v>
      </c>
    </row>
    <row r="641" spans="1:15" x14ac:dyDescent="0.25">
      <c r="A641" s="4" t="s">
        <v>14</v>
      </c>
      <c r="B641" s="1">
        <v>1</v>
      </c>
      <c r="C641" s="1" t="s">
        <v>255</v>
      </c>
      <c r="D641" s="1" t="s">
        <v>12</v>
      </c>
      <c r="E641" s="1">
        <v>1</v>
      </c>
      <c r="F641" s="1">
        <v>128</v>
      </c>
      <c r="G641" s="1">
        <v>115</v>
      </c>
      <c r="H641" s="1">
        <v>48</v>
      </c>
      <c r="I641" s="2">
        <v>2.4563821532492724</v>
      </c>
      <c r="J641" s="3">
        <v>19.441009521484375</v>
      </c>
      <c r="K641" s="2">
        <v>3.9038053901286869</v>
      </c>
      <c r="L641" s="2">
        <v>0.47754548829723398</v>
      </c>
      <c r="M641" s="2">
        <v>9.5892378900704192E-2</v>
      </c>
      <c r="N641" s="1">
        <v>11</v>
      </c>
      <c r="O641" s="1">
        <v>9.5</v>
      </c>
    </row>
    <row r="642" spans="1:15" x14ac:dyDescent="0.25">
      <c r="A642" s="4" t="s">
        <v>14</v>
      </c>
      <c r="B642" s="1">
        <v>1</v>
      </c>
      <c r="C642" s="1" t="s">
        <v>255</v>
      </c>
      <c r="D642" s="1" t="s">
        <v>12</v>
      </c>
      <c r="E642" s="1">
        <v>2</v>
      </c>
      <c r="F642" s="1">
        <v>137</v>
      </c>
      <c r="G642" s="1">
        <v>92</v>
      </c>
      <c r="H642" s="1">
        <v>36</v>
      </c>
      <c r="I642" s="2">
        <v>2.0868904593639575</v>
      </c>
      <c r="J642" s="3">
        <v>21.26032829284668</v>
      </c>
      <c r="K642" s="2">
        <v>3.7740147315666648</v>
      </c>
      <c r="L642" s="2">
        <v>0.44367976277287352</v>
      </c>
      <c r="M642" s="2">
        <v>7.8759553368054999E-2</v>
      </c>
      <c r="N642" s="1">
        <v>8.5</v>
      </c>
      <c r="O642" s="1">
        <v>4.5</v>
      </c>
    </row>
    <row r="643" spans="1:15" x14ac:dyDescent="0.25">
      <c r="A643" s="4" t="s">
        <v>14</v>
      </c>
      <c r="B643" s="1">
        <v>1</v>
      </c>
      <c r="C643" s="1" t="s">
        <v>255</v>
      </c>
      <c r="D643" s="1" t="s">
        <v>12</v>
      </c>
      <c r="E643" s="1">
        <v>3</v>
      </c>
      <c r="F643" s="1">
        <v>137</v>
      </c>
      <c r="G643" s="1">
        <v>120</v>
      </c>
      <c r="H643" s="1">
        <v>12</v>
      </c>
      <c r="I643" s="2">
        <v>2.2728019323671496</v>
      </c>
      <c r="J643" s="3">
        <v>19.305446624755859</v>
      </c>
      <c r="K643" s="2">
        <v>3.7795471510328915</v>
      </c>
      <c r="L643" s="2">
        <v>0.43877456393955983</v>
      </c>
      <c r="M643" s="2">
        <v>8.590162068340311E-2</v>
      </c>
      <c r="N643" s="1">
        <v>11</v>
      </c>
      <c r="O643" s="1">
        <v>6</v>
      </c>
    </row>
    <row r="644" spans="1:15" x14ac:dyDescent="0.25">
      <c r="A644" s="4" t="s">
        <v>14</v>
      </c>
      <c r="B644" s="1" t="s">
        <v>20</v>
      </c>
      <c r="C644" s="1" t="s">
        <v>256</v>
      </c>
      <c r="D644" s="1" t="s">
        <v>12</v>
      </c>
      <c r="E644" s="1">
        <v>1</v>
      </c>
      <c r="F644" s="1">
        <v>141</v>
      </c>
      <c r="G644" s="1">
        <v>102</v>
      </c>
      <c r="H644" s="5">
        <v>48</v>
      </c>
      <c r="I644" s="2" t="s">
        <v>13</v>
      </c>
      <c r="J644" s="2" t="s">
        <v>13</v>
      </c>
      <c r="K644" s="2" t="s">
        <v>13</v>
      </c>
      <c r="L644" s="2" t="s">
        <v>13</v>
      </c>
      <c r="M644" s="2" t="s">
        <v>13</v>
      </c>
      <c r="N644" s="1">
        <v>7</v>
      </c>
      <c r="O644" s="1">
        <v>0.5</v>
      </c>
    </row>
    <row r="645" spans="1:15" x14ac:dyDescent="0.25">
      <c r="A645" s="4" t="s">
        <v>14</v>
      </c>
      <c r="B645" s="1" t="s">
        <v>20</v>
      </c>
      <c r="C645" s="1" t="s">
        <v>256</v>
      </c>
      <c r="D645" s="1" t="s">
        <v>12</v>
      </c>
      <c r="E645" s="1">
        <v>2</v>
      </c>
      <c r="F645" s="1">
        <v>153</v>
      </c>
      <c r="G645" s="1">
        <v>125</v>
      </c>
      <c r="H645" s="1">
        <v>36</v>
      </c>
      <c r="I645" s="2" t="s">
        <v>13</v>
      </c>
      <c r="J645" s="2" t="s">
        <v>13</v>
      </c>
      <c r="K645" s="2" t="s">
        <v>13</v>
      </c>
      <c r="L645" s="2" t="s">
        <v>13</v>
      </c>
      <c r="M645" s="2" t="s">
        <v>13</v>
      </c>
      <c r="N645" s="1">
        <v>9.5</v>
      </c>
      <c r="O645" s="1">
        <v>4</v>
      </c>
    </row>
    <row r="646" spans="1:15" x14ac:dyDescent="0.25">
      <c r="A646" s="4" t="s">
        <v>14</v>
      </c>
      <c r="B646" s="1" t="s">
        <v>20</v>
      </c>
      <c r="C646" s="1" t="s">
        <v>256</v>
      </c>
      <c r="D646" s="1" t="s">
        <v>12</v>
      </c>
      <c r="E646" s="1">
        <v>3</v>
      </c>
      <c r="F646" s="1">
        <v>143</v>
      </c>
      <c r="G646" s="1">
        <v>114</v>
      </c>
      <c r="H646" s="1">
        <v>36</v>
      </c>
      <c r="I646" s="2" t="s">
        <v>13</v>
      </c>
      <c r="J646" s="2" t="s">
        <v>13</v>
      </c>
      <c r="K646" s="2" t="s">
        <v>13</v>
      </c>
      <c r="L646" s="2" t="s">
        <v>13</v>
      </c>
      <c r="M646" s="2" t="s">
        <v>13</v>
      </c>
      <c r="N646" s="1">
        <v>11</v>
      </c>
      <c r="O646" s="1">
        <v>2</v>
      </c>
    </row>
    <row r="647" spans="1:15" x14ac:dyDescent="0.25">
      <c r="A647" s="4" t="s">
        <v>14</v>
      </c>
      <c r="B647" s="1">
        <v>1</v>
      </c>
      <c r="C647" s="1" t="s">
        <v>257</v>
      </c>
      <c r="D647" s="1" t="s">
        <v>12</v>
      </c>
      <c r="E647" s="1">
        <v>1</v>
      </c>
      <c r="F647" s="1">
        <v>141</v>
      </c>
      <c r="G647" s="1">
        <v>127</v>
      </c>
      <c r="H647" s="1">
        <v>96</v>
      </c>
      <c r="I647" s="2" t="s">
        <v>13</v>
      </c>
      <c r="J647" s="2" t="s">
        <v>13</v>
      </c>
      <c r="K647" s="2" t="s">
        <v>13</v>
      </c>
      <c r="L647" s="2" t="s">
        <v>13</v>
      </c>
      <c r="M647" s="2" t="s">
        <v>13</v>
      </c>
      <c r="N647" s="1">
        <v>10</v>
      </c>
      <c r="O647" s="1">
        <v>2</v>
      </c>
    </row>
    <row r="648" spans="1:15" x14ac:dyDescent="0.25">
      <c r="A648" s="4" t="s">
        <v>14</v>
      </c>
      <c r="B648" s="1">
        <v>1</v>
      </c>
      <c r="C648" s="1" t="s">
        <v>257</v>
      </c>
      <c r="D648" s="1" t="s">
        <v>12</v>
      </c>
      <c r="E648" s="1">
        <v>2</v>
      </c>
      <c r="F648" s="1">
        <v>137</v>
      </c>
      <c r="G648" s="1">
        <v>125</v>
      </c>
      <c r="H648" s="1">
        <v>48</v>
      </c>
      <c r="I648" s="2" t="s">
        <v>13</v>
      </c>
      <c r="J648" s="2" t="s">
        <v>13</v>
      </c>
      <c r="K648" s="2" t="s">
        <v>13</v>
      </c>
      <c r="L648" s="2" t="s">
        <v>13</v>
      </c>
      <c r="M648" s="2" t="s">
        <v>13</v>
      </c>
      <c r="N648" s="1">
        <v>12</v>
      </c>
      <c r="O648" s="1">
        <v>1</v>
      </c>
    </row>
    <row r="649" spans="1:15" x14ac:dyDescent="0.25">
      <c r="A649" s="4" t="s">
        <v>14</v>
      </c>
      <c r="B649" s="1">
        <v>1</v>
      </c>
      <c r="C649" s="1" t="s">
        <v>257</v>
      </c>
      <c r="D649" s="1" t="s">
        <v>12</v>
      </c>
      <c r="E649" s="1">
        <v>3</v>
      </c>
      <c r="F649" s="1">
        <v>139</v>
      </c>
      <c r="G649" s="1">
        <v>125</v>
      </c>
      <c r="H649" s="1">
        <v>84</v>
      </c>
      <c r="I649" s="2" t="s">
        <v>13</v>
      </c>
      <c r="J649" s="2" t="s">
        <v>13</v>
      </c>
      <c r="K649" s="2" t="s">
        <v>13</v>
      </c>
      <c r="L649" s="2" t="s">
        <v>13</v>
      </c>
      <c r="M649" s="2" t="s">
        <v>13</v>
      </c>
      <c r="N649" s="1">
        <v>11</v>
      </c>
      <c r="O649" s="1">
        <v>1.5</v>
      </c>
    </row>
    <row r="650" spans="1:15" x14ac:dyDescent="0.25">
      <c r="A650" s="4" t="s">
        <v>14</v>
      </c>
      <c r="B650" s="1">
        <v>1</v>
      </c>
      <c r="C650" s="1" t="s">
        <v>258</v>
      </c>
      <c r="D650" s="1" t="s">
        <v>12</v>
      </c>
      <c r="E650" s="1">
        <v>1</v>
      </c>
      <c r="F650" s="1">
        <v>140</v>
      </c>
      <c r="G650" s="1">
        <v>101</v>
      </c>
      <c r="H650" s="1">
        <v>60</v>
      </c>
      <c r="I650" s="2" t="s">
        <v>13</v>
      </c>
      <c r="J650" s="2" t="s">
        <v>13</v>
      </c>
      <c r="K650" s="2" t="s">
        <v>13</v>
      </c>
      <c r="L650" s="2" t="s">
        <v>13</v>
      </c>
      <c r="M650" s="2" t="s">
        <v>13</v>
      </c>
      <c r="N650" s="1">
        <v>12.5</v>
      </c>
      <c r="O650" s="1">
        <v>2</v>
      </c>
    </row>
    <row r="651" spans="1:15" x14ac:dyDescent="0.25">
      <c r="A651" s="4" t="s">
        <v>14</v>
      </c>
      <c r="B651" s="1">
        <v>1</v>
      </c>
      <c r="C651" s="1" t="s">
        <v>258</v>
      </c>
      <c r="D651" s="1" t="s">
        <v>12</v>
      </c>
      <c r="E651" s="1">
        <v>2</v>
      </c>
      <c r="F651" s="1">
        <v>143</v>
      </c>
      <c r="G651" s="1">
        <v>107</v>
      </c>
      <c r="H651" s="1">
        <v>36</v>
      </c>
      <c r="I651" s="2" t="s">
        <v>13</v>
      </c>
      <c r="J651" s="2" t="s">
        <v>13</v>
      </c>
      <c r="K651" s="2" t="s">
        <v>13</v>
      </c>
      <c r="L651" s="2" t="s">
        <v>13</v>
      </c>
      <c r="M651" s="2" t="s">
        <v>13</v>
      </c>
      <c r="N651" s="1">
        <v>11</v>
      </c>
      <c r="O651" s="1">
        <v>2</v>
      </c>
    </row>
    <row r="652" spans="1:15" x14ac:dyDescent="0.25">
      <c r="A652" s="4" t="s">
        <v>14</v>
      </c>
      <c r="B652" s="1">
        <v>1</v>
      </c>
      <c r="C652" s="1" t="s">
        <v>258</v>
      </c>
      <c r="D652" s="1" t="s">
        <v>12</v>
      </c>
      <c r="E652" s="1">
        <v>3</v>
      </c>
      <c r="F652" s="1">
        <v>153</v>
      </c>
      <c r="G652" s="1">
        <v>116</v>
      </c>
      <c r="H652" s="1">
        <v>60</v>
      </c>
      <c r="I652" s="2" t="s">
        <v>13</v>
      </c>
      <c r="J652" s="2" t="s">
        <v>13</v>
      </c>
      <c r="K652" s="2" t="s">
        <v>13</v>
      </c>
      <c r="L652" s="2" t="s">
        <v>13</v>
      </c>
      <c r="M652" s="2" t="s">
        <v>13</v>
      </c>
      <c r="N652" s="1">
        <v>11</v>
      </c>
      <c r="O652" s="1">
        <v>4</v>
      </c>
    </row>
    <row r="653" spans="1:15" x14ac:dyDescent="0.25">
      <c r="A653" s="4" t="s">
        <v>14</v>
      </c>
      <c r="B653" s="1">
        <v>1</v>
      </c>
      <c r="C653" s="1" t="s">
        <v>259</v>
      </c>
      <c r="D653" s="1" t="s">
        <v>12</v>
      </c>
      <c r="E653" s="1">
        <v>1</v>
      </c>
      <c r="F653" s="1">
        <v>154</v>
      </c>
      <c r="G653" s="1">
        <v>123</v>
      </c>
      <c r="H653" s="5">
        <v>84</v>
      </c>
      <c r="I653" s="2" t="s">
        <v>13</v>
      </c>
      <c r="J653" s="2" t="s">
        <v>13</v>
      </c>
      <c r="K653" s="2" t="s">
        <v>13</v>
      </c>
      <c r="L653" s="2" t="s">
        <v>13</v>
      </c>
      <c r="M653" s="2" t="s">
        <v>13</v>
      </c>
      <c r="N653" s="1">
        <v>7</v>
      </c>
      <c r="O653" s="1">
        <v>1</v>
      </c>
    </row>
    <row r="654" spans="1:15" x14ac:dyDescent="0.25">
      <c r="A654" s="4" t="s">
        <v>14</v>
      </c>
      <c r="B654" s="1">
        <v>1</v>
      </c>
      <c r="C654" s="1" t="s">
        <v>259</v>
      </c>
      <c r="D654" s="1" t="s">
        <v>12</v>
      </c>
      <c r="E654" s="1">
        <v>2</v>
      </c>
      <c r="F654" s="1">
        <v>160</v>
      </c>
      <c r="G654" s="1">
        <v>103</v>
      </c>
      <c r="H654" s="1">
        <v>72</v>
      </c>
      <c r="I654" s="2" t="s">
        <v>13</v>
      </c>
      <c r="J654" s="2" t="s">
        <v>13</v>
      </c>
      <c r="K654" s="2" t="s">
        <v>13</v>
      </c>
      <c r="L654" s="2" t="s">
        <v>13</v>
      </c>
      <c r="M654" s="2" t="s">
        <v>13</v>
      </c>
      <c r="N654" s="1">
        <v>9</v>
      </c>
      <c r="O654" s="1">
        <v>2</v>
      </c>
    </row>
    <row r="655" spans="1:15" x14ac:dyDescent="0.25">
      <c r="A655" s="4" t="s">
        <v>14</v>
      </c>
      <c r="B655" s="1">
        <v>1</v>
      </c>
      <c r="C655" s="1" t="s">
        <v>259</v>
      </c>
      <c r="D655" s="1" t="s">
        <v>12</v>
      </c>
      <c r="E655" s="1">
        <v>3</v>
      </c>
      <c r="F655" s="1">
        <v>151</v>
      </c>
      <c r="G655" s="1">
        <v>117</v>
      </c>
      <c r="H655" s="1">
        <v>60</v>
      </c>
      <c r="I655" s="2" t="s">
        <v>13</v>
      </c>
      <c r="J655" s="2" t="s">
        <v>13</v>
      </c>
      <c r="K655" s="2" t="s">
        <v>13</v>
      </c>
      <c r="L655" s="2" t="s">
        <v>13</v>
      </c>
      <c r="M655" s="2" t="s">
        <v>13</v>
      </c>
      <c r="N655" s="1">
        <v>10</v>
      </c>
      <c r="O655" s="1">
        <v>1</v>
      </c>
    </row>
    <row r="656" spans="1:15" x14ac:dyDescent="0.25">
      <c r="A656" s="4" t="s">
        <v>14</v>
      </c>
      <c r="B656" s="1">
        <v>1</v>
      </c>
      <c r="C656" s="1" t="s">
        <v>260</v>
      </c>
      <c r="D656" s="1" t="s">
        <v>12</v>
      </c>
      <c r="E656" s="1">
        <v>1</v>
      </c>
      <c r="F656" s="1">
        <v>140</v>
      </c>
      <c r="G656" s="1">
        <v>126</v>
      </c>
      <c r="H656" s="5">
        <v>60</v>
      </c>
      <c r="I656" s="2">
        <v>1.7323107177974435</v>
      </c>
      <c r="J656" s="2" t="s">
        <v>13</v>
      </c>
      <c r="K656" s="2" t="s">
        <v>13</v>
      </c>
      <c r="L656" s="2" t="s">
        <v>13</v>
      </c>
      <c r="M656" s="2" t="s">
        <v>13</v>
      </c>
      <c r="N656" s="1">
        <v>9</v>
      </c>
      <c r="O656" s="1">
        <v>3.5</v>
      </c>
    </row>
    <row r="657" spans="1:15" x14ac:dyDescent="0.25">
      <c r="A657" s="4" t="s">
        <v>14</v>
      </c>
      <c r="B657" s="1">
        <v>1</v>
      </c>
      <c r="C657" s="1" t="s">
        <v>260</v>
      </c>
      <c r="D657" s="1" t="s">
        <v>12</v>
      </c>
      <c r="E657" s="1">
        <v>2</v>
      </c>
      <c r="F657" s="1">
        <v>153</v>
      </c>
      <c r="G657" s="1">
        <v>118</v>
      </c>
      <c r="H657" s="1">
        <v>60</v>
      </c>
      <c r="I657" s="2">
        <v>1.3928571428571428</v>
      </c>
      <c r="J657" s="2" t="s">
        <v>13</v>
      </c>
      <c r="K657" s="2" t="s">
        <v>13</v>
      </c>
      <c r="L657" s="2" t="s">
        <v>13</v>
      </c>
      <c r="M657" s="2" t="s">
        <v>13</v>
      </c>
      <c r="N657" s="1">
        <v>7.5</v>
      </c>
      <c r="O657" s="1">
        <v>0.5</v>
      </c>
    </row>
    <row r="658" spans="1:15" x14ac:dyDescent="0.25">
      <c r="A658" s="4" t="s">
        <v>14</v>
      </c>
      <c r="B658" s="1">
        <v>1</v>
      </c>
      <c r="C658" s="1" t="s">
        <v>260</v>
      </c>
      <c r="D658" s="1" t="s">
        <v>12</v>
      </c>
      <c r="E658" s="1">
        <v>3</v>
      </c>
      <c r="F658" s="1">
        <v>143</v>
      </c>
      <c r="G658" s="1">
        <v>129</v>
      </c>
      <c r="H658" s="1">
        <v>96</v>
      </c>
      <c r="I658" s="2">
        <v>0.33730426164519328</v>
      </c>
      <c r="J658" s="2" t="s">
        <v>13</v>
      </c>
      <c r="K658" s="2" t="s">
        <v>13</v>
      </c>
      <c r="L658" s="2" t="s">
        <v>13</v>
      </c>
      <c r="M658" s="2" t="s">
        <v>13</v>
      </c>
      <c r="N658" s="1">
        <v>8.5</v>
      </c>
      <c r="O658" s="1">
        <v>0.5</v>
      </c>
    </row>
    <row r="659" spans="1:15" x14ac:dyDescent="0.25">
      <c r="A659" s="4" t="s">
        <v>14</v>
      </c>
      <c r="B659" s="1">
        <v>1</v>
      </c>
      <c r="C659" s="1" t="s">
        <v>261</v>
      </c>
      <c r="D659" s="1" t="s">
        <v>12</v>
      </c>
      <c r="E659" s="1">
        <v>1</v>
      </c>
      <c r="F659" s="1">
        <v>151</v>
      </c>
      <c r="G659" s="1">
        <v>102</v>
      </c>
      <c r="H659" s="1">
        <v>48</v>
      </c>
      <c r="I659" s="2" t="s">
        <v>13</v>
      </c>
      <c r="J659" s="2" t="s">
        <v>13</v>
      </c>
      <c r="K659" s="2" t="s">
        <v>13</v>
      </c>
      <c r="L659" s="2" t="s">
        <v>13</v>
      </c>
      <c r="M659" s="2" t="s">
        <v>13</v>
      </c>
      <c r="N659" s="1">
        <v>9</v>
      </c>
      <c r="O659" s="1">
        <v>0.2</v>
      </c>
    </row>
    <row r="660" spans="1:15" x14ac:dyDescent="0.25">
      <c r="A660" s="4" t="s">
        <v>14</v>
      </c>
      <c r="B660" s="1">
        <v>1</v>
      </c>
      <c r="C660" s="1" t="s">
        <v>261</v>
      </c>
      <c r="D660" s="1" t="s">
        <v>12</v>
      </c>
      <c r="E660" s="1">
        <v>2</v>
      </c>
      <c r="F660" s="1">
        <v>160</v>
      </c>
      <c r="G660" s="1">
        <v>121</v>
      </c>
      <c r="H660" s="1">
        <v>60</v>
      </c>
      <c r="I660" s="2" t="s">
        <v>13</v>
      </c>
      <c r="J660" s="2" t="s">
        <v>13</v>
      </c>
      <c r="K660" s="2" t="s">
        <v>13</v>
      </c>
      <c r="L660" s="2" t="s">
        <v>13</v>
      </c>
      <c r="M660" s="2" t="s">
        <v>13</v>
      </c>
      <c r="N660" s="1">
        <v>9.5</v>
      </c>
      <c r="O660" s="1">
        <v>2</v>
      </c>
    </row>
    <row r="661" spans="1:15" x14ac:dyDescent="0.25">
      <c r="A661" s="4" t="s">
        <v>14</v>
      </c>
      <c r="B661" s="1">
        <v>1</v>
      </c>
      <c r="C661" s="1" t="s">
        <v>261</v>
      </c>
      <c r="D661" s="1" t="s">
        <v>12</v>
      </c>
      <c r="E661" s="1">
        <v>3</v>
      </c>
      <c r="F661" s="5">
        <v>160</v>
      </c>
      <c r="G661" s="1">
        <v>125</v>
      </c>
      <c r="H661" s="1">
        <v>36</v>
      </c>
      <c r="I661" s="2" t="s">
        <v>13</v>
      </c>
      <c r="J661" s="2" t="s">
        <v>13</v>
      </c>
      <c r="K661" s="2" t="s">
        <v>13</v>
      </c>
      <c r="L661" s="2" t="s">
        <v>13</v>
      </c>
      <c r="M661" s="2" t="s">
        <v>13</v>
      </c>
      <c r="N661" s="1">
        <v>9</v>
      </c>
      <c r="O661" s="1">
        <v>1.5</v>
      </c>
    </row>
    <row r="662" spans="1:15" x14ac:dyDescent="0.25">
      <c r="A662" s="4" t="s">
        <v>14</v>
      </c>
      <c r="B662" s="1">
        <v>1</v>
      </c>
      <c r="C662" s="1" t="s">
        <v>262</v>
      </c>
      <c r="D662" s="1" t="s">
        <v>12</v>
      </c>
      <c r="E662" s="1">
        <v>1</v>
      </c>
      <c r="F662" s="1">
        <v>137</v>
      </c>
      <c r="G662" s="1">
        <v>102</v>
      </c>
      <c r="H662" s="5">
        <v>54</v>
      </c>
      <c r="I662" s="2" t="s">
        <v>13</v>
      </c>
      <c r="J662" s="2" t="s">
        <v>13</v>
      </c>
      <c r="K662" s="2" t="s">
        <v>13</v>
      </c>
      <c r="L662" s="2" t="s">
        <v>13</v>
      </c>
      <c r="M662" s="2" t="s">
        <v>13</v>
      </c>
      <c r="N662" s="1">
        <v>11</v>
      </c>
      <c r="O662" s="1">
        <v>4.5</v>
      </c>
    </row>
    <row r="663" spans="1:15" x14ac:dyDescent="0.25">
      <c r="A663" s="4" t="s">
        <v>14</v>
      </c>
      <c r="B663" s="1">
        <v>1</v>
      </c>
      <c r="C663" s="1" t="s">
        <v>262</v>
      </c>
      <c r="D663" s="1" t="s">
        <v>12</v>
      </c>
      <c r="E663" s="1">
        <v>2</v>
      </c>
      <c r="F663" s="1">
        <v>142</v>
      </c>
      <c r="G663" s="1">
        <v>103</v>
      </c>
      <c r="H663" s="1">
        <v>60</v>
      </c>
      <c r="I663" s="2" t="s">
        <v>13</v>
      </c>
      <c r="J663" s="2" t="s">
        <v>13</v>
      </c>
      <c r="K663" s="2" t="s">
        <v>13</v>
      </c>
      <c r="L663" s="2" t="s">
        <v>13</v>
      </c>
      <c r="M663" s="2" t="s">
        <v>13</v>
      </c>
      <c r="N663" s="1">
        <v>11.5</v>
      </c>
      <c r="O663" s="1">
        <v>3.5</v>
      </c>
    </row>
    <row r="664" spans="1:15" x14ac:dyDescent="0.25">
      <c r="A664" s="4" t="s">
        <v>14</v>
      </c>
      <c r="B664" s="1">
        <v>1</v>
      </c>
      <c r="C664" s="1" t="s">
        <v>262</v>
      </c>
      <c r="D664" s="1" t="s">
        <v>12</v>
      </c>
      <c r="E664" s="1">
        <v>3</v>
      </c>
      <c r="F664" s="1">
        <v>143</v>
      </c>
      <c r="G664" s="1">
        <v>110</v>
      </c>
      <c r="H664" s="1">
        <v>48</v>
      </c>
      <c r="I664" s="2" t="s">
        <v>13</v>
      </c>
      <c r="J664" s="2" t="s">
        <v>13</v>
      </c>
      <c r="K664" s="2" t="s">
        <v>13</v>
      </c>
      <c r="L664" s="2" t="s">
        <v>13</v>
      </c>
      <c r="M664" s="2" t="s">
        <v>13</v>
      </c>
      <c r="N664" s="1">
        <v>9</v>
      </c>
      <c r="O664" s="1">
        <v>4</v>
      </c>
    </row>
    <row r="665" spans="1:15" x14ac:dyDescent="0.25">
      <c r="A665" s="4" t="s">
        <v>14</v>
      </c>
      <c r="B665" s="1">
        <v>1</v>
      </c>
      <c r="C665" s="1" t="s">
        <v>263</v>
      </c>
      <c r="D665" s="1" t="s">
        <v>12</v>
      </c>
      <c r="E665" s="1">
        <v>1</v>
      </c>
      <c r="F665" s="1">
        <v>160</v>
      </c>
      <c r="G665" s="1">
        <v>115</v>
      </c>
      <c r="H665" s="1">
        <v>72</v>
      </c>
      <c r="I665" s="2" t="s">
        <v>13</v>
      </c>
      <c r="J665" s="2" t="s">
        <v>13</v>
      </c>
      <c r="K665" s="2" t="s">
        <v>13</v>
      </c>
      <c r="L665" s="2" t="s">
        <v>13</v>
      </c>
      <c r="M665" s="2" t="s">
        <v>13</v>
      </c>
      <c r="N665" s="1">
        <v>12</v>
      </c>
      <c r="O665" s="1">
        <v>0.5</v>
      </c>
    </row>
    <row r="666" spans="1:15" x14ac:dyDescent="0.25">
      <c r="A666" s="4" t="s">
        <v>14</v>
      </c>
      <c r="B666" s="1">
        <v>1</v>
      </c>
      <c r="C666" s="1" t="s">
        <v>263</v>
      </c>
      <c r="D666" s="1" t="s">
        <v>12</v>
      </c>
      <c r="E666" s="1">
        <v>2</v>
      </c>
      <c r="F666" s="5">
        <v>160</v>
      </c>
      <c r="G666" s="1">
        <v>115</v>
      </c>
      <c r="H666" s="1">
        <v>72</v>
      </c>
      <c r="I666" s="2" t="s">
        <v>13</v>
      </c>
      <c r="J666" s="2" t="s">
        <v>13</v>
      </c>
      <c r="K666" s="2" t="s">
        <v>13</v>
      </c>
      <c r="L666" s="2" t="s">
        <v>13</v>
      </c>
      <c r="M666" s="2" t="s">
        <v>13</v>
      </c>
      <c r="N666" s="1">
        <v>8.5</v>
      </c>
      <c r="O666" s="1">
        <v>0.3</v>
      </c>
    </row>
    <row r="667" spans="1:15" x14ac:dyDescent="0.25">
      <c r="A667" s="4" t="s">
        <v>14</v>
      </c>
      <c r="B667" s="1">
        <v>1</v>
      </c>
      <c r="C667" s="1" t="s">
        <v>263</v>
      </c>
      <c r="D667" s="1" t="s">
        <v>12</v>
      </c>
      <c r="E667" s="1">
        <v>3</v>
      </c>
      <c r="F667" s="1">
        <v>150</v>
      </c>
      <c r="G667" s="1">
        <v>123</v>
      </c>
      <c r="H667" s="1">
        <v>48</v>
      </c>
      <c r="I667" s="2" t="s">
        <v>13</v>
      </c>
      <c r="J667" s="2" t="s">
        <v>13</v>
      </c>
      <c r="K667" s="2" t="s">
        <v>13</v>
      </c>
      <c r="L667" s="2" t="s">
        <v>13</v>
      </c>
      <c r="M667" s="2" t="s">
        <v>13</v>
      </c>
      <c r="N667" s="1">
        <v>9</v>
      </c>
      <c r="O667" s="1">
        <v>1</v>
      </c>
    </row>
    <row r="668" spans="1:15" x14ac:dyDescent="0.25">
      <c r="A668" s="4" t="s">
        <v>10</v>
      </c>
      <c r="B668" s="1">
        <v>1</v>
      </c>
      <c r="C668" s="1" t="s">
        <v>264</v>
      </c>
      <c r="D668" s="1" t="s">
        <v>12</v>
      </c>
      <c r="E668" s="1">
        <v>1</v>
      </c>
      <c r="F668" s="1">
        <v>154</v>
      </c>
      <c r="G668" s="1">
        <v>85</v>
      </c>
      <c r="H668" s="1">
        <v>96</v>
      </c>
      <c r="I668" s="2" t="s">
        <v>13</v>
      </c>
      <c r="J668" s="2" t="s">
        <v>13</v>
      </c>
      <c r="K668" s="2" t="s">
        <v>13</v>
      </c>
      <c r="L668" s="2" t="s">
        <v>13</v>
      </c>
      <c r="M668" s="2" t="s">
        <v>13</v>
      </c>
      <c r="N668" s="1">
        <v>12.5</v>
      </c>
      <c r="O668" s="1">
        <v>4</v>
      </c>
    </row>
    <row r="669" spans="1:15" x14ac:dyDescent="0.25">
      <c r="A669" s="4" t="s">
        <v>10</v>
      </c>
      <c r="B669" s="1">
        <v>1</v>
      </c>
      <c r="C669" s="1" t="s">
        <v>264</v>
      </c>
      <c r="D669" s="1" t="s">
        <v>12</v>
      </c>
      <c r="E669" s="1">
        <v>2</v>
      </c>
      <c r="F669" s="1">
        <v>160</v>
      </c>
      <c r="G669" s="1">
        <v>92</v>
      </c>
      <c r="H669" s="1">
        <v>96</v>
      </c>
      <c r="I669" s="2" t="s">
        <v>13</v>
      </c>
      <c r="J669" s="2" t="s">
        <v>13</v>
      </c>
      <c r="K669" s="2" t="s">
        <v>13</v>
      </c>
      <c r="L669" s="2" t="s">
        <v>13</v>
      </c>
      <c r="M669" s="2" t="s">
        <v>13</v>
      </c>
      <c r="N669" s="1">
        <v>9</v>
      </c>
      <c r="O669" s="1">
        <v>2.5</v>
      </c>
    </row>
    <row r="670" spans="1:15" x14ac:dyDescent="0.25">
      <c r="A670" s="4" t="s">
        <v>10</v>
      </c>
      <c r="B670" s="1">
        <v>1</v>
      </c>
      <c r="C670" s="1" t="s">
        <v>264</v>
      </c>
      <c r="D670" s="1" t="s">
        <v>12</v>
      </c>
      <c r="E670" s="1">
        <v>3</v>
      </c>
      <c r="F670" s="1">
        <v>154</v>
      </c>
      <c r="G670" s="1">
        <v>86</v>
      </c>
      <c r="H670" s="1">
        <v>132</v>
      </c>
      <c r="I670" s="2" t="s">
        <v>13</v>
      </c>
      <c r="J670" s="2" t="s">
        <v>13</v>
      </c>
      <c r="K670" s="2" t="s">
        <v>13</v>
      </c>
      <c r="L670" s="2" t="s">
        <v>13</v>
      </c>
      <c r="M670" s="2" t="s">
        <v>13</v>
      </c>
      <c r="N670" s="1">
        <v>8</v>
      </c>
      <c r="O670" s="1">
        <v>3</v>
      </c>
    </row>
    <row r="671" spans="1:15" x14ac:dyDescent="0.25">
      <c r="A671" s="4" t="s">
        <v>10</v>
      </c>
      <c r="B671" s="1">
        <v>1</v>
      </c>
      <c r="C671" s="1" t="s">
        <v>265</v>
      </c>
      <c r="D671" s="1" t="s">
        <v>12</v>
      </c>
      <c r="E671" s="1">
        <v>1</v>
      </c>
      <c r="F671" s="1">
        <v>141</v>
      </c>
      <c r="G671" s="1">
        <v>126</v>
      </c>
      <c r="H671" s="5">
        <v>48</v>
      </c>
      <c r="I671" s="2" t="s">
        <v>13</v>
      </c>
      <c r="J671" s="2" t="s">
        <v>13</v>
      </c>
      <c r="K671" s="2" t="s">
        <v>13</v>
      </c>
      <c r="L671" s="2" t="s">
        <v>13</v>
      </c>
      <c r="M671" s="2" t="s">
        <v>13</v>
      </c>
      <c r="N671" s="1">
        <v>11</v>
      </c>
      <c r="O671" s="1">
        <v>2.5</v>
      </c>
    </row>
    <row r="672" spans="1:15" x14ac:dyDescent="0.25">
      <c r="A672" s="4" t="s">
        <v>10</v>
      </c>
      <c r="B672" s="1">
        <v>1</v>
      </c>
      <c r="C672" s="1" t="s">
        <v>265</v>
      </c>
      <c r="D672" s="1" t="s">
        <v>12</v>
      </c>
      <c r="E672" s="1">
        <v>2</v>
      </c>
      <c r="F672" s="1">
        <v>139</v>
      </c>
      <c r="G672" s="1">
        <v>123</v>
      </c>
      <c r="H672" s="1">
        <v>84</v>
      </c>
      <c r="I672" s="2" t="s">
        <v>13</v>
      </c>
      <c r="J672" s="2" t="s">
        <v>13</v>
      </c>
      <c r="K672" s="2" t="s">
        <v>13</v>
      </c>
      <c r="L672" s="2" t="s">
        <v>13</v>
      </c>
      <c r="M672" s="2" t="s">
        <v>13</v>
      </c>
      <c r="N672" s="1">
        <v>11</v>
      </c>
      <c r="O672" s="1">
        <v>3.5</v>
      </c>
    </row>
    <row r="673" spans="1:15" x14ac:dyDescent="0.25">
      <c r="A673" s="4" t="s">
        <v>10</v>
      </c>
      <c r="B673" s="1">
        <v>1</v>
      </c>
      <c r="C673" s="1" t="s">
        <v>265</v>
      </c>
      <c r="D673" s="1" t="s">
        <v>12</v>
      </c>
      <c r="E673" s="1">
        <v>3</v>
      </c>
      <c r="F673" s="1">
        <v>139</v>
      </c>
      <c r="G673" s="1">
        <v>120</v>
      </c>
      <c r="H673" s="1">
        <v>72</v>
      </c>
      <c r="I673" s="2" t="s">
        <v>13</v>
      </c>
      <c r="J673" s="2" t="s">
        <v>13</v>
      </c>
      <c r="K673" s="2" t="s">
        <v>13</v>
      </c>
      <c r="L673" s="2" t="s">
        <v>13</v>
      </c>
      <c r="M673" s="2" t="s">
        <v>13</v>
      </c>
      <c r="N673" s="1">
        <v>12</v>
      </c>
      <c r="O673" s="1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AD33-08A9-4727-A1AF-955E59E934F5}">
  <sheetPr codeName="Sheet2"/>
  <dimension ref="A1:AO901"/>
  <sheetViews>
    <sheetView tabSelected="1" workbookViewId="0">
      <pane xSplit="1" ySplit="1" topLeftCell="B2" activePane="bottomRight" state="frozen"/>
      <selection activeCell="C32" sqref="C32"/>
      <selection pane="topRight" activeCell="C32" sqref="C32"/>
      <selection pane="bottomLeft" activeCell="C32" sqref="C32"/>
      <selection pane="bottomRight" activeCell="U906" sqref="U906"/>
    </sheetView>
  </sheetViews>
  <sheetFormatPr defaultRowHeight="15" x14ac:dyDescent="0.25"/>
  <cols>
    <col min="2" max="2" width="33.42578125" customWidth="1"/>
    <col min="6" max="6" width="10" bestFit="1" customWidth="1"/>
    <col min="16" max="16" width="14.5703125" bestFit="1" customWidth="1"/>
    <col min="18" max="18" width="16.85546875" bestFit="1" customWidth="1"/>
    <col min="20" max="20" width="24.42578125" bestFit="1" customWidth="1"/>
    <col min="21" max="21" width="11.42578125" customWidth="1"/>
    <col min="28" max="28" width="23.42578125" bestFit="1" customWidth="1"/>
    <col min="36" max="36" width="11.42578125" bestFit="1" customWidth="1"/>
    <col min="37" max="37" width="11.140625" bestFit="1" customWidth="1"/>
    <col min="38" max="38" width="3.85546875" bestFit="1" customWidth="1"/>
    <col min="39" max="39" width="5.85546875" bestFit="1" customWidth="1"/>
    <col min="40" max="40" width="18.7109375" bestFit="1" customWidth="1"/>
    <col min="41" max="41" width="8.5703125" bestFit="1" customWidth="1"/>
  </cols>
  <sheetData>
    <row r="1" spans="1:41" x14ac:dyDescent="0.25">
      <c r="A1" t="s">
        <v>266</v>
      </c>
      <c r="D1" t="s">
        <v>3</v>
      </c>
      <c r="E1" t="s">
        <v>267</v>
      </c>
      <c r="F1" t="s">
        <v>268</v>
      </c>
      <c r="G1" t="s">
        <v>5</v>
      </c>
      <c r="H1" t="s">
        <v>269</v>
      </c>
      <c r="I1" t="s">
        <v>270</v>
      </c>
      <c r="J1" t="s">
        <v>271</v>
      </c>
      <c r="K1" t="s">
        <v>269</v>
      </c>
      <c r="L1" t="s">
        <v>270</v>
      </c>
      <c r="M1" t="s">
        <v>272</v>
      </c>
      <c r="N1" t="s">
        <v>269</v>
      </c>
      <c r="O1" t="s">
        <v>270</v>
      </c>
      <c r="P1" t="s">
        <v>273</v>
      </c>
      <c r="Q1" t="s">
        <v>274</v>
      </c>
      <c r="R1" t="s">
        <v>275</v>
      </c>
      <c r="S1" t="s">
        <v>276</v>
      </c>
      <c r="T1" t="s">
        <v>277</v>
      </c>
      <c r="U1" t="s">
        <v>541</v>
      </c>
    </row>
    <row r="2" spans="1:41" x14ac:dyDescent="0.25">
      <c r="A2" t="s">
        <v>278</v>
      </c>
      <c r="B2" s="4" t="s">
        <v>24</v>
      </c>
      <c r="C2" s="1">
        <v>3</v>
      </c>
      <c r="D2">
        <v>40</v>
      </c>
      <c r="E2">
        <v>1</v>
      </c>
      <c r="F2">
        <v>6</v>
      </c>
      <c r="G2">
        <v>116</v>
      </c>
      <c r="H2">
        <f>AVERAGE(G2:G4)</f>
        <v>113.33333333333333</v>
      </c>
      <c r="I2">
        <f>_xlfn.STDEV.P(G2:G4)</f>
        <v>5.2493385826745405</v>
      </c>
      <c r="J2">
        <v>22</v>
      </c>
      <c r="K2">
        <f>AVERAGE(J2:J4)</f>
        <v>22.333333333333332</v>
      </c>
      <c r="L2">
        <f>_xlfn.STDEV.P(J2:J4)</f>
        <v>2.0548046676563256</v>
      </c>
      <c r="M2">
        <v>32</v>
      </c>
      <c r="N2">
        <f>AVERAGE(M2:M4)</f>
        <v>49.333333333333336</v>
      </c>
      <c r="O2">
        <f>_xlfn.STDEV.P(M2:M4)</f>
        <v>17.913371790059205</v>
      </c>
      <c r="P2">
        <v>177</v>
      </c>
      <c r="Q2">
        <v>0.63</v>
      </c>
      <c r="R2">
        <v>111.51</v>
      </c>
      <c r="S2">
        <v>0.57999999999999996</v>
      </c>
      <c r="T2">
        <v>102.66</v>
      </c>
      <c r="U2" t="s">
        <v>20</v>
      </c>
      <c r="AB2" t="s">
        <v>5</v>
      </c>
    </row>
    <row r="3" spans="1:41" x14ac:dyDescent="0.25">
      <c r="A3" t="s">
        <v>278</v>
      </c>
      <c r="B3" s="4" t="s">
        <v>24</v>
      </c>
      <c r="C3" s="1">
        <v>3</v>
      </c>
      <c r="D3">
        <v>40</v>
      </c>
      <c r="E3">
        <v>2</v>
      </c>
      <c r="F3">
        <v>10</v>
      </c>
      <c r="G3">
        <v>106</v>
      </c>
      <c r="H3">
        <f>H2</f>
        <v>113.33333333333333</v>
      </c>
      <c r="I3">
        <f>I2</f>
        <v>5.2493385826745405</v>
      </c>
      <c r="J3">
        <v>25</v>
      </c>
      <c r="K3">
        <f>K2</f>
        <v>22.333333333333332</v>
      </c>
      <c r="L3">
        <f>L2</f>
        <v>2.0548046676563256</v>
      </c>
      <c r="M3">
        <v>74</v>
      </c>
      <c r="N3">
        <f>N2</f>
        <v>49.333333333333336</v>
      </c>
      <c r="O3">
        <f>O2</f>
        <v>17.913371790059205</v>
      </c>
      <c r="P3">
        <v>168</v>
      </c>
      <c r="Q3">
        <v>0.78</v>
      </c>
      <c r="R3">
        <v>131.04</v>
      </c>
      <c r="S3">
        <v>0.4</v>
      </c>
      <c r="T3">
        <v>67.2</v>
      </c>
      <c r="U3" t="s">
        <v>20</v>
      </c>
      <c r="AB3" t="s">
        <v>279</v>
      </c>
      <c r="AC3" t="s">
        <v>280</v>
      </c>
      <c r="AD3" t="s">
        <v>281</v>
      </c>
      <c r="AE3" t="s">
        <v>282</v>
      </c>
      <c r="AF3" t="s">
        <v>283</v>
      </c>
      <c r="AG3" t="s">
        <v>284</v>
      </c>
      <c r="AJ3" s="8" t="s">
        <v>285</v>
      </c>
      <c r="AK3" s="9" t="s">
        <v>286</v>
      </c>
      <c r="AL3" s="9" t="s">
        <v>287</v>
      </c>
      <c r="AM3" s="9" t="s">
        <v>288</v>
      </c>
      <c r="AN3" s="9" t="s">
        <v>289</v>
      </c>
      <c r="AO3" s="9" t="s">
        <v>290</v>
      </c>
    </row>
    <row r="4" spans="1:41" x14ac:dyDescent="0.25">
      <c r="A4" t="s">
        <v>278</v>
      </c>
      <c r="B4" s="4" t="s">
        <v>24</v>
      </c>
      <c r="C4" s="1">
        <v>3</v>
      </c>
      <c r="D4">
        <v>40</v>
      </c>
      <c r="E4">
        <v>3</v>
      </c>
      <c r="F4">
        <v>6</v>
      </c>
      <c r="G4">
        <v>118</v>
      </c>
      <c r="H4">
        <f>H2</f>
        <v>113.33333333333333</v>
      </c>
      <c r="I4">
        <f>I2</f>
        <v>5.2493385826745405</v>
      </c>
      <c r="J4">
        <v>20</v>
      </c>
      <c r="K4">
        <f>K2</f>
        <v>22.333333333333332</v>
      </c>
      <c r="L4">
        <f>L2</f>
        <v>2.0548046676563256</v>
      </c>
      <c r="M4">
        <v>42</v>
      </c>
      <c r="N4">
        <f>N2</f>
        <v>49.333333333333336</v>
      </c>
      <c r="O4">
        <f>O2</f>
        <v>17.913371790059205</v>
      </c>
      <c r="P4">
        <v>186</v>
      </c>
      <c r="Q4">
        <v>0.59</v>
      </c>
      <c r="R4">
        <v>109.74</v>
      </c>
      <c r="S4">
        <v>0.35</v>
      </c>
      <c r="T4">
        <v>65.099999999999994</v>
      </c>
      <c r="U4" t="s">
        <v>20</v>
      </c>
      <c r="AB4" t="s">
        <v>267</v>
      </c>
      <c r="AC4">
        <v>2</v>
      </c>
      <c r="AD4">
        <v>121.85</v>
      </c>
      <c r="AE4">
        <v>60.93</v>
      </c>
      <c r="AF4">
        <v>2.31</v>
      </c>
      <c r="AG4">
        <v>0.1</v>
      </c>
      <c r="AJ4" s="8" t="s">
        <v>291</v>
      </c>
      <c r="AK4" s="9">
        <v>3339</v>
      </c>
      <c r="AL4" s="9">
        <v>149</v>
      </c>
      <c r="AM4" s="9">
        <v>22.41</v>
      </c>
      <c r="AN4" s="9" t="s">
        <v>292</v>
      </c>
      <c r="AO4" s="9" t="s">
        <v>293</v>
      </c>
    </row>
    <row r="5" spans="1:41" x14ac:dyDescent="0.25">
      <c r="A5" t="s">
        <v>294</v>
      </c>
      <c r="B5" s="4" t="s">
        <v>14</v>
      </c>
      <c r="C5" s="1" t="s">
        <v>20</v>
      </c>
      <c r="D5">
        <v>40</v>
      </c>
      <c r="E5">
        <v>1</v>
      </c>
      <c r="F5">
        <v>24</v>
      </c>
      <c r="G5">
        <v>0</v>
      </c>
      <c r="H5">
        <f t="shared" ref="H5" si="0">AVERAGE(G5:G7)</f>
        <v>0</v>
      </c>
      <c r="I5">
        <f t="shared" ref="I5" si="1">_xlfn.STDEV.P(G5:G7)</f>
        <v>0</v>
      </c>
      <c r="J5">
        <v>2</v>
      </c>
      <c r="K5">
        <f t="shared" ref="K5" si="2">AVERAGE(J5:J7)</f>
        <v>1.3333333333333333</v>
      </c>
      <c r="L5">
        <f t="shared" ref="L5" si="3">_xlfn.STDEV.P(J5:J7)</f>
        <v>0.47140452079103168</v>
      </c>
      <c r="M5">
        <v>90</v>
      </c>
      <c r="N5">
        <f t="shared" ref="N5" si="4">AVERAGE(M5:M7)</f>
        <v>89.333333333333329</v>
      </c>
      <c r="O5">
        <f t="shared" ref="O5" si="5">_xlfn.STDEV.P(M5:M7)</f>
        <v>0.94280904158206336</v>
      </c>
      <c r="Q5">
        <v>0.62</v>
      </c>
      <c r="R5" t="s">
        <v>20</v>
      </c>
      <c r="S5">
        <v>0.57999999999999996</v>
      </c>
      <c r="T5" t="s">
        <v>20</v>
      </c>
      <c r="U5" t="s">
        <v>20</v>
      </c>
      <c r="AB5" t="s">
        <v>295</v>
      </c>
      <c r="AC5">
        <v>144</v>
      </c>
      <c r="AD5">
        <v>170497.06</v>
      </c>
      <c r="AE5">
        <v>1184.01</v>
      </c>
      <c r="AF5">
        <v>44.88</v>
      </c>
      <c r="AG5" t="s">
        <v>296</v>
      </c>
      <c r="AJ5" s="8" t="s">
        <v>297</v>
      </c>
      <c r="AK5" s="9">
        <v>477680</v>
      </c>
      <c r="AL5" s="9">
        <v>149</v>
      </c>
      <c r="AM5" s="9">
        <v>3206</v>
      </c>
      <c r="AN5" s="9" t="s">
        <v>298</v>
      </c>
      <c r="AO5" s="9" t="s">
        <v>299</v>
      </c>
    </row>
    <row r="6" spans="1:41" x14ac:dyDescent="0.25">
      <c r="A6" t="s">
        <v>294</v>
      </c>
      <c r="B6" s="4" t="s">
        <v>14</v>
      </c>
      <c r="C6" s="1" t="s">
        <v>20</v>
      </c>
      <c r="D6">
        <v>40</v>
      </c>
      <c r="E6">
        <v>2</v>
      </c>
      <c r="F6">
        <v>26</v>
      </c>
      <c r="G6">
        <v>0</v>
      </c>
      <c r="H6">
        <f t="shared" ref="H6:I6" si="6">H5</f>
        <v>0</v>
      </c>
      <c r="I6">
        <f t="shared" si="6"/>
        <v>0</v>
      </c>
      <c r="J6">
        <v>1</v>
      </c>
      <c r="K6">
        <f t="shared" ref="K6:L6" si="7">K5</f>
        <v>1.3333333333333333</v>
      </c>
      <c r="L6">
        <f t="shared" si="7"/>
        <v>0.47140452079103168</v>
      </c>
      <c r="M6">
        <v>88</v>
      </c>
      <c r="N6">
        <f t="shared" ref="N6:O6" si="8">N5</f>
        <v>89.333333333333329</v>
      </c>
      <c r="O6">
        <f t="shared" si="8"/>
        <v>0.94280904158206336</v>
      </c>
      <c r="Q6">
        <v>0.68</v>
      </c>
      <c r="R6" t="s">
        <v>20</v>
      </c>
      <c r="S6">
        <v>0.63</v>
      </c>
      <c r="T6" t="s">
        <v>20</v>
      </c>
      <c r="U6" t="s">
        <v>20</v>
      </c>
      <c r="AB6" t="s">
        <v>300</v>
      </c>
      <c r="AC6">
        <v>144</v>
      </c>
      <c r="AD6">
        <v>170487.26</v>
      </c>
      <c r="AE6">
        <v>1183.94</v>
      </c>
      <c r="AF6">
        <v>44.87</v>
      </c>
      <c r="AG6" t="s">
        <v>296</v>
      </c>
      <c r="AJ6" s="8" t="s">
        <v>301</v>
      </c>
      <c r="AK6" s="9">
        <v>178.1</v>
      </c>
      <c r="AL6" s="9">
        <v>1</v>
      </c>
      <c r="AM6" s="9">
        <v>178.1</v>
      </c>
      <c r="AN6" s="9" t="s">
        <v>302</v>
      </c>
      <c r="AO6" s="9" t="s">
        <v>303</v>
      </c>
    </row>
    <row r="7" spans="1:41" x14ac:dyDescent="0.25">
      <c r="A7" t="s">
        <v>294</v>
      </c>
      <c r="B7" s="4" t="s">
        <v>14</v>
      </c>
      <c r="C7" s="1" t="s">
        <v>20</v>
      </c>
      <c r="D7">
        <v>40</v>
      </c>
      <c r="E7">
        <v>3</v>
      </c>
      <c r="F7">
        <v>34</v>
      </c>
      <c r="G7">
        <v>0</v>
      </c>
      <c r="H7">
        <f t="shared" ref="H7:I7" si="9">H5</f>
        <v>0</v>
      </c>
      <c r="I7">
        <f t="shared" si="9"/>
        <v>0</v>
      </c>
      <c r="J7">
        <v>1</v>
      </c>
      <c r="K7">
        <f t="shared" ref="K7:L7" si="10">K5</f>
        <v>1.3333333333333333</v>
      </c>
      <c r="L7">
        <f t="shared" si="10"/>
        <v>0.47140452079103168</v>
      </c>
      <c r="M7">
        <v>90</v>
      </c>
      <c r="N7">
        <f t="shared" ref="N7:O7" si="11">N5</f>
        <v>89.333333333333329</v>
      </c>
      <c r="O7">
        <f t="shared" si="11"/>
        <v>0.94280904158206336</v>
      </c>
      <c r="Q7">
        <v>0.46</v>
      </c>
      <c r="R7" t="s">
        <v>20</v>
      </c>
      <c r="S7">
        <v>0.44</v>
      </c>
      <c r="T7" t="s">
        <v>20</v>
      </c>
      <c r="U7" t="s">
        <v>20</v>
      </c>
      <c r="AB7" t="s">
        <v>304</v>
      </c>
      <c r="AC7">
        <v>1</v>
      </c>
      <c r="AD7">
        <v>213.65</v>
      </c>
      <c r="AE7">
        <v>213.65</v>
      </c>
      <c r="AF7">
        <v>8.1</v>
      </c>
      <c r="AG7">
        <v>5.0000000000000001E-3</v>
      </c>
      <c r="AJ7" s="8" t="s">
        <v>305</v>
      </c>
      <c r="AK7" s="9">
        <v>15014</v>
      </c>
      <c r="AL7" s="9">
        <v>586</v>
      </c>
      <c r="AM7" s="9">
        <v>25.62</v>
      </c>
      <c r="AN7" s="9"/>
      <c r="AO7" s="9"/>
    </row>
    <row r="8" spans="1:41" x14ac:dyDescent="0.25">
      <c r="A8" t="s">
        <v>306</v>
      </c>
      <c r="B8" s="4" t="s">
        <v>14</v>
      </c>
      <c r="C8" s="4">
        <v>1</v>
      </c>
      <c r="D8">
        <v>40</v>
      </c>
      <c r="E8">
        <v>1</v>
      </c>
      <c r="F8">
        <v>68</v>
      </c>
      <c r="G8">
        <v>0</v>
      </c>
      <c r="H8">
        <f t="shared" ref="H8" si="12">AVERAGE(G8:G10)</f>
        <v>0</v>
      </c>
      <c r="I8">
        <f t="shared" ref="I8" si="13">_xlfn.STDEV.P(G8:G10)</f>
        <v>0</v>
      </c>
      <c r="J8">
        <v>2</v>
      </c>
      <c r="K8">
        <f t="shared" ref="K8" si="14">AVERAGE(J8:J10)</f>
        <v>2</v>
      </c>
      <c r="L8">
        <f t="shared" ref="L8" si="15">_xlfn.STDEV.P(J8:J10)</f>
        <v>0.81649658092772603</v>
      </c>
      <c r="M8">
        <v>70</v>
      </c>
      <c r="N8">
        <f t="shared" ref="N8" si="16">AVERAGE(M8:M10)</f>
        <v>67</v>
      </c>
      <c r="O8">
        <f t="shared" ref="O8" si="17">_xlfn.STDEV.P(M8:M10)</f>
        <v>8.0415587212098796</v>
      </c>
      <c r="Q8">
        <v>0.67</v>
      </c>
      <c r="R8" t="s">
        <v>20</v>
      </c>
      <c r="S8">
        <v>0.51</v>
      </c>
      <c r="T8" t="s">
        <v>20</v>
      </c>
      <c r="U8" t="s">
        <v>20</v>
      </c>
      <c r="AB8" t="s">
        <v>307</v>
      </c>
      <c r="AC8">
        <v>1</v>
      </c>
      <c r="AD8">
        <v>203.85</v>
      </c>
      <c r="AE8">
        <v>203.85</v>
      </c>
      <c r="AF8">
        <v>7.73</v>
      </c>
      <c r="AG8">
        <v>6.0000000000000001E-3</v>
      </c>
    </row>
    <row r="9" spans="1:41" x14ac:dyDescent="0.25">
      <c r="A9" t="s">
        <v>306</v>
      </c>
      <c r="B9" s="4" t="s">
        <v>14</v>
      </c>
      <c r="C9" s="4">
        <v>1</v>
      </c>
      <c r="D9">
        <v>40</v>
      </c>
      <c r="E9">
        <v>2</v>
      </c>
      <c r="F9">
        <v>62</v>
      </c>
      <c r="G9">
        <v>0</v>
      </c>
      <c r="H9">
        <f t="shared" ref="H9:I9" si="18">H8</f>
        <v>0</v>
      </c>
      <c r="I9">
        <f t="shared" si="18"/>
        <v>0</v>
      </c>
      <c r="J9">
        <v>3</v>
      </c>
      <c r="K9">
        <f t="shared" ref="K9:L9" si="19">K8</f>
        <v>2</v>
      </c>
      <c r="L9">
        <f t="shared" si="19"/>
        <v>0.81649658092772603</v>
      </c>
      <c r="M9">
        <v>75</v>
      </c>
      <c r="N9">
        <f t="shared" ref="N9:O9" si="20">N8</f>
        <v>67</v>
      </c>
      <c r="O9">
        <f t="shared" si="20"/>
        <v>8.0415587212098796</v>
      </c>
      <c r="Q9">
        <v>0.61</v>
      </c>
      <c r="R9" t="s">
        <v>20</v>
      </c>
      <c r="S9">
        <v>0.72</v>
      </c>
      <c r="T9" t="s">
        <v>20</v>
      </c>
      <c r="U9" t="s">
        <v>20</v>
      </c>
      <c r="AB9" t="s">
        <v>308</v>
      </c>
      <c r="AC9">
        <v>144</v>
      </c>
      <c r="AD9">
        <v>3323.92</v>
      </c>
      <c r="AE9">
        <v>23.08</v>
      </c>
      <c r="AF9">
        <v>0.87</v>
      </c>
      <c r="AG9">
        <v>0.83399999999999996</v>
      </c>
    </row>
    <row r="10" spans="1:41" x14ac:dyDescent="0.25">
      <c r="A10" t="s">
        <v>306</v>
      </c>
      <c r="B10" s="4" t="s">
        <v>14</v>
      </c>
      <c r="C10" s="4">
        <v>1</v>
      </c>
      <c r="D10">
        <v>40</v>
      </c>
      <c r="E10">
        <v>3</v>
      </c>
      <c r="F10">
        <v>64</v>
      </c>
      <c r="G10">
        <v>0</v>
      </c>
      <c r="H10">
        <f t="shared" ref="H10:I10" si="21">H8</f>
        <v>0</v>
      </c>
      <c r="I10">
        <f t="shared" si="21"/>
        <v>0</v>
      </c>
      <c r="J10">
        <v>1</v>
      </c>
      <c r="K10">
        <f t="shared" ref="K10:L10" si="22">K8</f>
        <v>2</v>
      </c>
      <c r="L10">
        <f t="shared" si="22"/>
        <v>0.81649658092772603</v>
      </c>
      <c r="M10">
        <v>56</v>
      </c>
      <c r="N10">
        <f t="shared" ref="N10:O10" si="23">N8</f>
        <v>67</v>
      </c>
      <c r="O10">
        <f t="shared" si="23"/>
        <v>8.0415587212098796</v>
      </c>
      <c r="Q10">
        <v>0.62</v>
      </c>
      <c r="R10" t="s">
        <v>20</v>
      </c>
      <c r="S10">
        <v>0.57999999999999996</v>
      </c>
      <c r="T10" t="s">
        <v>20</v>
      </c>
      <c r="U10" t="s">
        <v>20</v>
      </c>
      <c r="AB10" t="s">
        <v>309</v>
      </c>
      <c r="AC10">
        <v>565</v>
      </c>
      <c r="AD10">
        <v>14906.71</v>
      </c>
      <c r="AE10">
        <v>26.38</v>
      </c>
      <c r="AF10" t="s">
        <v>310</v>
      </c>
      <c r="AG10" t="s">
        <v>310</v>
      </c>
    </row>
    <row r="11" spans="1:41" x14ac:dyDescent="0.25">
      <c r="A11" t="s">
        <v>311</v>
      </c>
      <c r="B11" s="4" t="s">
        <v>14</v>
      </c>
      <c r="C11" s="4">
        <v>1</v>
      </c>
      <c r="D11">
        <v>40</v>
      </c>
      <c r="E11">
        <v>1</v>
      </c>
      <c r="F11" t="s">
        <v>20</v>
      </c>
      <c r="G11">
        <v>0</v>
      </c>
      <c r="H11">
        <f t="shared" ref="H11" si="24">AVERAGE(G11:G13)</f>
        <v>0</v>
      </c>
      <c r="I11">
        <f t="shared" ref="I11" si="25">_xlfn.STDEV.P(G11:G13)</f>
        <v>0</v>
      </c>
      <c r="J11">
        <v>1</v>
      </c>
      <c r="K11">
        <f t="shared" ref="K11" si="26">AVERAGE(J11:J13)</f>
        <v>1</v>
      </c>
      <c r="L11">
        <f t="shared" ref="L11" si="27">_xlfn.STDEV.P(J11:J13)</f>
        <v>0</v>
      </c>
      <c r="M11">
        <v>90</v>
      </c>
      <c r="N11">
        <f t="shared" ref="N11" si="28">AVERAGE(M11:M13)</f>
        <v>96</v>
      </c>
      <c r="O11">
        <f t="shared" ref="O11" si="29">_xlfn.STDEV.P(M11:M13)</f>
        <v>5.3541261347363367</v>
      </c>
      <c r="Q11">
        <v>0.64</v>
      </c>
      <c r="R11" t="s">
        <v>20</v>
      </c>
      <c r="S11">
        <v>0.6</v>
      </c>
      <c r="T11" t="s">
        <v>20</v>
      </c>
      <c r="U11" t="s">
        <v>20</v>
      </c>
      <c r="AB11" t="s">
        <v>312</v>
      </c>
      <c r="AC11">
        <v>856</v>
      </c>
      <c r="AD11">
        <v>189053.39</v>
      </c>
      <c r="AE11">
        <v>220.86</v>
      </c>
      <c r="AF11" t="s">
        <v>313</v>
      </c>
    </row>
    <row r="12" spans="1:41" x14ac:dyDescent="0.25">
      <c r="A12" t="s">
        <v>311</v>
      </c>
      <c r="B12" s="4" t="s">
        <v>14</v>
      </c>
      <c r="C12" s="4">
        <v>1</v>
      </c>
      <c r="D12">
        <v>40</v>
      </c>
      <c r="E12">
        <v>2</v>
      </c>
      <c r="F12" t="s">
        <v>20</v>
      </c>
      <c r="G12">
        <v>0</v>
      </c>
      <c r="H12">
        <f t="shared" ref="H12:I12" si="30">H11</f>
        <v>0</v>
      </c>
      <c r="I12">
        <f t="shared" si="30"/>
        <v>0</v>
      </c>
      <c r="J12">
        <v>1</v>
      </c>
      <c r="K12">
        <f t="shared" ref="K12:L12" si="31">K11</f>
        <v>1</v>
      </c>
      <c r="L12">
        <f t="shared" si="31"/>
        <v>0</v>
      </c>
      <c r="M12">
        <v>103</v>
      </c>
      <c r="N12">
        <f t="shared" ref="N12:O12" si="32">N11</f>
        <v>96</v>
      </c>
      <c r="O12">
        <f t="shared" si="32"/>
        <v>5.3541261347363367</v>
      </c>
      <c r="Q12">
        <v>0.64</v>
      </c>
      <c r="R12" t="s">
        <v>20</v>
      </c>
      <c r="S12">
        <v>0.57999999999999996</v>
      </c>
      <c r="T12" t="s">
        <v>20</v>
      </c>
      <c r="U12" t="s">
        <v>20</v>
      </c>
    </row>
    <row r="13" spans="1:41" x14ac:dyDescent="0.25">
      <c r="A13" t="s">
        <v>311</v>
      </c>
      <c r="B13" s="4" t="s">
        <v>14</v>
      </c>
      <c r="C13" s="4">
        <v>1</v>
      </c>
      <c r="D13">
        <v>40</v>
      </c>
      <c r="E13">
        <v>3</v>
      </c>
      <c r="F13">
        <v>26</v>
      </c>
      <c r="G13">
        <v>0</v>
      </c>
      <c r="H13">
        <f t="shared" ref="H13:I13" si="33">H11</f>
        <v>0</v>
      </c>
      <c r="I13">
        <f t="shared" si="33"/>
        <v>0</v>
      </c>
      <c r="J13">
        <v>1</v>
      </c>
      <c r="K13">
        <f t="shared" ref="K13:L13" si="34">K11</f>
        <v>1</v>
      </c>
      <c r="L13">
        <f t="shared" si="34"/>
        <v>0</v>
      </c>
      <c r="M13">
        <v>95</v>
      </c>
      <c r="N13">
        <f t="shared" ref="N13:O13" si="35">N11</f>
        <v>96</v>
      </c>
      <c r="O13">
        <f t="shared" si="35"/>
        <v>5.3541261347363367</v>
      </c>
      <c r="Q13">
        <v>0.7</v>
      </c>
      <c r="R13" t="s">
        <v>20</v>
      </c>
      <c r="S13">
        <v>0.67</v>
      </c>
      <c r="T13" t="s">
        <v>20</v>
      </c>
      <c r="U13" t="s">
        <v>20</v>
      </c>
      <c r="AB13" t="s">
        <v>271</v>
      </c>
    </row>
    <row r="14" spans="1:41" x14ac:dyDescent="0.25">
      <c r="A14" t="s">
        <v>314</v>
      </c>
      <c r="B14" s="4" t="s">
        <v>14</v>
      </c>
      <c r="C14" s="4">
        <v>1</v>
      </c>
      <c r="D14">
        <v>40</v>
      </c>
      <c r="E14">
        <v>1</v>
      </c>
      <c r="F14">
        <v>18</v>
      </c>
      <c r="G14">
        <v>130</v>
      </c>
      <c r="H14">
        <f t="shared" ref="H14" si="36">AVERAGE(G14:G16)</f>
        <v>135.66666666666666</v>
      </c>
      <c r="I14">
        <f t="shared" ref="I14" si="37">_xlfn.STDEV.P(G14:G16)</f>
        <v>4.0276819911981905</v>
      </c>
      <c r="J14">
        <v>1</v>
      </c>
      <c r="K14">
        <f t="shared" ref="K14" si="38">AVERAGE(J14:J16)</f>
        <v>2</v>
      </c>
      <c r="L14">
        <f t="shared" ref="L14" si="39">_xlfn.STDEV.P(J14:J16)</f>
        <v>0.81649658092772603</v>
      </c>
      <c r="M14">
        <v>104</v>
      </c>
      <c r="N14">
        <f t="shared" ref="N14" si="40">AVERAGE(M14:M16)</f>
        <v>110.33333333333333</v>
      </c>
      <c r="O14">
        <f t="shared" ref="O14" si="41">_xlfn.STDEV.P(M14:M16)</f>
        <v>5.3124591501697429</v>
      </c>
      <c r="P14">
        <v>180</v>
      </c>
      <c r="Q14">
        <v>0.59</v>
      </c>
      <c r="R14">
        <v>106.19999999999999</v>
      </c>
      <c r="S14">
        <v>0.56999999999999995</v>
      </c>
      <c r="T14">
        <v>102.6</v>
      </c>
      <c r="U14" t="s">
        <v>20</v>
      </c>
      <c r="AB14" t="s">
        <v>279</v>
      </c>
      <c r="AC14" t="s">
        <v>280</v>
      </c>
      <c r="AD14" t="s">
        <v>281</v>
      </c>
      <c r="AE14" t="s">
        <v>282</v>
      </c>
      <c r="AF14" t="s">
        <v>283</v>
      </c>
      <c r="AG14" t="s">
        <v>284</v>
      </c>
    </row>
    <row r="15" spans="1:41" x14ac:dyDescent="0.25">
      <c r="A15" t="s">
        <v>314</v>
      </c>
      <c r="B15" s="4" t="s">
        <v>14</v>
      </c>
      <c r="C15" s="4">
        <v>1</v>
      </c>
      <c r="D15">
        <v>40</v>
      </c>
      <c r="E15">
        <v>2</v>
      </c>
      <c r="F15">
        <v>16</v>
      </c>
      <c r="G15">
        <v>139</v>
      </c>
      <c r="H15">
        <f t="shared" ref="H15:I15" si="42">H14</f>
        <v>135.66666666666666</v>
      </c>
      <c r="I15">
        <f t="shared" si="42"/>
        <v>4.0276819911981905</v>
      </c>
      <c r="J15">
        <v>3</v>
      </c>
      <c r="K15">
        <f t="shared" ref="K15:L15" si="43">K14</f>
        <v>2</v>
      </c>
      <c r="L15">
        <f t="shared" si="43"/>
        <v>0.81649658092772603</v>
      </c>
      <c r="M15">
        <v>117</v>
      </c>
      <c r="N15">
        <f t="shared" ref="N15:O15" si="44">N14</f>
        <v>110.33333333333333</v>
      </c>
      <c r="O15">
        <f t="shared" si="44"/>
        <v>5.3124591501697429</v>
      </c>
      <c r="P15">
        <v>162</v>
      </c>
      <c r="Q15">
        <v>0.54</v>
      </c>
      <c r="R15">
        <v>87.48</v>
      </c>
      <c r="S15">
        <v>0.51</v>
      </c>
      <c r="T15">
        <v>82.62</v>
      </c>
      <c r="U15" t="s">
        <v>20</v>
      </c>
      <c r="AB15" t="s">
        <v>267</v>
      </c>
      <c r="AC15">
        <v>2</v>
      </c>
      <c r="AD15">
        <v>21.606999999999999</v>
      </c>
      <c r="AE15">
        <v>10.803000000000001</v>
      </c>
      <c r="AF15">
        <v>4.57</v>
      </c>
      <c r="AG15">
        <v>1.0999999999999999E-2</v>
      </c>
    </row>
    <row r="16" spans="1:41" x14ac:dyDescent="0.25">
      <c r="A16" t="s">
        <v>314</v>
      </c>
      <c r="B16" s="4" t="s">
        <v>14</v>
      </c>
      <c r="C16" s="4">
        <v>1</v>
      </c>
      <c r="D16">
        <v>40</v>
      </c>
      <c r="E16">
        <v>3</v>
      </c>
      <c r="F16">
        <v>20</v>
      </c>
      <c r="G16">
        <v>138</v>
      </c>
      <c r="H16">
        <f t="shared" ref="H16:I16" si="45">H14</f>
        <v>135.66666666666666</v>
      </c>
      <c r="I16">
        <f t="shared" si="45"/>
        <v>4.0276819911981905</v>
      </c>
      <c r="J16">
        <v>2</v>
      </c>
      <c r="K16">
        <f t="shared" ref="K16:L16" si="46">K14</f>
        <v>2</v>
      </c>
      <c r="L16">
        <f t="shared" si="46"/>
        <v>0.81649658092772603</v>
      </c>
      <c r="M16">
        <v>110</v>
      </c>
      <c r="N16">
        <f t="shared" ref="N16:O16" si="47">N14</f>
        <v>110.33333333333333</v>
      </c>
      <c r="O16">
        <f t="shared" si="47"/>
        <v>5.3124591501697429</v>
      </c>
      <c r="P16">
        <v>177</v>
      </c>
      <c r="Q16">
        <v>0.56999999999999995</v>
      </c>
      <c r="R16">
        <v>100.88999999999999</v>
      </c>
      <c r="S16">
        <v>0.68</v>
      </c>
      <c r="T16">
        <v>120.36000000000001</v>
      </c>
      <c r="U16" t="s">
        <v>20</v>
      </c>
      <c r="AB16" t="s">
        <v>295</v>
      </c>
      <c r="AC16">
        <v>149</v>
      </c>
      <c r="AD16">
        <v>18438.954000000002</v>
      </c>
      <c r="AE16">
        <v>123.751</v>
      </c>
      <c r="AF16">
        <v>52.38</v>
      </c>
      <c r="AG16" t="s">
        <v>296</v>
      </c>
    </row>
    <row r="17" spans="1:33" x14ac:dyDescent="0.25">
      <c r="A17" t="s">
        <v>315</v>
      </c>
      <c r="B17" s="4" t="s">
        <v>14</v>
      </c>
      <c r="C17" s="4">
        <v>1</v>
      </c>
      <c r="D17">
        <v>40</v>
      </c>
      <c r="E17">
        <v>1</v>
      </c>
      <c r="F17">
        <v>32</v>
      </c>
      <c r="G17">
        <v>130</v>
      </c>
      <c r="H17">
        <f t="shared" ref="H17" si="48">AVERAGE(G17:G19)</f>
        <v>126.33333333333333</v>
      </c>
      <c r="I17">
        <f t="shared" ref="I17" si="49">_xlfn.STDEV.P(G17:G19)</f>
        <v>2.6246692913372702</v>
      </c>
      <c r="J17">
        <v>7</v>
      </c>
      <c r="K17">
        <f t="shared" ref="K17" si="50">AVERAGE(J17:J19)</f>
        <v>10</v>
      </c>
      <c r="L17">
        <f t="shared" ref="L17" si="51">_xlfn.STDEV.P(J17:J19)</f>
        <v>3.5590260840104371</v>
      </c>
      <c r="M17">
        <v>102</v>
      </c>
      <c r="N17">
        <f t="shared" ref="N17" si="52">AVERAGE(M17:M19)</f>
        <v>106.66666666666667</v>
      </c>
      <c r="O17">
        <f t="shared" ref="O17" si="53">_xlfn.STDEV.P(M17:M19)</f>
        <v>3.39934634239519</v>
      </c>
      <c r="Q17">
        <v>0.73</v>
      </c>
      <c r="R17" t="s">
        <v>20</v>
      </c>
      <c r="S17">
        <v>0.75</v>
      </c>
      <c r="T17" t="s">
        <v>20</v>
      </c>
      <c r="U17" t="s">
        <v>20</v>
      </c>
      <c r="AB17" t="s">
        <v>300</v>
      </c>
      <c r="AC17">
        <v>149</v>
      </c>
      <c r="AD17">
        <v>18440.118999999999</v>
      </c>
      <c r="AE17">
        <v>123.759</v>
      </c>
      <c r="AF17">
        <v>52.38</v>
      </c>
      <c r="AG17" t="s">
        <v>296</v>
      </c>
    </row>
    <row r="18" spans="1:33" x14ac:dyDescent="0.25">
      <c r="A18" t="s">
        <v>315</v>
      </c>
      <c r="B18" s="4" t="s">
        <v>14</v>
      </c>
      <c r="C18" s="4">
        <v>1</v>
      </c>
      <c r="D18">
        <v>40</v>
      </c>
      <c r="E18">
        <v>2</v>
      </c>
      <c r="F18">
        <v>44</v>
      </c>
      <c r="G18">
        <v>125</v>
      </c>
      <c r="H18">
        <f t="shared" ref="H18:I18" si="54">H17</f>
        <v>126.33333333333333</v>
      </c>
      <c r="I18">
        <f t="shared" si="54"/>
        <v>2.6246692913372702</v>
      </c>
      <c r="J18">
        <v>15</v>
      </c>
      <c r="K18">
        <f t="shared" ref="K18:L18" si="55">K17</f>
        <v>10</v>
      </c>
      <c r="L18">
        <f t="shared" si="55"/>
        <v>3.5590260840104371</v>
      </c>
      <c r="M18">
        <v>110</v>
      </c>
      <c r="N18">
        <f t="shared" ref="N18:O18" si="56">N17</f>
        <v>106.66666666666667</v>
      </c>
      <c r="O18">
        <f t="shared" si="56"/>
        <v>3.39934634239519</v>
      </c>
      <c r="P18">
        <v>183</v>
      </c>
      <c r="Q18">
        <v>0.71</v>
      </c>
      <c r="R18" t="s">
        <v>20</v>
      </c>
      <c r="S18">
        <v>0.76</v>
      </c>
      <c r="T18" t="s">
        <v>20</v>
      </c>
      <c r="U18" t="s">
        <v>20</v>
      </c>
      <c r="AB18" t="s">
        <v>304</v>
      </c>
      <c r="AC18">
        <v>1</v>
      </c>
      <c r="AD18">
        <v>54.122999999999998</v>
      </c>
      <c r="AE18">
        <v>54.122999999999998</v>
      </c>
      <c r="AF18">
        <v>22.91</v>
      </c>
      <c r="AG18" t="s">
        <v>296</v>
      </c>
    </row>
    <row r="19" spans="1:33" x14ac:dyDescent="0.25">
      <c r="A19" t="s">
        <v>315</v>
      </c>
      <c r="B19" s="4" t="s">
        <v>14</v>
      </c>
      <c r="C19" s="4">
        <v>1</v>
      </c>
      <c r="D19">
        <v>40</v>
      </c>
      <c r="E19">
        <v>3</v>
      </c>
      <c r="F19">
        <v>60</v>
      </c>
      <c r="G19">
        <v>124</v>
      </c>
      <c r="H19">
        <f t="shared" ref="H19:I19" si="57">H17</f>
        <v>126.33333333333333</v>
      </c>
      <c r="I19">
        <f t="shared" si="57"/>
        <v>2.6246692913372702</v>
      </c>
      <c r="J19">
        <v>8</v>
      </c>
      <c r="K19">
        <f t="shared" ref="K19:L19" si="58">K17</f>
        <v>10</v>
      </c>
      <c r="L19">
        <f t="shared" si="58"/>
        <v>3.5590260840104371</v>
      </c>
      <c r="M19">
        <v>108</v>
      </c>
      <c r="N19">
        <f t="shared" ref="N19:O19" si="59">N17</f>
        <v>106.66666666666667</v>
      </c>
      <c r="O19">
        <f t="shared" si="59"/>
        <v>3.39934634239519</v>
      </c>
      <c r="P19">
        <v>186</v>
      </c>
      <c r="Q19">
        <v>0.62</v>
      </c>
      <c r="R19" t="s">
        <v>20</v>
      </c>
      <c r="S19">
        <v>0.5</v>
      </c>
      <c r="T19" t="s">
        <v>20</v>
      </c>
      <c r="U19" t="s">
        <v>20</v>
      </c>
      <c r="AB19" t="s">
        <v>307</v>
      </c>
      <c r="AC19">
        <v>1</v>
      </c>
      <c r="AD19">
        <v>55.287999999999997</v>
      </c>
      <c r="AE19">
        <v>55.287999999999997</v>
      </c>
      <c r="AF19">
        <v>23.4</v>
      </c>
      <c r="AG19" t="s">
        <v>296</v>
      </c>
    </row>
    <row r="20" spans="1:33" x14ac:dyDescent="0.25">
      <c r="A20" t="s">
        <v>316</v>
      </c>
      <c r="B20" s="4" t="s">
        <v>14</v>
      </c>
      <c r="C20" s="4">
        <v>1</v>
      </c>
      <c r="D20">
        <v>40</v>
      </c>
      <c r="E20">
        <v>1</v>
      </c>
      <c r="F20">
        <v>24</v>
      </c>
      <c r="G20">
        <v>139</v>
      </c>
      <c r="H20">
        <f t="shared" ref="H20" si="60">AVERAGE(G20:G22)</f>
        <v>139</v>
      </c>
      <c r="I20">
        <f t="shared" ref="I20" si="61">_xlfn.STDEV.P(G20:G22)</f>
        <v>0</v>
      </c>
      <c r="J20">
        <v>5</v>
      </c>
      <c r="K20">
        <f t="shared" ref="K20" si="62">AVERAGE(J20:J22)</f>
        <v>5.666666666666667</v>
      </c>
      <c r="L20">
        <f t="shared" ref="L20" si="63">_xlfn.STDEV.P(J20:J22)</f>
        <v>0.94280904158206336</v>
      </c>
      <c r="M20">
        <v>88</v>
      </c>
      <c r="N20">
        <f t="shared" ref="N20" si="64">AVERAGE(M20:M22)</f>
        <v>93</v>
      </c>
      <c r="O20">
        <f t="shared" ref="O20" si="65">_xlfn.STDEV.P(M20:M22)</f>
        <v>5.715476066494082</v>
      </c>
      <c r="P20">
        <v>180</v>
      </c>
      <c r="Q20">
        <v>0.78</v>
      </c>
      <c r="R20" t="s">
        <v>20</v>
      </c>
      <c r="S20">
        <v>0.62</v>
      </c>
      <c r="T20" t="s">
        <v>20</v>
      </c>
      <c r="U20" t="s">
        <v>20</v>
      </c>
      <c r="AB20" t="s">
        <v>308</v>
      </c>
      <c r="AC20">
        <v>149</v>
      </c>
      <c r="AD20">
        <v>455.46699999999998</v>
      </c>
      <c r="AE20">
        <v>3.0569999999999999</v>
      </c>
      <c r="AF20">
        <v>1.29</v>
      </c>
      <c r="AG20">
        <v>0.02</v>
      </c>
    </row>
    <row r="21" spans="1:33" x14ac:dyDescent="0.25">
      <c r="A21" t="s">
        <v>316</v>
      </c>
      <c r="B21" s="4" t="s">
        <v>14</v>
      </c>
      <c r="C21" s="4">
        <v>1</v>
      </c>
      <c r="D21">
        <v>40</v>
      </c>
      <c r="E21">
        <v>2</v>
      </c>
      <c r="F21">
        <v>26</v>
      </c>
      <c r="G21">
        <v>139</v>
      </c>
      <c r="H21">
        <f t="shared" ref="H21:I21" si="66">H20</f>
        <v>139</v>
      </c>
      <c r="I21">
        <f t="shared" si="66"/>
        <v>0</v>
      </c>
      <c r="J21">
        <v>5</v>
      </c>
      <c r="K21">
        <f t="shared" ref="K21:L21" si="67">K20</f>
        <v>5.666666666666667</v>
      </c>
      <c r="L21">
        <f t="shared" si="67"/>
        <v>0.94280904158206336</v>
      </c>
      <c r="M21">
        <v>101</v>
      </c>
      <c r="N21">
        <f t="shared" ref="N21:O21" si="68">N20</f>
        <v>93</v>
      </c>
      <c r="O21">
        <f t="shared" si="68"/>
        <v>5.715476066494082</v>
      </c>
      <c r="Q21">
        <v>0.75</v>
      </c>
      <c r="R21" t="s">
        <v>20</v>
      </c>
      <c r="S21">
        <v>0.71</v>
      </c>
      <c r="T21" t="s">
        <v>20</v>
      </c>
      <c r="U21" t="s">
        <v>20</v>
      </c>
      <c r="AB21" t="s">
        <v>309</v>
      </c>
      <c r="AC21">
        <v>585</v>
      </c>
      <c r="AD21">
        <v>1382.1959999999999</v>
      </c>
      <c r="AE21">
        <v>2.363</v>
      </c>
      <c r="AF21" t="s">
        <v>310</v>
      </c>
      <c r="AG21" t="s">
        <v>310</v>
      </c>
    </row>
    <row r="22" spans="1:33" x14ac:dyDescent="0.25">
      <c r="A22" t="s">
        <v>316</v>
      </c>
      <c r="B22" s="4" t="s">
        <v>14</v>
      </c>
      <c r="C22" s="4">
        <v>1</v>
      </c>
      <c r="D22">
        <v>40</v>
      </c>
      <c r="E22">
        <v>3</v>
      </c>
      <c r="F22">
        <v>22</v>
      </c>
      <c r="G22">
        <v>139</v>
      </c>
      <c r="H22">
        <f t="shared" ref="H22:I22" si="69">H20</f>
        <v>139</v>
      </c>
      <c r="I22">
        <f t="shared" si="69"/>
        <v>0</v>
      </c>
      <c r="J22">
        <v>7</v>
      </c>
      <c r="K22">
        <f t="shared" ref="K22:L22" si="70">K20</f>
        <v>5.666666666666667</v>
      </c>
      <c r="L22">
        <f t="shared" si="70"/>
        <v>0.94280904158206336</v>
      </c>
      <c r="M22">
        <v>90</v>
      </c>
      <c r="N22">
        <f t="shared" ref="N22:O22" si="71">N20</f>
        <v>93</v>
      </c>
      <c r="O22">
        <f t="shared" si="71"/>
        <v>5.715476066494082</v>
      </c>
      <c r="P22">
        <v>181</v>
      </c>
      <c r="Q22">
        <v>0.69</v>
      </c>
      <c r="R22" t="s">
        <v>20</v>
      </c>
      <c r="S22">
        <v>0.72</v>
      </c>
      <c r="T22" t="s">
        <v>20</v>
      </c>
      <c r="U22" t="s">
        <v>20</v>
      </c>
      <c r="AB22" t="s">
        <v>312</v>
      </c>
      <c r="AC22">
        <v>886</v>
      </c>
      <c r="AD22">
        <v>20353.512999999999</v>
      </c>
      <c r="AE22">
        <v>22.972000000000001</v>
      </c>
    </row>
    <row r="23" spans="1:33" x14ac:dyDescent="0.25">
      <c r="A23" t="s">
        <v>317</v>
      </c>
      <c r="B23" s="4" t="s">
        <v>14</v>
      </c>
      <c r="C23" s="4">
        <v>1</v>
      </c>
      <c r="D23">
        <v>40</v>
      </c>
      <c r="E23">
        <v>1</v>
      </c>
      <c r="F23">
        <v>20</v>
      </c>
      <c r="G23">
        <v>130</v>
      </c>
      <c r="H23">
        <f t="shared" ref="H23" si="72">AVERAGE(G23:G25)</f>
        <v>127.33333333333333</v>
      </c>
      <c r="I23">
        <f t="shared" ref="I23" si="73">_xlfn.STDEV.P(G23:G25)</f>
        <v>3.7712361663282534</v>
      </c>
      <c r="J23">
        <v>5</v>
      </c>
      <c r="K23">
        <f t="shared" ref="K23" si="74">AVERAGE(J23:J25)</f>
        <v>3.6666666666666665</v>
      </c>
      <c r="L23">
        <f t="shared" ref="L23" si="75">_xlfn.STDEV.P(J23:J25)</f>
        <v>0.94280904158206336</v>
      </c>
      <c r="M23">
        <v>102</v>
      </c>
      <c r="N23">
        <f t="shared" ref="N23" si="76">AVERAGE(M23:M25)</f>
        <v>98.666666666666671</v>
      </c>
      <c r="O23">
        <f t="shared" ref="O23" si="77">_xlfn.STDEV.P(M23:M25)</f>
        <v>2.8674417556808756</v>
      </c>
      <c r="P23">
        <v>187</v>
      </c>
      <c r="Q23">
        <v>0.47</v>
      </c>
      <c r="R23">
        <v>87.89</v>
      </c>
      <c r="S23">
        <v>0.5</v>
      </c>
      <c r="T23">
        <v>91.5</v>
      </c>
      <c r="U23" t="s">
        <v>20</v>
      </c>
    </row>
    <row r="24" spans="1:33" x14ac:dyDescent="0.25">
      <c r="A24" t="s">
        <v>317</v>
      </c>
      <c r="B24" s="4" t="s">
        <v>14</v>
      </c>
      <c r="C24" s="4">
        <v>1</v>
      </c>
      <c r="D24">
        <v>40</v>
      </c>
      <c r="E24">
        <v>2</v>
      </c>
      <c r="F24">
        <v>16</v>
      </c>
      <c r="G24">
        <v>122</v>
      </c>
      <c r="H24">
        <f t="shared" ref="H24:I24" si="78">H23</f>
        <v>127.33333333333333</v>
      </c>
      <c r="I24">
        <f t="shared" si="78"/>
        <v>3.7712361663282534</v>
      </c>
      <c r="J24">
        <v>3</v>
      </c>
      <c r="K24">
        <f t="shared" ref="K24:L24" si="79">K23</f>
        <v>3.6666666666666665</v>
      </c>
      <c r="L24">
        <f t="shared" si="79"/>
        <v>0.94280904158206336</v>
      </c>
      <c r="M24">
        <v>95</v>
      </c>
      <c r="N24">
        <f t="shared" ref="N24:O24" si="80">N23</f>
        <v>98.666666666666671</v>
      </c>
      <c r="O24">
        <f t="shared" si="80"/>
        <v>2.8674417556808756</v>
      </c>
      <c r="P24">
        <v>183</v>
      </c>
      <c r="Q24">
        <v>0.56999999999999995</v>
      </c>
      <c r="R24">
        <v>104.30999999999999</v>
      </c>
      <c r="S24">
        <v>0.3</v>
      </c>
      <c r="T24">
        <v>56.1</v>
      </c>
      <c r="U24" t="s">
        <v>20</v>
      </c>
      <c r="AB24" t="s">
        <v>272</v>
      </c>
    </row>
    <row r="25" spans="1:33" x14ac:dyDescent="0.25">
      <c r="A25" t="s">
        <v>317</v>
      </c>
      <c r="B25" s="4" t="s">
        <v>14</v>
      </c>
      <c r="C25" s="4">
        <v>1</v>
      </c>
      <c r="D25">
        <v>40</v>
      </c>
      <c r="E25">
        <v>3</v>
      </c>
      <c r="F25">
        <v>22</v>
      </c>
      <c r="G25">
        <v>130</v>
      </c>
      <c r="H25">
        <f t="shared" ref="H25:I25" si="81">H23</f>
        <v>127.33333333333333</v>
      </c>
      <c r="I25">
        <f t="shared" si="81"/>
        <v>3.7712361663282534</v>
      </c>
      <c r="J25">
        <v>3</v>
      </c>
      <c r="K25">
        <f t="shared" ref="K25:L25" si="82">K23</f>
        <v>3.6666666666666665</v>
      </c>
      <c r="L25">
        <f t="shared" si="82"/>
        <v>0.94280904158206336</v>
      </c>
      <c r="M25">
        <v>99</v>
      </c>
      <c r="N25">
        <f t="shared" ref="N25:O25" si="83">N23</f>
        <v>98.666666666666671</v>
      </c>
      <c r="O25">
        <f t="shared" si="83"/>
        <v>2.8674417556808756</v>
      </c>
      <c r="P25">
        <v>192</v>
      </c>
      <c r="Q25">
        <v>0.47</v>
      </c>
      <c r="R25">
        <v>90.24</v>
      </c>
      <c r="S25">
        <v>0.3</v>
      </c>
      <c r="T25">
        <v>57.599999999999994</v>
      </c>
      <c r="U25" t="s">
        <v>20</v>
      </c>
      <c r="AB25" t="s">
        <v>279</v>
      </c>
      <c r="AC25" t="s">
        <v>280</v>
      </c>
      <c r="AD25" t="s">
        <v>281</v>
      </c>
      <c r="AE25" t="s">
        <v>282</v>
      </c>
      <c r="AF25" t="s">
        <v>283</v>
      </c>
      <c r="AG25" t="s">
        <v>284</v>
      </c>
    </row>
    <row r="26" spans="1:33" x14ac:dyDescent="0.25">
      <c r="A26" t="s">
        <v>318</v>
      </c>
      <c r="B26" s="4" t="s">
        <v>14</v>
      </c>
      <c r="C26" s="1">
        <v>2</v>
      </c>
      <c r="D26">
        <v>40</v>
      </c>
      <c r="E26">
        <v>1</v>
      </c>
      <c r="F26">
        <v>64</v>
      </c>
      <c r="G26">
        <v>78</v>
      </c>
      <c r="H26">
        <f t="shared" ref="H26" si="84">AVERAGE(G26:G28)</f>
        <v>79.666666666666671</v>
      </c>
      <c r="I26">
        <f t="shared" ref="I26" si="85">_xlfn.STDEV.P(G26:G28)</f>
        <v>2.3570226039551581</v>
      </c>
      <c r="J26">
        <v>4</v>
      </c>
      <c r="K26">
        <f t="shared" ref="K26" si="86">AVERAGE(J26:J28)</f>
        <v>4</v>
      </c>
      <c r="L26">
        <f t="shared" ref="L26" si="87">_xlfn.STDEV.P(J26:J28)</f>
        <v>0</v>
      </c>
      <c r="M26">
        <v>98</v>
      </c>
      <c r="N26">
        <f t="shared" ref="N26" si="88">AVERAGE(M26:M28)</f>
        <v>101</v>
      </c>
      <c r="O26">
        <f t="shared" ref="O26" si="89">_xlfn.STDEV.P(M26:M28)</f>
        <v>4.2426406871192848</v>
      </c>
      <c r="P26">
        <v>124</v>
      </c>
      <c r="Q26">
        <v>0.7</v>
      </c>
      <c r="R26">
        <v>86.8</v>
      </c>
      <c r="S26">
        <v>0.73</v>
      </c>
      <c r="T26">
        <v>90.52</v>
      </c>
      <c r="U26">
        <v>14.29</v>
      </c>
      <c r="AB26" t="s">
        <v>267</v>
      </c>
      <c r="AC26">
        <v>2</v>
      </c>
      <c r="AD26">
        <v>346.64</v>
      </c>
      <c r="AE26">
        <v>173.32</v>
      </c>
      <c r="AF26">
        <v>2.48</v>
      </c>
      <c r="AG26">
        <v>8.5000000000000006E-2</v>
      </c>
    </row>
    <row r="27" spans="1:33" x14ac:dyDescent="0.25">
      <c r="A27" t="s">
        <v>318</v>
      </c>
      <c r="B27" s="4" t="s">
        <v>14</v>
      </c>
      <c r="C27" s="1">
        <v>2</v>
      </c>
      <c r="D27">
        <v>40</v>
      </c>
      <c r="E27">
        <v>2</v>
      </c>
      <c r="F27">
        <v>86</v>
      </c>
      <c r="G27">
        <v>78</v>
      </c>
      <c r="H27">
        <f t="shared" ref="H27:I27" si="90">H26</f>
        <v>79.666666666666671</v>
      </c>
      <c r="I27">
        <f t="shared" si="90"/>
        <v>2.3570226039551581</v>
      </c>
      <c r="J27">
        <v>4</v>
      </c>
      <c r="K27">
        <f t="shared" ref="K27:L27" si="91">K26</f>
        <v>4</v>
      </c>
      <c r="L27">
        <f t="shared" si="91"/>
        <v>0</v>
      </c>
      <c r="M27">
        <v>107</v>
      </c>
      <c r="N27">
        <f t="shared" ref="N27:O27" si="92">N26</f>
        <v>101</v>
      </c>
      <c r="O27">
        <f t="shared" si="92"/>
        <v>4.2426406871192848</v>
      </c>
      <c r="P27">
        <v>124</v>
      </c>
      <c r="Q27">
        <v>0.73</v>
      </c>
      <c r="R27">
        <v>90.52</v>
      </c>
      <c r="S27">
        <v>0.72</v>
      </c>
      <c r="T27">
        <v>89.28</v>
      </c>
      <c r="U27">
        <v>15.53</v>
      </c>
      <c r="AB27" t="s">
        <v>295</v>
      </c>
      <c r="AC27">
        <v>149</v>
      </c>
      <c r="AD27">
        <v>159147.47</v>
      </c>
      <c r="AE27">
        <v>1068.0999999999999</v>
      </c>
      <c r="AF27">
        <v>15.27</v>
      </c>
      <c r="AG27" t="s">
        <v>296</v>
      </c>
    </row>
    <row r="28" spans="1:33" x14ac:dyDescent="0.25">
      <c r="A28" t="s">
        <v>318</v>
      </c>
      <c r="B28" s="4" t="s">
        <v>14</v>
      </c>
      <c r="C28" s="1">
        <v>2</v>
      </c>
      <c r="D28">
        <v>40</v>
      </c>
      <c r="E28">
        <v>3</v>
      </c>
      <c r="F28">
        <v>90</v>
      </c>
      <c r="G28">
        <v>83</v>
      </c>
      <c r="H28">
        <f t="shared" ref="H28:I28" si="93">H26</f>
        <v>79.666666666666671</v>
      </c>
      <c r="I28">
        <f t="shared" si="93"/>
        <v>2.3570226039551581</v>
      </c>
      <c r="J28">
        <v>4</v>
      </c>
      <c r="K28">
        <f t="shared" ref="K28:L28" si="94">K26</f>
        <v>4</v>
      </c>
      <c r="L28">
        <f t="shared" si="94"/>
        <v>0</v>
      </c>
      <c r="M28">
        <v>98</v>
      </c>
      <c r="N28">
        <f t="shared" ref="N28:O28" si="95">N26</f>
        <v>101</v>
      </c>
      <c r="O28">
        <f t="shared" si="95"/>
        <v>4.2426406871192848</v>
      </c>
      <c r="P28">
        <v>131</v>
      </c>
      <c r="Q28">
        <v>0.6</v>
      </c>
      <c r="R28">
        <v>78.599999999999994</v>
      </c>
      <c r="S28">
        <v>0.61</v>
      </c>
      <c r="T28">
        <v>79.91</v>
      </c>
      <c r="U28" t="s">
        <v>20</v>
      </c>
      <c r="AB28" t="s">
        <v>300</v>
      </c>
      <c r="AC28">
        <v>149</v>
      </c>
      <c r="AD28">
        <v>159182.92000000001</v>
      </c>
      <c r="AE28">
        <v>1068.3399999999999</v>
      </c>
      <c r="AF28">
        <v>15.27</v>
      </c>
      <c r="AG28" t="s">
        <v>296</v>
      </c>
    </row>
    <row r="29" spans="1:33" x14ac:dyDescent="0.25">
      <c r="A29" t="s">
        <v>319</v>
      </c>
      <c r="B29" s="4" t="s">
        <v>14</v>
      </c>
      <c r="C29" s="1">
        <v>1</v>
      </c>
      <c r="D29">
        <v>40</v>
      </c>
      <c r="E29">
        <v>1</v>
      </c>
      <c r="F29" t="s">
        <v>20</v>
      </c>
      <c r="G29">
        <v>122</v>
      </c>
      <c r="H29">
        <f t="shared" ref="H29" si="96">AVERAGE(G29:G31)</f>
        <v>121.66666666666667</v>
      </c>
      <c r="I29">
        <f t="shared" ref="I29" si="97">_xlfn.STDEV.P(G29:G31)</f>
        <v>0.47140452079103168</v>
      </c>
      <c r="J29">
        <v>1</v>
      </c>
      <c r="K29">
        <f t="shared" ref="K29" si="98">AVERAGE(J29:J31)</f>
        <v>0.66666666666666663</v>
      </c>
      <c r="L29">
        <f t="shared" ref="L29" si="99">_xlfn.STDEV.P(J29:J31)</f>
        <v>0.47140452079103168</v>
      </c>
      <c r="M29">
        <v>114</v>
      </c>
      <c r="N29">
        <f t="shared" ref="N29" si="100">AVERAGE(M29:M31)</f>
        <v>106.33333333333333</v>
      </c>
      <c r="O29">
        <f t="shared" ref="O29" si="101">_xlfn.STDEV.P(M29:M31)</f>
        <v>8.1785627642568652</v>
      </c>
      <c r="P29">
        <v>179</v>
      </c>
      <c r="Q29">
        <v>0.61</v>
      </c>
      <c r="R29">
        <v>109.19</v>
      </c>
      <c r="S29">
        <v>0.55000000000000004</v>
      </c>
      <c r="T29">
        <v>98.45</v>
      </c>
      <c r="U29" t="s">
        <v>20</v>
      </c>
      <c r="AB29" t="s">
        <v>304</v>
      </c>
      <c r="AC29">
        <v>1</v>
      </c>
      <c r="AD29">
        <v>180.29</v>
      </c>
      <c r="AE29">
        <v>180.29</v>
      </c>
      <c r="AF29">
        <v>2.58</v>
      </c>
      <c r="AG29">
        <v>0.109</v>
      </c>
    </row>
    <row r="30" spans="1:33" x14ac:dyDescent="0.25">
      <c r="A30" t="s">
        <v>319</v>
      </c>
      <c r="B30" s="4" t="s">
        <v>14</v>
      </c>
      <c r="C30" s="1">
        <v>1</v>
      </c>
      <c r="D30">
        <v>40</v>
      </c>
      <c r="E30">
        <v>2</v>
      </c>
      <c r="F30">
        <v>76</v>
      </c>
      <c r="G30">
        <v>121</v>
      </c>
      <c r="H30">
        <f t="shared" ref="H30:I30" si="102">H29</f>
        <v>121.66666666666667</v>
      </c>
      <c r="I30">
        <f t="shared" si="102"/>
        <v>0.47140452079103168</v>
      </c>
      <c r="J30">
        <v>1</v>
      </c>
      <c r="K30">
        <f t="shared" ref="K30:L30" si="103">K29</f>
        <v>0.66666666666666663</v>
      </c>
      <c r="L30">
        <f t="shared" si="103"/>
        <v>0.47140452079103168</v>
      </c>
      <c r="M30">
        <v>110</v>
      </c>
      <c r="N30">
        <f t="shared" ref="N30:O30" si="104">N29</f>
        <v>106.33333333333333</v>
      </c>
      <c r="O30">
        <f t="shared" si="104"/>
        <v>8.1785627642568652</v>
      </c>
      <c r="P30">
        <v>183</v>
      </c>
      <c r="Q30">
        <v>0.38</v>
      </c>
      <c r="R30">
        <v>69.540000000000006</v>
      </c>
      <c r="S30">
        <v>0.5</v>
      </c>
      <c r="T30">
        <v>91.5</v>
      </c>
      <c r="U30" t="s">
        <v>20</v>
      </c>
      <c r="AB30" t="s">
        <v>307</v>
      </c>
      <c r="AC30">
        <v>1</v>
      </c>
      <c r="AD30">
        <v>215.73</v>
      </c>
      <c r="AE30">
        <v>215.73</v>
      </c>
      <c r="AF30">
        <v>3.08</v>
      </c>
      <c r="AG30">
        <v>0.08</v>
      </c>
    </row>
    <row r="31" spans="1:33" x14ac:dyDescent="0.25">
      <c r="A31" t="s">
        <v>319</v>
      </c>
      <c r="B31" s="4" t="s">
        <v>14</v>
      </c>
      <c r="C31" s="1">
        <v>1</v>
      </c>
      <c r="D31">
        <v>40</v>
      </c>
      <c r="E31">
        <v>3</v>
      </c>
      <c r="F31">
        <v>60</v>
      </c>
      <c r="G31">
        <v>122</v>
      </c>
      <c r="H31">
        <f t="shared" ref="H31:I31" si="105">H29</f>
        <v>121.66666666666667</v>
      </c>
      <c r="I31">
        <f t="shared" si="105"/>
        <v>0.47140452079103168</v>
      </c>
      <c r="J31">
        <v>0</v>
      </c>
      <c r="K31">
        <f t="shared" ref="K31:L31" si="106">K29</f>
        <v>0.66666666666666663</v>
      </c>
      <c r="L31">
        <f t="shared" si="106"/>
        <v>0.47140452079103168</v>
      </c>
      <c r="M31">
        <v>95</v>
      </c>
      <c r="N31">
        <f t="shared" ref="N31:O31" si="107">N29</f>
        <v>106.33333333333333</v>
      </c>
      <c r="O31">
        <f t="shared" si="107"/>
        <v>8.1785627642568652</v>
      </c>
      <c r="P31">
        <v>186</v>
      </c>
      <c r="Q31">
        <v>0.41</v>
      </c>
      <c r="R31">
        <v>76.259999999999991</v>
      </c>
      <c r="S31">
        <v>0.3</v>
      </c>
      <c r="T31">
        <v>55.8</v>
      </c>
      <c r="U31" t="s">
        <v>20</v>
      </c>
      <c r="AB31" t="s">
        <v>308</v>
      </c>
      <c r="AC31">
        <v>149</v>
      </c>
      <c r="AD31">
        <v>10238.780000000001</v>
      </c>
      <c r="AE31">
        <v>68.72</v>
      </c>
      <c r="AF31">
        <v>0.98</v>
      </c>
      <c r="AG31">
        <v>0.54400000000000004</v>
      </c>
    </row>
    <row r="32" spans="1:33" x14ac:dyDescent="0.25">
      <c r="A32" t="s">
        <v>320</v>
      </c>
      <c r="B32" s="4" t="s">
        <v>49</v>
      </c>
      <c r="C32" s="1">
        <v>4</v>
      </c>
      <c r="D32">
        <v>40</v>
      </c>
      <c r="E32">
        <v>1</v>
      </c>
      <c r="F32">
        <v>40</v>
      </c>
      <c r="G32">
        <v>99</v>
      </c>
      <c r="H32">
        <f t="shared" ref="H32" si="108">AVERAGE(G32:G34)</f>
        <v>98.666666666666671</v>
      </c>
      <c r="I32">
        <f t="shared" ref="I32" si="109">_xlfn.STDEV.P(G32:G34)</f>
        <v>0.47140452079103168</v>
      </c>
      <c r="J32">
        <v>0</v>
      </c>
      <c r="K32">
        <f t="shared" ref="K32" si="110">AVERAGE(J32:J34)</f>
        <v>1</v>
      </c>
      <c r="L32">
        <f t="shared" ref="L32" si="111">_xlfn.STDEV.P(J32:J34)</f>
        <v>0.81649658092772603</v>
      </c>
      <c r="M32">
        <v>113</v>
      </c>
      <c r="N32">
        <f t="shared" ref="N32" si="112">AVERAGE(M32:M34)</f>
        <v>109.33333333333333</v>
      </c>
      <c r="O32">
        <f t="shared" ref="O32" si="113">_xlfn.STDEV.P(M32:M34)</f>
        <v>5.1854497287013483</v>
      </c>
      <c r="P32">
        <v>152</v>
      </c>
      <c r="Q32">
        <v>0.65</v>
      </c>
      <c r="R32">
        <v>98.8</v>
      </c>
      <c r="S32">
        <v>0.75</v>
      </c>
      <c r="T32">
        <v>114</v>
      </c>
      <c r="U32">
        <v>15.06</v>
      </c>
      <c r="AB32" t="s">
        <v>309</v>
      </c>
      <c r="AC32">
        <v>584</v>
      </c>
      <c r="AD32">
        <v>40850.54</v>
      </c>
      <c r="AE32">
        <v>69.95</v>
      </c>
      <c r="AF32" t="s">
        <v>310</v>
      </c>
      <c r="AG32" t="s">
        <v>310</v>
      </c>
    </row>
    <row r="33" spans="1:33" x14ac:dyDescent="0.25">
      <c r="A33" t="s">
        <v>320</v>
      </c>
      <c r="B33" s="4" t="s">
        <v>49</v>
      </c>
      <c r="C33" s="1">
        <v>4</v>
      </c>
      <c r="D33">
        <v>40</v>
      </c>
      <c r="E33">
        <v>2</v>
      </c>
      <c r="F33">
        <v>48</v>
      </c>
      <c r="G33">
        <v>99</v>
      </c>
      <c r="H33">
        <f t="shared" ref="H33:I33" si="114">H32</f>
        <v>98.666666666666671</v>
      </c>
      <c r="I33">
        <f t="shared" si="114"/>
        <v>0.47140452079103168</v>
      </c>
      <c r="J33">
        <v>2</v>
      </c>
      <c r="K33">
        <f t="shared" ref="K33:L33" si="115">K32</f>
        <v>1</v>
      </c>
      <c r="L33">
        <f t="shared" si="115"/>
        <v>0.81649658092772603</v>
      </c>
      <c r="M33">
        <v>113</v>
      </c>
      <c r="N33">
        <f t="shared" ref="N33:O33" si="116">N32</f>
        <v>109.33333333333333</v>
      </c>
      <c r="O33">
        <f t="shared" si="116"/>
        <v>5.1854497287013483</v>
      </c>
      <c r="P33">
        <v>149</v>
      </c>
      <c r="Q33">
        <v>0.72</v>
      </c>
      <c r="R33">
        <v>107.28</v>
      </c>
      <c r="S33">
        <v>0.67</v>
      </c>
      <c r="T33">
        <v>99.830000000000013</v>
      </c>
      <c r="U33">
        <v>14.01</v>
      </c>
      <c r="AB33" t="s">
        <v>312</v>
      </c>
      <c r="AC33">
        <v>885</v>
      </c>
      <c r="AD33">
        <v>210799.16</v>
      </c>
      <c r="AE33">
        <v>238.19</v>
      </c>
    </row>
    <row r="34" spans="1:33" x14ac:dyDescent="0.25">
      <c r="A34" t="s">
        <v>320</v>
      </c>
      <c r="B34" s="4" t="s">
        <v>49</v>
      </c>
      <c r="C34" s="1">
        <v>4</v>
      </c>
      <c r="D34">
        <v>40</v>
      </c>
      <c r="E34">
        <v>3</v>
      </c>
      <c r="F34">
        <v>62</v>
      </c>
      <c r="G34">
        <v>98</v>
      </c>
      <c r="H34">
        <f t="shared" ref="H34:I34" si="117">H32</f>
        <v>98.666666666666671</v>
      </c>
      <c r="I34">
        <f t="shared" si="117"/>
        <v>0.47140452079103168</v>
      </c>
      <c r="J34">
        <v>1</v>
      </c>
      <c r="K34">
        <f t="shared" ref="K34:L34" si="118">K32</f>
        <v>1</v>
      </c>
      <c r="L34">
        <f t="shared" si="118"/>
        <v>0.81649658092772603</v>
      </c>
      <c r="M34">
        <v>102</v>
      </c>
      <c r="N34">
        <f t="shared" ref="N34:O34" si="119">N32</f>
        <v>109.33333333333333</v>
      </c>
      <c r="O34">
        <f t="shared" si="119"/>
        <v>5.1854497287013483</v>
      </c>
      <c r="P34">
        <v>150</v>
      </c>
      <c r="Q34">
        <v>0.64</v>
      </c>
      <c r="R34">
        <v>96</v>
      </c>
      <c r="S34">
        <v>0.56999999999999995</v>
      </c>
      <c r="T34">
        <v>85.499999999999986</v>
      </c>
      <c r="U34" t="s">
        <v>20</v>
      </c>
    </row>
    <row r="35" spans="1:33" x14ac:dyDescent="0.25">
      <c r="A35" t="s">
        <v>321</v>
      </c>
      <c r="B35" s="4" t="s">
        <v>52</v>
      </c>
      <c r="C35" s="1">
        <v>4</v>
      </c>
      <c r="D35">
        <v>40</v>
      </c>
      <c r="E35">
        <v>1</v>
      </c>
      <c r="F35">
        <v>62</v>
      </c>
      <c r="G35">
        <v>99</v>
      </c>
      <c r="H35">
        <f t="shared" ref="H35" si="120">AVERAGE(G35:G37)</f>
        <v>96.333333333333329</v>
      </c>
      <c r="I35">
        <f t="shared" ref="I35" si="121">_xlfn.STDEV.P(G35:G37)</f>
        <v>1.8856180831641267</v>
      </c>
      <c r="J35">
        <v>1</v>
      </c>
      <c r="K35">
        <f t="shared" ref="K35" si="122">AVERAGE(J35:J37)</f>
        <v>1.3333333333333333</v>
      </c>
      <c r="L35">
        <f t="shared" ref="L35" si="123">_xlfn.STDEV.P(J35:J37)</f>
        <v>0.47140452079103168</v>
      </c>
      <c r="M35">
        <v>85</v>
      </c>
      <c r="N35">
        <f t="shared" ref="N35" si="124">AVERAGE(M35:M37)</f>
        <v>92.333333333333329</v>
      </c>
      <c r="O35">
        <f t="shared" ref="O35" si="125">_xlfn.STDEV.P(M35:M37)</f>
        <v>5.4365021434333629</v>
      </c>
      <c r="P35">
        <v>149</v>
      </c>
      <c r="Q35">
        <v>0.57999999999999996</v>
      </c>
      <c r="R35">
        <v>86.419999999999987</v>
      </c>
      <c r="S35">
        <v>0.6</v>
      </c>
      <c r="T35">
        <v>89.399999999999991</v>
      </c>
      <c r="U35">
        <v>15.88</v>
      </c>
    </row>
    <row r="36" spans="1:33" x14ac:dyDescent="0.25">
      <c r="A36" t="s">
        <v>321</v>
      </c>
      <c r="B36" s="4" t="s">
        <v>52</v>
      </c>
      <c r="C36" s="1">
        <v>4</v>
      </c>
      <c r="D36">
        <v>40</v>
      </c>
      <c r="E36">
        <v>2</v>
      </c>
      <c r="F36">
        <v>70</v>
      </c>
      <c r="G36">
        <v>95</v>
      </c>
      <c r="H36">
        <f t="shared" ref="H36:I36" si="126">H35</f>
        <v>96.333333333333329</v>
      </c>
      <c r="I36">
        <f t="shared" si="126"/>
        <v>1.8856180831641267</v>
      </c>
      <c r="J36">
        <v>2</v>
      </c>
      <c r="K36">
        <f t="shared" ref="K36:L36" si="127">K35</f>
        <v>1.3333333333333333</v>
      </c>
      <c r="L36">
        <f t="shared" si="127"/>
        <v>0.47140452079103168</v>
      </c>
      <c r="M36">
        <v>94</v>
      </c>
      <c r="N36">
        <f t="shared" ref="N36:O36" si="128">N35</f>
        <v>92.333333333333329</v>
      </c>
      <c r="O36">
        <f t="shared" si="128"/>
        <v>5.4365021434333629</v>
      </c>
      <c r="P36">
        <v>147</v>
      </c>
      <c r="Q36">
        <v>0.64</v>
      </c>
      <c r="R36">
        <v>94.08</v>
      </c>
      <c r="S36">
        <v>0.72</v>
      </c>
      <c r="T36">
        <v>105.83999999999999</v>
      </c>
      <c r="U36">
        <v>15.15</v>
      </c>
      <c r="AB36" t="s">
        <v>322</v>
      </c>
    </row>
    <row r="37" spans="1:33" x14ac:dyDescent="0.25">
      <c r="A37" t="s">
        <v>321</v>
      </c>
      <c r="B37" s="4" t="s">
        <v>52</v>
      </c>
      <c r="C37" s="1">
        <v>4</v>
      </c>
      <c r="D37">
        <v>40</v>
      </c>
      <c r="E37">
        <v>3</v>
      </c>
      <c r="F37">
        <v>64</v>
      </c>
      <c r="G37">
        <v>95</v>
      </c>
      <c r="H37">
        <f t="shared" ref="H37:I37" si="129">H35</f>
        <v>96.333333333333329</v>
      </c>
      <c r="I37">
        <f t="shared" si="129"/>
        <v>1.8856180831641267</v>
      </c>
      <c r="J37">
        <v>1</v>
      </c>
      <c r="K37">
        <f t="shared" ref="K37:L37" si="130">K35</f>
        <v>1.3333333333333333</v>
      </c>
      <c r="L37">
        <f t="shared" si="130"/>
        <v>0.47140452079103168</v>
      </c>
      <c r="M37">
        <v>98</v>
      </c>
      <c r="N37">
        <f t="shared" ref="N37:O37" si="131">N35</f>
        <v>92.333333333333329</v>
      </c>
      <c r="O37">
        <f t="shared" si="131"/>
        <v>5.4365021434333629</v>
      </c>
      <c r="P37">
        <v>147</v>
      </c>
      <c r="Q37">
        <v>0.57999999999999996</v>
      </c>
      <c r="R37">
        <v>85.259999999999991</v>
      </c>
      <c r="S37">
        <v>0.55000000000000004</v>
      </c>
      <c r="T37">
        <v>80.850000000000009</v>
      </c>
      <c r="U37">
        <v>15.51</v>
      </c>
      <c r="AB37" t="s">
        <v>279</v>
      </c>
      <c r="AC37" t="s">
        <v>280</v>
      </c>
      <c r="AD37" t="s">
        <v>281</v>
      </c>
      <c r="AE37" t="s">
        <v>282</v>
      </c>
      <c r="AF37" t="s">
        <v>283</v>
      </c>
      <c r="AG37" t="s">
        <v>284</v>
      </c>
    </row>
    <row r="38" spans="1:33" x14ac:dyDescent="0.25">
      <c r="A38" t="s">
        <v>323</v>
      </c>
      <c r="B38" s="4" t="s">
        <v>49</v>
      </c>
      <c r="C38" s="1">
        <v>4</v>
      </c>
      <c r="D38">
        <v>40</v>
      </c>
      <c r="E38">
        <v>1</v>
      </c>
      <c r="F38">
        <v>12</v>
      </c>
      <c r="G38">
        <v>100</v>
      </c>
      <c r="H38">
        <f t="shared" ref="H38" si="132">AVERAGE(G38:G40)</f>
        <v>97.333333333333329</v>
      </c>
      <c r="I38">
        <f t="shared" ref="I38" si="133">_xlfn.STDEV.P(G38:G40)</f>
        <v>3.7712361663282534</v>
      </c>
      <c r="J38">
        <v>3</v>
      </c>
      <c r="K38">
        <f t="shared" ref="K38" si="134">AVERAGE(J38:J40)</f>
        <v>2</v>
      </c>
      <c r="L38">
        <f t="shared" ref="L38" si="135">_xlfn.STDEV.P(J38:J40)</f>
        <v>0.81649658092772603</v>
      </c>
      <c r="M38">
        <v>88</v>
      </c>
      <c r="N38">
        <f t="shared" ref="N38" si="136">AVERAGE(M38:M40)</f>
        <v>89</v>
      </c>
      <c r="O38">
        <f t="shared" ref="O38" si="137">_xlfn.STDEV.P(M38:M40)</f>
        <v>2.9439202887759488</v>
      </c>
      <c r="P38">
        <v>149</v>
      </c>
      <c r="Q38">
        <v>0.71</v>
      </c>
      <c r="R38">
        <v>105.78999999999999</v>
      </c>
      <c r="S38">
        <v>0.59</v>
      </c>
      <c r="T38">
        <v>87.91</v>
      </c>
      <c r="U38">
        <v>15.52</v>
      </c>
      <c r="AB38" t="s">
        <v>267</v>
      </c>
      <c r="AC38">
        <v>2</v>
      </c>
      <c r="AD38">
        <v>3.9906999999999998E-2</v>
      </c>
      <c r="AE38">
        <v>1.9952999999999999E-2</v>
      </c>
      <c r="AF38">
        <v>4.72</v>
      </c>
      <c r="AG38">
        <v>8.9999999999999993E-3</v>
      </c>
    </row>
    <row r="39" spans="1:33" x14ac:dyDescent="0.25">
      <c r="A39" t="s">
        <v>323</v>
      </c>
      <c r="B39" s="4" t="s">
        <v>49</v>
      </c>
      <c r="C39" s="1">
        <v>4</v>
      </c>
      <c r="D39">
        <v>40</v>
      </c>
      <c r="E39">
        <v>2</v>
      </c>
      <c r="F39">
        <v>12</v>
      </c>
      <c r="G39">
        <v>100</v>
      </c>
      <c r="H39">
        <f t="shared" ref="H39:I39" si="138">H38</f>
        <v>97.333333333333329</v>
      </c>
      <c r="I39">
        <f t="shared" si="138"/>
        <v>3.7712361663282534</v>
      </c>
      <c r="J39">
        <v>2</v>
      </c>
      <c r="K39">
        <f t="shared" ref="K39:L39" si="139">K38</f>
        <v>2</v>
      </c>
      <c r="L39">
        <f t="shared" si="139"/>
        <v>0.81649658092772603</v>
      </c>
      <c r="M39">
        <v>93</v>
      </c>
      <c r="N39">
        <f t="shared" ref="N39:O39" si="140">N38</f>
        <v>89</v>
      </c>
      <c r="O39">
        <f t="shared" si="140"/>
        <v>2.9439202887759488</v>
      </c>
      <c r="P39">
        <v>149</v>
      </c>
      <c r="Q39">
        <v>0.67</v>
      </c>
      <c r="R39">
        <v>99.830000000000013</v>
      </c>
      <c r="S39">
        <v>0.57999999999999996</v>
      </c>
      <c r="T39">
        <v>86.419999999999987</v>
      </c>
      <c r="U39">
        <v>15.12</v>
      </c>
      <c r="AB39" t="s">
        <v>295</v>
      </c>
      <c r="AC39">
        <v>149</v>
      </c>
      <c r="AD39">
        <v>3.4178799999999998</v>
      </c>
      <c r="AE39">
        <v>2.2939000000000001E-2</v>
      </c>
      <c r="AF39">
        <v>5.43</v>
      </c>
      <c r="AG39" t="s">
        <v>296</v>
      </c>
    </row>
    <row r="40" spans="1:33" x14ac:dyDescent="0.25">
      <c r="A40" t="s">
        <v>323</v>
      </c>
      <c r="B40" s="4" t="s">
        <v>49</v>
      </c>
      <c r="C40" s="1">
        <v>4</v>
      </c>
      <c r="D40">
        <v>40</v>
      </c>
      <c r="E40">
        <v>3</v>
      </c>
      <c r="F40">
        <v>16</v>
      </c>
      <c r="G40">
        <v>92</v>
      </c>
      <c r="H40">
        <f t="shared" ref="H40:I40" si="141">H38</f>
        <v>97.333333333333329</v>
      </c>
      <c r="I40">
        <f t="shared" si="141"/>
        <v>3.7712361663282534</v>
      </c>
      <c r="J40">
        <v>1</v>
      </c>
      <c r="K40">
        <f t="shared" ref="K40:L40" si="142">K38</f>
        <v>2</v>
      </c>
      <c r="L40">
        <f t="shared" si="142"/>
        <v>0.81649658092772603</v>
      </c>
      <c r="M40">
        <v>86</v>
      </c>
      <c r="N40">
        <f t="shared" ref="N40:O40" si="143">N38</f>
        <v>89</v>
      </c>
      <c r="O40">
        <f t="shared" si="143"/>
        <v>2.9439202887759488</v>
      </c>
      <c r="P40">
        <v>160</v>
      </c>
      <c r="Q40">
        <v>0.57999999999999996</v>
      </c>
      <c r="R40">
        <v>92.8</v>
      </c>
      <c r="S40">
        <v>0.66</v>
      </c>
      <c r="T40">
        <v>105.60000000000001</v>
      </c>
      <c r="U40" t="s">
        <v>20</v>
      </c>
      <c r="AB40" t="s">
        <v>300</v>
      </c>
      <c r="AC40">
        <v>149</v>
      </c>
      <c r="AD40">
        <v>3.418755</v>
      </c>
      <c r="AE40">
        <v>2.2945E-2</v>
      </c>
      <c r="AF40">
        <v>5.43</v>
      </c>
      <c r="AG40" t="s">
        <v>296</v>
      </c>
    </row>
    <row r="41" spans="1:33" x14ac:dyDescent="0.25">
      <c r="A41" t="s">
        <v>324</v>
      </c>
      <c r="B41" s="4" t="s">
        <v>55</v>
      </c>
      <c r="C41" s="1">
        <v>2</v>
      </c>
      <c r="D41">
        <v>40</v>
      </c>
      <c r="E41">
        <v>1</v>
      </c>
      <c r="F41">
        <v>68</v>
      </c>
      <c r="G41">
        <v>106</v>
      </c>
      <c r="H41">
        <f t="shared" ref="H41" si="144">AVERAGE(G41:G43)</f>
        <v>106.33333333333333</v>
      </c>
      <c r="I41">
        <f t="shared" ref="I41" si="145">_xlfn.STDEV.P(G41:G43)</f>
        <v>0.47140452079103168</v>
      </c>
      <c r="J41">
        <v>0</v>
      </c>
      <c r="K41">
        <f t="shared" ref="K41" si="146">AVERAGE(J41:J43)</f>
        <v>0</v>
      </c>
      <c r="L41">
        <f t="shared" ref="L41" si="147">_xlfn.STDEV.P(J41:J43)</f>
        <v>0</v>
      </c>
      <c r="M41">
        <v>125</v>
      </c>
      <c r="N41">
        <f t="shared" ref="N41" si="148">AVERAGE(M41:M43)</f>
        <v>128.33333333333334</v>
      </c>
      <c r="O41">
        <f t="shared" ref="O41" si="149">_xlfn.STDEV.P(M41:M43)</f>
        <v>4.7140452079103161</v>
      </c>
      <c r="P41">
        <v>156</v>
      </c>
      <c r="Q41">
        <v>0.67</v>
      </c>
      <c r="R41">
        <v>104.52000000000001</v>
      </c>
      <c r="S41">
        <v>0.7</v>
      </c>
      <c r="T41">
        <v>109.19999999999999</v>
      </c>
      <c r="U41">
        <v>18.809999999999999</v>
      </c>
      <c r="AB41" t="s">
        <v>304</v>
      </c>
      <c r="AC41">
        <v>1</v>
      </c>
      <c r="AD41">
        <v>2.9750000000000002E-3</v>
      </c>
      <c r="AE41">
        <v>2.9750000000000002E-3</v>
      </c>
      <c r="AF41">
        <v>0.7</v>
      </c>
      <c r="AG41">
        <v>0.40200000000000002</v>
      </c>
    </row>
    <row r="42" spans="1:33" x14ac:dyDescent="0.25">
      <c r="A42" t="s">
        <v>324</v>
      </c>
      <c r="B42" s="4" t="s">
        <v>55</v>
      </c>
      <c r="C42" s="1">
        <v>2</v>
      </c>
      <c r="D42">
        <v>40</v>
      </c>
      <c r="E42">
        <v>2</v>
      </c>
      <c r="F42">
        <v>58</v>
      </c>
      <c r="G42">
        <v>106</v>
      </c>
      <c r="H42">
        <f t="shared" ref="H42:I42" si="150">H41</f>
        <v>106.33333333333333</v>
      </c>
      <c r="I42">
        <f t="shared" si="150"/>
        <v>0.47140452079103168</v>
      </c>
      <c r="J42">
        <v>0</v>
      </c>
      <c r="K42">
        <f t="shared" ref="K42:L42" si="151">K41</f>
        <v>0</v>
      </c>
      <c r="L42">
        <f t="shared" si="151"/>
        <v>0</v>
      </c>
      <c r="M42">
        <v>135</v>
      </c>
      <c r="N42">
        <f t="shared" ref="N42:O42" si="152">N41</f>
        <v>128.33333333333334</v>
      </c>
      <c r="O42">
        <f t="shared" si="152"/>
        <v>4.7140452079103161</v>
      </c>
      <c r="P42">
        <v>156</v>
      </c>
      <c r="Q42">
        <v>0.65</v>
      </c>
      <c r="R42">
        <v>101.4</v>
      </c>
      <c r="S42">
        <v>0.68</v>
      </c>
      <c r="T42">
        <v>106.08000000000001</v>
      </c>
      <c r="U42">
        <v>15.63</v>
      </c>
      <c r="AB42" t="s">
        <v>307</v>
      </c>
      <c r="AC42">
        <v>1</v>
      </c>
      <c r="AD42">
        <v>3.8500000000000001E-3</v>
      </c>
      <c r="AE42">
        <v>3.8500000000000001E-3</v>
      </c>
      <c r="AF42">
        <v>0.91</v>
      </c>
      <c r="AG42">
        <v>0.34</v>
      </c>
    </row>
    <row r="43" spans="1:33" x14ac:dyDescent="0.25">
      <c r="A43" t="s">
        <v>324</v>
      </c>
      <c r="B43" s="4" t="s">
        <v>55</v>
      </c>
      <c r="C43" s="1">
        <v>2</v>
      </c>
      <c r="D43">
        <v>40</v>
      </c>
      <c r="E43">
        <v>3</v>
      </c>
      <c r="F43">
        <v>70</v>
      </c>
      <c r="G43">
        <v>107</v>
      </c>
      <c r="H43">
        <f t="shared" ref="H43:I43" si="153">H41</f>
        <v>106.33333333333333</v>
      </c>
      <c r="I43">
        <f t="shared" si="153"/>
        <v>0.47140452079103168</v>
      </c>
      <c r="J43">
        <v>0</v>
      </c>
      <c r="K43">
        <f t="shared" ref="K43:L43" si="154">K41</f>
        <v>0</v>
      </c>
      <c r="L43">
        <f t="shared" si="154"/>
        <v>0</v>
      </c>
      <c r="M43">
        <v>125</v>
      </c>
      <c r="N43">
        <f t="shared" ref="N43:O43" si="155">N41</f>
        <v>128.33333333333334</v>
      </c>
      <c r="O43">
        <f t="shared" si="155"/>
        <v>4.7140452079103161</v>
      </c>
      <c r="P43">
        <v>156</v>
      </c>
      <c r="Q43">
        <v>0.65</v>
      </c>
      <c r="R43">
        <v>101.4</v>
      </c>
      <c r="S43">
        <v>0.73</v>
      </c>
      <c r="T43">
        <v>113.88</v>
      </c>
      <c r="U43" t="s">
        <v>20</v>
      </c>
      <c r="AB43" t="s">
        <v>308</v>
      </c>
      <c r="AC43">
        <v>149</v>
      </c>
      <c r="AD43">
        <v>0.60358800000000001</v>
      </c>
      <c r="AE43">
        <v>4.0509999999999999E-3</v>
      </c>
      <c r="AF43">
        <v>0.96</v>
      </c>
      <c r="AG43">
        <v>0.61599999999999999</v>
      </c>
    </row>
    <row r="44" spans="1:33" x14ac:dyDescent="0.25">
      <c r="A44" t="s">
        <v>325</v>
      </c>
      <c r="B44" s="4" t="s">
        <v>14</v>
      </c>
      <c r="C44" s="4">
        <v>1</v>
      </c>
      <c r="D44">
        <v>40</v>
      </c>
      <c r="E44">
        <v>1</v>
      </c>
      <c r="F44">
        <v>68</v>
      </c>
      <c r="G44">
        <v>0</v>
      </c>
      <c r="H44">
        <f t="shared" ref="H44" si="156">AVERAGE(G44:G46)</f>
        <v>0</v>
      </c>
      <c r="I44">
        <f t="shared" ref="I44" si="157">_xlfn.STDEV.P(G44:G46)</f>
        <v>0</v>
      </c>
      <c r="J44">
        <v>1</v>
      </c>
      <c r="K44">
        <f t="shared" ref="K44" si="158">AVERAGE(J44:J46)</f>
        <v>0.66666666666666663</v>
      </c>
      <c r="L44">
        <f t="shared" ref="L44" si="159">_xlfn.STDEV.P(J44:J46)</f>
        <v>0.47140452079103168</v>
      </c>
      <c r="M44">
        <v>100</v>
      </c>
      <c r="N44">
        <f t="shared" ref="N44" si="160">AVERAGE(M44:M46)</f>
        <v>96.666666666666671</v>
      </c>
      <c r="O44">
        <f t="shared" ref="O44" si="161">_xlfn.STDEV.P(M44:M46)</f>
        <v>6.182412330330469</v>
      </c>
      <c r="Q44">
        <v>0.65</v>
      </c>
      <c r="R44" t="s">
        <v>20</v>
      </c>
      <c r="S44">
        <v>0.67</v>
      </c>
      <c r="T44" t="s">
        <v>20</v>
      </c>
      <c r="U44" t="s">
        <v>20</v>
      </c>
      <c r="AB44" t="s">
        <v>309</v>
      </c>
      <c r="AC44">
        <v>584</v>
      </c>
      <c r="AD44">
        <v>2.4664609999999998</v>
      </c>
      <c r="AE44">
        <v>4.2230000000000002E-3</v>
      </c>
      <c r="AF44" t="s">
        <v>310</v>
      </c>
      <c r="AG44" t="s">
        <v>310</v>
      </c>
    </row>
    <row r="45" spans="1:33" x14ac:dyDescent="0.25">
      <c r="A45" t="s">
        <v>325</v>
      </c>
      <c r="B45" s="4" t="s">
        <v>14</v>
      </c>
      <c r="C45" s="4">
        <v>1</v>
      </c>
      <c r="D45">
        <v>40</v>
      </c>
      <c r="E45">
        <v>2</v>
      </c>
      <c r="F45">
        <v>74</v>
      </c>
      <c r="G45">
        <v>0</v>
      </c>
      <c r="H45">
        <f t="shared" ref="H45:I45" si="162">H44</f>
        <v>0</v>
      </c>
      <c r="I45">
        <f t="shared" si="162"/>
        <v>0</v>
      </c>
      <c r="J45">
        <v>0</v>
      </c>
      <c r="K45">
        <f t="shared" ref="K45:L45" si="163">K44</f>
        <v>0.66666666666666663</v>
      </c>
      <c r="L45">
        <f t="shared" si="163"/>
        <v>0.47140452079103168</v>
      </c>
      <c r="M45">
        <v>102</v>
      </c>
      <c r="N45">
        <f t="shared" ref="N45:O45" si="164">N44</f>
        <v>96.666666666666671</v>
      </c>
      <c r="O45">
        <f t="shared" si="164"/>
        <v>6.182412330330469</v>
      </c>
      <c r="Q45">
        <v>0.59</v>
      </c>
      <c r="R45" t="s">
        <v>20</v>
      </c>
      <c r="S45">
        <v>0.63</v>
      </c>
      <c r="T45" t="s">
        <v>20</v>
      </c>
      <c r="U45" t="s">
        <v>20</v>
      </c>
      <c r="AB45" t="s">
        <v>312</v>
      </c>
      <c r="AC45">
        <v>885</v>
      </c>
      <c r="AD45">
        <v>6.5316850000000004</v>
      </c>
      <c r="AE45">
        <v>7.3800000000000003E-3</v>
      </c>
      <c r="AF45" t="s">
        <v>310</v>
      </c>
    </row>
    <row r="46" spans="1:33" x14ac:dyDescent="0.25">
      <c r="A46" t="s">
        <v>325</v>
      </c>
      <c r="B46" s="4" t="s">
        <v>14</v>
      </c>
      <c r="C46" s="4">
        <v>1</v>
      </c>
      <c r="D46">
        <v>40</v>
      </c>
      <c r="E46">
        <v>3</v>
      </c>
      <c r="F46">
        <v>62</v>
      </c>
      <c r="G46">
        <v>0</v>
      </c>
      <c r="H46">
        <f t="shared" ref="H46:I46" si="165">H44</f>
        <v>0</v>
      </c>
      <c r="I46">
        <f t="shared" si="165"/>
        <v>0</v>
      </c>
      <c r="J46">
        <v>1</v>
      </c>
      <c r="K46">
        <f t="shared" ref="K46:L46" si="166">K44</f>
        <v>0.66666666666666663</v>
      </c>
      <c r="L46">
        <f t="shared" si="166"/>
        <v>0.47140452079103168</v>
      </c>
      <c r="M46">
        <v>88</v>
      </c>
      <c r="N46">
        <f t="shared" ref="N46:O46" si="167">N44</f>
        <v>96.666666666666671</v>
      </c>
      <c r="O46">
        <f t="shared" si="167"/>
        <v>6.182412330330469</v>
      </c>
      <c r="Q46">
        <v>0.62</v>
      </c>
      <c r="R46" t="s">
        <v>20</v>
      </c>
      <c r="S46">
        <v>0.45</v>
      </c>
      <c r="T46" t="s">
        <v>20</v>
      </c>
      <c r="U46" t="s">
        <v>20</v>
      </c>
    </row>
    <row r="47" spans="1:33" x14ac:dyDescent="0.25">
      <c r="A47" t="s">
        <v>326</v>
      </c>
      <c r="B47" s="4" t="s">
        <v>49</v>
      </c>
      <c r="C47" s="1">
        <v>3</v>
      </c>
      <c r="D47">
        <v>40</v>
      </c>
      <c r="E47">
        <v>1</v>
      </c>
      <c r="F47">
        <v>36</v>
      </c>
      <c r="G47">
        <v>85</v>
      </c>
      <c r="H47">
        <f t="shared" ref="H47" si="168">AVERAGE(G47:G49)</f>
        <v>85.333333333333329</v>
      </c>
      <c r="I47">
        <f t="shared" ref="I47" si="169">_xlfn.STDEV.P(G47:G49)</f>
        <v>0.47140452079103168</v>
      </c>
      <c r="J47">
        <v>7</v>
      </c>
      <c r="K47">
        <f t="shared" ref="K47" si="170">AVERAGE(J47:J49)</f>
        <v>5</v>
      </c>
      <c r="L47">
        <f t="shared" ref="L47" si="171">_xlfn.STDEV.P(J47:J49)</f>
        <v>1.4142135623730951</v>
      </c>
      <c r="M47">
        <v>99</v>
      </c>
      <c r="N47">
        <f t="shared" ref="N47" si="172">AVERAGE(M47:M49)</f>
        <v>100.33333333333333</v>
      </c>
      <c r="O47">
        <f t="shared" ref="O47" si="173">_xlfn.STDEV.P(M47:M49)</f>
        <v>4.1899350299921778</v>
      </c>
      <c r="P47">
        <v>131</v>
      </c>
      <c r="Q47">
        <v>0.59</v>
      </c>
      <c r="R47">
        <v>77.289999999999992</v>
      </c>
      <c r="S47">
        <v>0.52</v>
      </c>
      <c r="T47">
        <v>68.12</v>
      </c>
      <c r="U47">
        <v>13.4</v>
      </c>
      <c r="AB47" t="s">
        <v>327</v>
      </c>
    </row>
    <row r="48" spans="1:33" x14ac:dyDescent="0.25">
      <c r="A48" t="s">
        <v>326</v>
      </c>
      <c r="B48" s="4" t="s">
        <v>49</v>
      </c>
      <c r="C48" s="1">
        <v>3</v>
      </c>
      <c r="D48">
        <v>40</v>
      </c>
      <c r="E48">
        <v>2</v>
      </c>
      <c r="F48">
        <v>42</v>
      </c>
      <c r="G48">
        <v>86</v>
      </c>
      <c r="H48">
        <f t="shared" ref="H48:I48" si="174">H47</f>
        <v>85.333333333333329</v>
      </c>
      <c r="I48">
        <f t="shared" si="174"/>
        <v>0.47140452079103168</v>
      </c>
      <c r="J48">
        <v>4</v>
      </c>
      <c r="K48">
        <f t="shared" ref="K48:L48" si="175">K47</f>
        <v>5</v>
      </c>
      <c r="L48">
        <f t="shared" si="175"/>
        <v>1.4142135623730951</v>
      </c>
      <c r="M48">
        <v>96</v>
      </c>
      <c r="N48">
        <f t="shared" ref="N48:O48" si="176">N47</f>
        <v>100.33333333333333</v>
      </c>
      <c r="O48">
        <f t="shared" si="176"/>
        <v>4.1899350299921778</v>
      </c>
      <c r="P48">
        <v>132</v>
      </c>
      <c r="Q48">
        <v>0.66</v>
      </c>
      <c r="R48">
        <v>87.12</v>
      </c>
      <c r="S48">
        <v>0.65</v>
      </c>
      <c r="T48">
        <v>85.8</v>
      </c>
      <c r="U48">
        <v>12.13</v>
      </c>
      <c r="AB48" t="s">
        <v>279</v>
      </c>
      <c r="AC48" t="s">
        <v>280</v>
      </c>
      <c r="AD48" t="s">
        <v>281</v>
      </c>
      <c r="AE48" t="s">
        <v>282</v>
      </c>
      <c r="AF48" t="s">
        <v>283</v>
      </c>
      <c r="AG48" t="s">
        <v>284</v>
      </c>
    </row>
    <row r="49" spans="1:33" x14ac:dyDescent="0.25">
      <c r="A49" t="s">
        <v>326</v>
      </c>
      <c r="B49" s="4" t="s">
        <v>49</v>
      </c>
      <c r="C49" s="1">
        <v>3</v>
      </c>
      <c r="D49">
        <v>40</v>
      </c>
      <c r="E49">
        <v>3</v>
      </c>
      <c r="F49">
        <v>30</v>
      </c>
      <c r="G49">
        <v>85</v>
      </c>
      <c r="H49">
        <f t="shared" ref="H49:I49" si="177">H47</f>
        <v>85.333333333333329</v>
      </c>
      <c r="I49">
        <f t="shared" si="177"/>
        <v>0.47140452079103168</v>
      </c>
      <c r="J49">
        <v>4</v>
      </c>
      <c r="K49">
        <f t="shared" ref="K49:L49" si="178">K47</f>
        <v>5</v>
      </c>
      <c r="L49">
        <f t="shared" si="178"/>
        <v>1.4142135623730951</v>
      </c>
      <c r="M49">
        <v>106</v>
      </c>
      <c r="N49">
        <f t="shared" ref="N49:O49" si="179">N47</f>
        <v>100.33333333333333</v>
      </c>
      <c r="O49">
        <f t="shared" si="179"/>
        <v>4.1899350299921778</v>
      </c>
      <c r="P49">
        <v>131</v>
      </c>
      <c r="Q49">
        <v>0.67</v>
      </c>
      <c r="R49">
        <v>87.77000000000001</v>
      </c>
      <c r="S49">
        <v>0.64</v>
      </c>
      <c r="T49">
        <v>83.84</v>
      </c>
      <c r="U49" t="s">
        <v>20</v>
      </c>
      <c r="AB49" t="s">
        <v>267</v>
      </c>
      <c r="AC49">
        <v>2</v>
      </c>
      <c r="AD49">
        <v>0.11058</v>
      </c>
      <c r="AE49">
        <v>5.5289999999999999E-2</v>
      </c>
      <c r="AF49">
        <v>5.35</v>
      </c>
      <c r="AG49">
        <v>5.0000000000000001E-3</v>
      </c>
    </row>
    <row r="50" spans="1:33" x14ac:dyDescent="0.25">
      <c r="A50" t="s">
        <v>328</v>
      </c>
      <c r="B50" s="4" t="s">
        <v>58</v>
      </c>
      <c r="C50" s="1">
        <v>2</v>
      </c>
      <c r="D50">
        <v>40</v>
      </c>
      <c r="E50">
        <v>1</v>
      </c>
      <c r="F50">
        <v>14</v>
      </c>
      <c r="G50">
        <v>123</v>
      </c>
      <c r="H50">
        <f t="shared" ref="H50" si="180">AVERAGE(G50:G52)</f>
        <v>122.66666666666667</v>
      </c>
      <c r="I50">
        <f t="shared" ref="I50" si="181">_xlfn.STDEV.P(G50:G52)</f>
        <v>1.247219128924647</v>
      </c>
      <c r="J50">
        <v>1</v>
      </c>
      <c r="K50">
        <f t="shared" ref="K50" si="182">AVERAGE(J50:J52)</f>
        <v>0.33333333333333331</v>
      </c>
      <c r="L50">
        <f t="shared" ref="L50" si="183">_xlfn.STDEV.P(J50:J52)</f>
        <v>0.47140452079103168</v>
      </c>
      <c r="M50">
        <v>110</v>
      </c>
      <c r="N50">
        <f t="shared" ref="N50" si="184">AVERAGE(M50:M52)</f>
        <v>106</v>
      </c>
      <c r="O50">
        <f t="shared" ref="O50" si="185">_xlfn.STDEV.P(M50:M52)</f>
        <v>3.2659863237109041</v>
      </c>
      <c r="P50">
        <v>186</v>
      </c>
      <c r="Q50">
        <v>0.63</v>
      </c>
      <c r="R50">
        <v>117.18</v>
      </c>
      <c r="S50">
        <v>0.5</v>
      </c>
      <c r="T50">
        <v>93</v>
      </c>
      <c r="U50" t="s">
        <v>20</v>
      </c>
      <c r="AB50" t="s">
        <v>295</v>
      </c>
      <c r="AC50">
        <v>149</v>
      </c>
      <c r="AD50">
        <v>6.2428299999999997</v>
      </c>
      <c r="AE50">
        <v>4.19E-2</v>
      </c>
      <c r="AF50">
        <v>4.0599999999999996</v>
      </c>
      <c r="AG50" t="s">
        <v>296</v>
      </c>
    </row>
    <row r="51" spans="1:33" x14ac:dyDescent="0.25">
      <c r="A51" t="s">
        <v>328</v>
      </c>
      <c r="B51" s="4" t="s">
        <v>58</v>
      </c>
      <c r="C51" s="1">
        <v>2</v>
      </c>
      <c r="D51">
        <v>40</v>
      </c>
      <c r="E51">
        <v>2</v>
      </c>
      <c r="F51">
        <v>10</v>
      </c>
      <c r="G51">
        <v>121</v>
      </c>
      <c r="H51">
        <f t="shared" ref="H51:I51" si="186">H50</f>
        <v>122.66666666666667</v>
      </c>
      <c r="I51">
        <f t="shared" si="186"/>
        <v>1.247219128924647</v>
      </c>
      <c r="J51">
        <v>0</v>
      </c>
      <c r="K51">
        <f t="shared" ref="K51:L51" si="187">K50</f>
        <v>0.33333333333333331</v>
      </c>
      <c r="L51">
        <f t="shared" si="187"/>
        <v>0.47140452079103168</v>
      </c>
      <c r="M51">
        <v>106</v>
      </c>
      <c r="N51">
        <f t="shared" ref="N51:O51" si="188">N50</f>
        <v>106</v>
      </c>
      <c r="O51">
        <f t="shared" si="188"/>
        <v>3.2659863237109041</v>
      </c>
      <c r="P51">
        <v>179</v>
      </c>
      <c r="Q51">
        <v>0.6</v>
      </c>
      <c r="R51">
        <v>107.39999999999999</v>
      </c>
      <c r="S51">
        <v>0.65</v>
      </c>
      <c r="T51">
        <v>116.35000000000001</v>
      </c>
      <c r="U51" t="s">
        <v>20</v>
      </c>
      <c r="AB51" t="s">
        <v>300</v>
      </c>
      <c r="AC51">
        <v>149</v>
      </c>
      <c r="AD51">
        <v>6.2431700000000001</v>
      </c>
      <c r="AE51">
        <v>4.19E-2</v>
      </c>
      <c r="AF51">
        <v>4.0599999999999996</v>
      </c>
      <c r="AG51" t="s">
        <v>296</v>
      </c>
    </row>
    <row r="52" spans="1:33" x14ac:dyDescent="0.25">
      <c r="A52" t="s">
        <v>328</v>
      </c>
      <c r="B52" s="4" t="s">
        <v>58</v>
      </c>
      <c r="C52" s="1">
        <v>2</v>
      </c>
      <c r="D52">
        <v>40</v>
      </c>
      <c r="E52">
        <v>3</v>
      </c>
      <c r="F52">
        <v>8</v>
      </c>
      <c r="G52">
        <v>124</v>
      </c>
      <c r="H52">
        <f t="shared" ref="H52:I52" si="189">H50</f>
        <v>122.66666666666667</v>
      </c>
      <c r="I52">
        <f t="shared" si="189"/>
        <v>1.247219128924647</v>
      </c>
      <c r="J52">
        <v>0</v>
      </c>
      <c r="K52">
        <f t="shared" ref="K52:L52" si="190">K50</f>
        <v>0.33333333333333331</v>
      </c>
      <c r="L52">
        <f t="shared" si="190"/>
        <v>0.47140452079103168</v>
      </c>
      <c r="M52">
        <v>102</v>
      </c>
      <c r="N52">
        <f t="shared" ref="N52:O52" si="191">N50</f>
        <v>106</v>
      </c>
      <c r="O52">
        <f t="shared" si="191"/>
        <v>3.2659863237109041</v>
      </c>
      <c r="P52">
        <v>186</v>
      </c>
      <c r="Q52">
        <v>0.62</v>
      </c>
      <c r="R52">
        <v>115.32</v>
      </c>
      <c r="S52">
        <v>0.44</v>
      </c>
      <c r="T52">
        <v>81.84</v>
      </c>
      <c r="U52" t="s">
        <v>20</v>
      </c>
      <c r="AB52" t="s">
        <v>304</v>
      </c>
      <c r="AC52">
        <v>1</v>
      </c>
      <c r="AD52">
        <v>5.13E-3</v>
      </c>
      <c r="AE52">
        <v>5.13E-3</v>
      </c>
      <c r="AF52">
        <v>0.5</v>
      </c>
      <c r="AG52">
        <v>0.48099999999999998</v>
      </c>
    </row>
    <row r="53" spans="1:33" x14ac:dyDescent="0.25">
      <c r="A53" t="s">
        <v>329</v>
      </c>
      <c r="B53" s="4" t="s">
        <v>52</v>
      </c>
      <c r="C53" s="1">
        <v>5</v>
      </c>
      <c r="D53">
        <v>40</v>
      </c>
      <c r="E53">
        <v>1</v>
      </c>
      <c r="F53">
        <v>46</v>
      </c>
      <c r="G53">
        <v>91</v>
      </c>
      <c r="H53">
        <f t="shared" ref="H53" si="192">AVERAGE(G53:G55)</f>
        <v>90.333333333333329</v>
      </c>
      <c r="I53">
        <f t="shared" ref="I53" si="193">_xlfn.STDEV.P(G53:G55)</f>
        <v>0.94280904158206336</v>
      </c>
      <c r="J53">
        <v>4</v>
      </c>
      <c r="K53">
        <f t="shared" ref="K53" si="194">AVERAGE(J53:J55)</f>
        <v>3</v>
      </c>
      <c r="L53">
        <f t="shared" ref="L53" si="195">_xlfn.STDEV.P(J53:J55)</f>
        <v>1.4142135623730951</v>
      </c>
      <c r="M53">
        <v>102</v>
      </c>
      <c r="N53">
        <f t="shared" ref="N53" si="196">AVERAGE(M53:M55)</f>
        <v>102.66666666666667</v>
      </c>
      <c r="O53">
        <f t="shared" ref="O53" si="197">_xlfn.STDEV.P(M53:M55)</f>
        <v>7.3635740114581747</v>
      </c>
      <c r="P53">
        <v>138</v>
      </c>
      <c r="Q53">
        <v>0.71</v>
      </c>
      <c r="R53">
        <v>97.97999999999999</v>
      </c>
      <c r="S53">
        <v>0.76</v>
      </c>
      <c r="T53">
        <v>104.88</v>
      </c>
      <c r="U53">
        <v>13.2</v>
      </c>
      <c r="AB53" t="s">
        <v>307</v>
      </c>
      <c r="AC53">
        <v>1</v>
      </c>
      <c r="AD53">
        <v>5.47E-3</v>
      </c>
      <c r="AE53">
        <v>5.47E-3</v>
      </c>
      <c r="AF53">
        <v>0.53</v>
      </c>
      <c r="AG53">
        <v>0.46700000000000003</v>
      </c>
    </row>
    <row r="54" spans="1:33" x14ac:dyDescent="0.25">
      <c r="A54" t="s">
        <v>329</v>
      </c>
      <c r="B54" s="4" t="s">
        <v>52</v>
      </c>
      <c r="C54" s="1">
        <v>5</v>
      </c>
      <c r="D54">
        <v>40</v>
      </c>
      <c r="E54">
        <v>2</v>
      </c>
      <c r="F54">
        <v>60</v>
      </c>
      <c r="G54">
        <v>91</v>
      </c>
      <c r="H54">
        <f t="shared" ref="H54:I54" si="198">H53</f>
        <v>90.333333333333329</v>
      </c>
      <c r="I54">
        <f t="shared" si="198"/>
        <v>0.94280904158206336</v>
      </c>
      <c r="J54">
        <v>1</v>
      </c>
      <c r="K54">
        <f t="shared" ref="K54:L54" si="199">K53</f>
        <v>3</v>
      </c>
      <c r="L54">
        <f t="shared" si="199"/>
        <v>1.4142135623730951</v>
      </c>
      <c r="M54">
        <v>94</v>
      </c>
      <c r="N54">
        <f t="shared" ref="N54:O54" si="200">N53</f>
        <v>102.66666666666667</v>
      </c>
      <c r="O54">
        <f t="shared" si="200"/>
        <v>7.3635740114581747</v>
      </c>
      <c r="P54">
        <v>138</v>
      </c>
      <c r="Q54">
        <v>0.56999999999999995</v>
      </c>
      <c r="R54">
        <v>78.66</v>
      </c>
      <c r="S54">
        <v>0.79</v>
      </c>
      <c r="T54">
        <v>109.02000000000001</v>
      </c>
      <c r="U54">
        <v>13.93</v>
      </c>
      <c r="AB54" t="s">
        <v>308</v>
      </c>
      <c r="AC54">
        <v>149</v>
      </c>
      <c r="AD54">
        <v>1.4631700000000001</v>
      </c>
      <c r="AE54">
        <v>9.8200000000000006E-3</v>
      </c>
      <c r="AF54">
        <v>0.95</v>
      </c>
      <c r="AG54">
        <v>0.64100000000000001</v>
      </c>
    </row>
    <row r="55" spans="1:33" x14ac:dyDescent="0.25">
      <c r="A55" t="s">
        <v>329</v>
      </c>
      <c r="B55" s="4" t="s">
        <v>52</v>
      </c>
      <c r="C55" s="1">
        <v>5</v>
      </c>
      <c r="D55">
        <v>40</v>
      </c>
      <c r="E55">
        <v>3</v>
      </c>
      <c r="F55">
        <v>76</v>
      </c>
      <c r="G55">
        <v>89</v>
      </c>
      <c r="H55">
        <f t="shared" ref="H55:I55" si="201">H53</f>
        <v>90.333333333333329</v>
      </c>
      <c r="I55">
        <f t="shared" si="201"/>
        <v>0.94280904158206336</v>
      </c>
      <c r="J55">
        <v>4</v>
      </c>
      <c r="K55">
        <f t="shared" ref="K55:L55" si="202">K53</f>
        <v>3</v>
      </c>
      <c r="L55">
        <f t="shared" si="202"/>
        <v>1.4142135623730951</v>
      </c>
      <c r="M55">
        <v>112</v>
      </c>
      <c r="N55">
        <f t="shared" ref="N55:O55" si="203">N53</f>
        <v>102.66666666666667</v>
      </c>
      <c r="O55">
        <f t="shared" si="203"/>
        <v>7.3635740114581747</v>
      </c>
      <c r="P55">
        <v>138</v>
      </c>
      <c r="Q55">
        <v>0.66</v>
      </c>
      <c r="R55">
        <v>91.08</v>
      </c>
      <c r="S55">
        <v>0.81</v>
      </c>
      <c r="T55">
        <v>111.78</v>
      </c>
      <c r="U55">
        <v>14.07</v>
      </c>
      <c r="AB55" t="s">
        <v>309</v>
      </c>
      <c r="AC55">
        <v>583</v>
      </c>
      <c r="AD55">
        <v>6.0220799999999999</v>
      </c>
      <c r="AE55">
        <v>1.0330000000000001E-2</v>
      </c>
      <c r="AF55" t="s">
        <v>310</v>
      </c>
      <c r="AG55" t="s">
        <v>310</v>
      </c>
    </row>
    <row r="56" spans="1:33" x14ac:dyDescent="0.25">
      <c r="A56" t="s">
        <v>330</v>
      </c>
      <c r="B56" s="4" t="s">
        <v>64</v>
      </c>
      <c r="C56" s="1">
        <v>2</v>
      </c>
      <c r="D56">
        <v>40</v>
      </c>
      <c r="E56">
        <v>1</v>
      </c>
      <c r="F56">
        <v>112</v>
      </c>
      <c r="G56">
        <v>76</v>
      </c>
      <c r="H56">
        <f t="shared" ref="H56" si="204">AVERAGE(G56:G58)</f>
        <v>75.333333333333329</v>
      </c>
      <c r="I56">
        <f t="shared" ref="I56" si="205">_xlfn.STDEV.P(G56:G58)</f>
        <v>0.94280904158206336</v>
      </c>
      <c r="J56">
        <v>2</v>
      </c>
      <c r="K56">
        <f t="shared" ref="K56" si="206">AVERAGE(J56:J58)</f>
        <v>1.6666666666666667</v>
      </c>
      <c r="L56">
        <f t="shared" ref="L56" si="207">_xlfn.STDEV.P(J56:J58)</f>
        <v>0.47140452079103168</v>
      </c>
      <c r="M56">
        <v>121</v>
      </c>
      <c r="N56">
        <f t="shared" ref="N56" si="208">AVERAGE(M56:M58)</f>
        <v>123</v>
      </c>
      <c r="O56">
        <f t="shared" ref="O56" si="209">_xlfn.STDEV.P(M56:M58)</f>
        <v>3.5590260840104371</v>
      </c>
      <c r="P56">
        <v>122</v>
      </c>
      <c r="Q56">
        <v>0.62</v>
      </c>
      <c r="R56">
        <v>75.64</v>
      </c>
      <c r="S56">
        <v>0.79</v>
      </c>
      <c r="T56">
        <v>96.38000000000001</v>
      </c>
      <c r="U56">
        <v>14.18</v>
      </c>
      <c r="AB56" t="s">
        <v>312</v>
      </c>
      <c r="AC56">
        <v>884</v>
      </c>
      <c r="AD56">
        <v>13.84413</v>
      </c>
      <c r="AE56">
        <v>1.566E-2</v>
      </c>
    </row>
    <row r="57" spans="1:33" x14ac:dyDescent="0.25">
      <c r="A57" t="s">
        <v>330</v>
      </c>
      <c r="B57" s="4" t="s">
        <v>64</v>
      </c>
      <c r="C57" s="1">
        <v>2</v>
      </c>
      <c r="D57">
        <v>40</v>
      </c>
      <c r="E57">
        <v>2</v>
      </c>
      <c r="F57">
        <v>94</v>
      </c>
      <c r="G57">
        <v>76</v>
      </c>
      <c r="H57">
        <f t="shared" ref="H57:I57" si="210">H56</f>
        <v>75.333333333333329</v>
      </c>
      <c r="I57">
        <f t="shared" si="210"/>
        <v>0.94280904158206336</v>
      </c>
      <c r="J57">
        <v>2</v>
      </c>
      <c r="K57">
        <f t="shared" ref="K57:L57" si="211">K56</f>
        <v>1.6666666666666667</v>
      </c>
      <c r="L57">
        <f t="shared" si="211"/>
        <v>0.47140452079103168</v>
      </c>
      <c r="M57">
        <v>120</v>
      </c>
      <c r="N57">
        <f t="shared" ref="N57:O57" si="212">N56</f>
        <v>123</v>
      </c>
      <c r="O57">
        <f t="shared" si="212"/>
        <v>3.5590260840104371</v>
      </c>
      <c r="P57">
        <v>122</v>
      </c>
      <c r="Q57">
        <v>0.65</v>
      </c>
      <c r="R57">
        <v>79.3</v>
      </c>
      <c r="S57">
        <v>0.8</v>
      </c>
      <c r="T57">
        <v>97.600000000000009</v>
      </c>
      <c r="U57">
        <v>15.88</v>
      </c>
    </row>
    <row r="58" spans="1:33" x14ac:dyDescent="0.25">
      <c r="A58" t="s">
        <v>330</v>
      </c>
      <c r="B58" s="4" t="s">
        <v>64</v>
      </c>
      <c r="C58" s="1">
        <v>2</v>
      </c>
      <c r="D58">
        <v>40</v>
      </c>
      <c r="E58">
        <v>3</v>
      </c>
      <c r="F58">
        <v>78</v>
      </c>
      <c r="G58">
        <v>74</v>
      </c>
      <c r="H58">
        <f t="shared" ref="H58:I58" si="213">H56</f>
        <v>75.333333333333329</v>
      </c>
      <c r="I58">
        <f t="shared" si="213"/>
        <v>0.94280904158206336</v>
      </c>
      <c r="J58">
        <v>1</v>
      </c>
      <c r="K58">
        <f t="shared" ref="K58:L58" si="214">K56</f>
        <v>1.6666666666666667</v>
      </c>
      <c r="L58">
        <f t="shared" si="214"/>
        <v>0.47140452079103168</v>
      </c>
      <c r="M58">
        <v>128</v>
      </c>
      <c r="N58">
        <f t="shared" ref="N58:O58" si="215">N56</f>
        <v>123</v>
      </c>
      <c r="O58">
        <f t="shared" si="215"/>
        <v>3.5590260840104371</v>
      </c>
      <c r="P58">
        <v>121</v>
      </c>
      <c r="Q58">
        <v>0.56999999999999995</v>
      </c>
      <c r="R58">
        <v>68.97</v>
      </c>
      <c r="S58">
        <v>0.77</v>
      </c>
      <c r="T58">
        <v>93.17</v>
      </c>
      <c r="U58" t="s">
        <v>20</v>
      </c>
    </row>
    <row r="59" spans="1:33" x14ac:dyDescent="0.25">
      <c r="A59" t="s">
        <v>331</v>
      </c>
      <c r="B59" s="4" t="s">
        <v>66</v>
      </c>
      <c r="C59" s="1">
        <v>4</v>
      </c>
      <c r="D59">
        <v>40</v>
      </c>
      <c r="E59">
        <v>1</v>
      </c>
      <c r="F59">
        <v>4</v>
      </c>
      <c r="G59" t="s">
        <v>20</v>
      </c>
      <c r="H59">
        <f t="shared" ref="H59" si="216">AVERAGE(G59:G61)</f>
        <v>104</v>
      </c>
      <c r="I59">
        <f t="shared" ref="I59" si="217">_xlfn.STDEV.P(G59:G61)</f>
        <v>0</v>
      </c>
      <c r="J59" t="s">
        <v>20</v>
      </c>
      <c r="K59">
        <f t="shared" ref="K59" si="218">AVERAGE(J59:J61)</f>
        <v>0</v>
      </c>
      <c r="L59">
        <f t="shared" ref="L59" si="219">_xlfn.STDEV.P(J59:J61)</f>
        <v>0</v>
      </c>
      <c r="M59" t="s">
        <v>20</v>
      </c>
      <c r="N59">
        <f t="shared" ref="N59" si="220">AVERAGE(M59:M61)</f>
        <v>90</v>
      </c>
      <c r="O59">
        <f t="shared" ref="O59" si="221">_xlfn.STDEV.P(M59:M61)</f>
        <v>0</v>
      </c>
      <c r="Q59" t="s">
        <v>20</v>
      </c>
      <c r="R59" t="s">
        <v>20</v>
      </c>
      <c r="S59" t="s">
        <v>20</v>
      </c>
      <c r="T59" t="s">
        <v>20</v>
      </c>
      <c r="U59" t="s">
        <v>20</v>
      </c>
    </row>
    <row r="60" spans="1:33" x14ac:dyDescent="0.25">
      <c r="A60" t="s">
        <v>331</v>
      </c>
      <c r="B60" s="4" t="s">
        <v>66</v>
      </c>
      <c r="C60" s="1">
        <v>4</v>
      </c>
      <c r="D60">
        <v>40</v>
      </c>
      <c r="E60">
        <v>2</v>
      </c>
      <c r="F60">
        <v>6</v>
      </c>
      <c r="G60">
        <v>104</v>
      </c>
      <c r="H60">
        <f t="shared" ref="H60:I60" si="222">H59</f>
        <v>104</v>
      </c>
      <c r="I60">
        <f t="shared" si="222"/>
        <v>0</v>
      </c>
      <c r="J60">
        <v>0</v>
      </c>
      <c r="K60">
        <f t="shared" ref="K60:L60" si="223">K59</f>
        <v>0</v>
      </c>
      <c r="L60">
        <f t="shared" si="223"/>
        <v>0</v>
      </c>
      <c r="M60">
        <v>90</v>
      </c>
      <c r="N60">
        <f t="shared" ref="N60:O60" si="224">N59</f>
        <v>90</v>
      </c>
      <c r="O60">
        <f t="shared" si="224"/>
        <v>0</v>
      </c>
      <c r="P60">
        <v>162</v>
      </c>
      <c r="Q60">
        <v>0.6</v>
      </c>
      <c r="R60" t="s">
        <v>20</v>
      </c>
      <c r="S60">
        <v>0.7</v>
      </c>
      <c r="T60" t="s">
        <v>20</v>
      </c>
      <c r="U60" t="s">
        <v>20</v>
      </c>
    </row>
    <row r="61" spans="1:33" x14ac:dyDescent="0.25">
      <c r="A61" t="s">
        <v>331</v>
      </c>
      <c r="B61" s="4" t="s">
        <v>66</v>
      </c>
      <c r="C61" s="1">
        <v>4</v>
      </c>
      <c r="D61">
        <v>40</v>
      </c>
      <c r="E61">
        <v>3</v>
      </c>
      <c r="F61">
        <v>4</v>
      </c>
      <c r="G61" t="s">
        <v>20</v>
      </c>
      <c r="H61">
        <f t="shared" ref="H61:I61" si="225">H59</f>
        <v>104</v>
      </c>
      <c r="I61">
        <f t="shared" si="225"/>
        <v>0</v>
      </c>
      <c r="J61" t="s">
        <v>20</v>
      </c>
      <c r="K61">
        <f t="shared" ref="K61:L61" si="226">K59</f>
        <v>0</v>
      </c>
      <c r="L61">
        <f t="shared" si="226"/>
        <v>0</v>
      </c>
      <c r="M61" t="s">
        <v>20</v>
      </c>
      <c r="N61">
        <f t="shared" ref="N61:O61" si="227">N59</f>
        <v>90</v>
      </c>
      <c r="O61">
        <f t="shared" si="227"/>
        <v>0</v>
      </c>
      <c r="Q61" t="s">
        <v>20</v>
      </c>
      <c r="R61" t="s">
        <v>20</v>
      </c>
      <c r="S61" t="s">
        <v>20</v>
      </c>
      <c r="T61" t="s">
        <v>20</v>
      </c>
      <c r="U61" t="s">
        <v>20</v>
      </c>
    </row>
    <row r="62" spans="1:33" x14ac:dyDescent="0.25">
      <c r="A62" t="s">
        <v>332</v>
      </c>
      <c r="B62" s="4" t="s">
        <v>64</v>
      </c>
      <c r="C62" s="1">
        <v>2</v>
      </c>
      <c r="D62">
        <v>40</v>
      </c>
      <c r="E62">
        <v>1</v>
      </c>
      <c r="F62">
        <v>80</v>
      </c>
      <c r="G62">
        <v>73</v>
      </c>
      <c r="H62">
        <f t="shared" ref="H62" si="228">AVERAGE(G62:G64)</f>
        <v>72.666666666666671</v>
      </c>
      <c r="I62">
        <f t="shared" ref="I62" si="229">_xlfn.STDEV.P(G62:G64)</f>
        <v>0.47140452079103168</v>
      </c>
      <c r="J62">
        <v>5</v>
      </c>
      <c r="K62">
        <f t="shared" ref="K62" si="230">AVERAGE(J62:J64)</f>
        <v>4.333333333333333</v>
      </c>
      <c r="L62">
        <f t="shared" ref="L62" si="231">_xlfn.STDEV.P(J62:J64)</f>
        <v>1.699673171197595</v>
      </c>
      <c r="M62">
        <v>98</v>
      </c>
      <c r="N62">
        <f t="shared" ref="N62" si="232">AVERAGE(M62:M64)</f>
        <v>104</v>
      </c>
      <c r="O62">
        <f t="shared" ref="O62" si="233">_xlfn.STDEV.P(M62:M64)</f>
        <v>4.3204937989385739</v>
      </c>
      <c r="P62">
        <v>121</v>
      </c>
      <c r="Q62">
        <v>0.6</v>
      </c>
      <c r="R62">
        <v>72.599999999999994</v>
      </c>
      <c r="S62">
        <v>0.72</v>
      </c>
      <c r="T62">
        <v>87.11999999999999</v>
      </c>
      <c r="U62">
        <v>11.93</v>
      </c>
    </row>
    <row r="63" spans="1:33" x14ac:dyDescent="0.25">
      <c r="A63" t="s">
        <v>332</v>
      </c>
      <c r="B63" s="4" t="s">
        <v>64</v>
      </c>
      <c r="C63" s="1">
        <v>2</v>
      </c>
      <c r="D63">
        <v>40</v>
      </c>
      <c r="E63">
        <v>2</v>
      </c>
      <c r="F63">
        <v>84</v>
      </c>
      <c r="G63">
        <v>73</v>
      </c>
      <c r="H63">
        <f t="shared" ref="H63:I63" si="234">H62</f>
        <v>72.666666666666671</v>
      </c>
      <c r="I63">
        <f t="shared" si="234"/>
        <v>0.47140452079103168</v>
      </c>
      <c r="J63">
        <v>6</v>
      </c>
      <c r="K63">
        <f t="shared" ref="K63:L63" si="235">K62</f>
        <v>4.333333333333333</v>
      </c>
      <c r="L63">
        <f t="shared" si="235"/>
        <v>1.699673171197595</v>
      </c>
      <c r="M63">
        <v>106</v>
      </c>
      <c r="N63">
        <f t="shared" ref="N63:O63" si="236">N62</f>
        <v>104</v>
      </c>
      <c r="O63">
        <f t="shared" si="236"/>
        <v>4.3204937989385739</v>
      </c>
      <c r="P63">
        <v>121</v>
      </c>
      <c r="Q63">
        <v>0.6</v>
      </c>
      <c r="R63">
        <v>72.599999999999994</v>
      </c>
      <c r="S63">
        <v>0.8</v>
      </c>
      <c r="T63">
        <v>96.800000000000011</v>
      </c>
      <c r="U63" t="s">
        <v>20</v>
      </c>
    </row>
    <row r="64" spans="1:33" x14ac:dyDescent="0.25">
      <c r="A64" t="s">
        <v>332</v>
      </c>
      <c r="B64" s="4" t="s">
        <v>64</v>
      </c>
      <c r="C64" s="1">
        <v>2</v>
      </c>
      <c r="D64">
        <v>40</v>
      </c>
      <c r="E64">
        <v>3</v>
      </c>
      <c r="F64">
        <v>104</v>
      </c>
      <c r="G64">
        <v>72</v>
      </c>
      <c r="H64">
        <f t="shared" ref="H64:I64" si="237">H62</f>
        <v>72.666666666666671</v>
      </c>
      <c r="I64">
        <f t="shared" si="237"/>
        <v>0.47140452079103168</v>
      </c>
      <c r="J64">
        <v>2</v>
      </c>
      <c r="K64">
        <f t="shared" ref="K64:L64" si="238">K62</f>
        <v>4.333333333333333</v>
      </c>
      <c r="L64">
        <f t="shared" si="238"/>
        <v>1.699673171197595</v>
      </c>
      <c r="M64">
        <v>108</v>
      </c>
      <c r="N64">
        <f t="shared" ref="N64:O64" si="239">N62</f>
        <v>104</v>
      </c>
      <c r="O64">
        <f t="shared" si="239"/>
        <v>4.3204937989385739</v>
      </c>
      <c r="P64">
        <v>121</v>
      </c>
      <c r="Q64">
        <v>0.57999999999999996</v>
      </c>
      <c r="R64">
        <v>70.179999999999993</v>
      </c>
      <c r="S64">
        <v>0.75</v>
      </c>
      <c r="T64">
        <v>90.75</v>
      </c>
      <c r="U64" t="s">
        <v>20</v>
      </c>
    </row>
    <row r="65" spans="1:35" x14ac:dyDescent="0.25">
      <c r="A65" t="s">
        <v>333</v>
      </c>
      <c r="B65" s="4" t="s">
        <v>52</v>
      </c>
      <c r="C65" s="1">
        <v>5</v>
      </c>
      <c r="D65">
        <v>40</v>
      </c>
      <c r="E65">
        <v>1</v>
      </c>
      <c r="F65">
        <v>30</v>
      </c>
      <c r="G65">
        <v>95</v>
      </c>
      <c r="H65">
        <f t="shared" ref="H65" si="240">AVERAGE(G65:G67)</f>
        <v>101</v>
      </c>
      <c r="I65">
        <f t="shared" ref="I65" si="241">_xlfn.STDEV.P(G65:G67)</f>
        <v>4.2426406871192848</v>
      </c>
      <c r="J65">
        <v>1</v>
      </c>
      <c r="K65">
        <f t="shared" ref="K65" si="242">AVERAGE(J65:J67)</f>
        <v>1.3333333333333333</v>
      </c>
      <c r="L65">
        <f t="shared" ref="L65" si="243">_xlfn.STDEV.P(J65:J67)</f>
        <v>1.247219128924647</v>
      </c>
      <c r="M65">
        <v>102</v>
      </c>
      <c r="N65">
        <f t="shared" ref="N65" si="244">AVERAGE(M65:M67)</f>
        <v>100.66666666666667</v>
      </c>
      <c r="O65">
        <f t="shared" ref="O65" si="245">_xlfn.STDEV.P(M65:M67)</f>
        <v>4.1899350299921778</v>
      </c>
      <c r="P65">
        <v>147</v>
      </c>
      <c r="Q65">
        <v>0.72</v>
      </c>
      <c r="R65">
        <v>105.83999999999999</v>
      </c>
      <c r="S65">
        <v>0.72</v>
      </c>
      <c r="T65">
        <v>105.83999999999999</v>
      </c>
      <c r="U65">
        <v>12.92</v>
      </c>
    </row>
    <row r="66" spans="1:35" x14ac:dyDescent="0.25">
      <c r="A66" t="s">
        <v>333</v>
      </c>
      <c r="B66" s="4" t="s">
        <v>52</v>
      </c>
      <c r="C66" s="1">
        <v>5</v>
      </c>
      <c r="D66">
        <v>40</v>
      </c>
      <c r="E66">
        <v>2</v>
      </c>
      <c r="F66">
        <v>36</v>
      </c>
      <c r="G66">
        <v>104</v>
      </c>
      <c r="H66">
        <f t="shared" ref="H66:I66" si="246">H65</f>
        <v>101</v>
      </c>
      <c r="I66">
        <f t="shared" si="246"/>
        <v>4.2426406871192848</v>
      </c>
      <c r="J66">
        <v>0</v>
      </c>
      <c r="K66">
        <f t="shared" ref="K66:L66" si="247">K65</f>
        <v>1.3333333333333333</v>
      </c>
      <c r="L66">
        <f t="shared" si="247"/>
        <v>1.247219128924647</v>
      </c>
      <c r="M66">
        <v>95</v>
      </c>
      <c r="N66">
        <f t="shared" ref="N66:O66" si="248">N65</f>
        <v>100.66666666666667</v>
      </c>
      <c r="O66">
        <f t="shared" si="248"/>
        <v>4.1899350299921778</v>
      </c>
      <c r="P66">
        <v>159</v>
      </c>
      <c r="Q66">
        <v>0.62</v>
      </c>
      <c r="R66">
        <v>98.58</v>
      </c>
      <c r="S66">
        <v>0.65</v>
      </c>
      <c r="T66">
        <v>103.35000000000001</v>
      </c>
      <c r="U66">
        <v>13.36</v>
      </c>
      <c r="AB66" t="s">
        <v>334</v>
      </c>
    </row>
    <row r="67" spans="1:35" x14ac:dyDescent="0.25">
      <c r="A67" t="s">
        <v>333</v>
      </c>
      <c r="B67" s="4" t="s">
        <v>52</v>
      </c>
      <c r="C67" s="1">
        <v>5</v>
      </c>
      <c r="D67">
        <v>40</v>
      </c>
      <c r="E67">
        <v>3</v>
      </c>
      <c r="F67">
        <v>28</v>
      </c>
      <c r="G67">
        <v>104</v>
      </c>
      <c r="H67">
        <f t="shared" ref="H67:I67" si="249">H65</f>
        <v>101</v>
      </c>
      <c r="I67">
        <f t="shared" si="249"/>
        <v>4.2426406871192848</v>
      </c>
      <c r="J67">
        <v>3</v>
      </c>
      <c r="K67">
        <f t="shared" ref="K67:L67" si="250">K65</f>
        <v>1.3333333333333333</v>
      </c>
      <c r="L67">
        <f t="shared" si="250"/>
        <v>1.247219128924647</v>
      </c>
      <c r="M67">
        <v>105</v>
      </c>
      <c r="N67">
        <f t="shared" ref="N67:O67" si="251">N65</f>
        <v>100.66666666666667</v>
      </c>
      <c r="O67">
        <f t="shared" si="251"/>
        <v>4.1899350299921778</v>
      </c>
      <c r="P67">
        <v>159</v>
      </c>
      <c r="Q67">
        <v>0.63</v>
      </c>
      <c r="R67">
        <v>100.17</v>
      </c>
      <c r="S67">
        <v>0.68</v>
      </c>
      <c r="T67">
        <v>108.12</v>
      </c>
      <c r="U67">
        <v>14.65</v>
      </c>
      <c r="AB67" t="s">
        <v>313</v>
      </c>
    </row>
    <row r="68" spans="1:35" x14ac:dyDescent="0.25">
      <c r="A68" t="s">
        <v>335</v>
      </c>
      <c r="B68" s="4" t="s">
        <v>69</v>
      </c>
      <c r="C68" s="1">
        <v>2</v>
      </c>
      <c r="D68">
        <v>40</v>
      </c>
      <c r="E68">
        <v>1</v>
      </c>
      <c r="F68">
        <v>94</v>
      </c>
      <c r="G68">
        <v>82</v>
      </c>
      <c r="H68">
        <f t="shared" ref="H68" si="252">AVERAGE(G68:G70)</f>
        <v>82.333333333333329</v>
      </c>
      <c r="I68">
        <f t="shared" ref="I68" si="253">_xlfn.STDEV.P(G68:G70)</f>
        <v>0.47140452079103168</v>
      </c>
      <c r="J68">
        <v>4</v>
      </c>
      <c r="K68">
        <f t="shared" ref="K68" si="254">AVERAGE(J68:J70)</f>
        <v>4</v>
      </c>
      <c r="L68">
        <f t="shared" ref="L68" si="255">_xlfn.STDEV.P(J68:J70)</f>
        <v>0</v>
      </c>
      <c r="M68">
        <v>111</v>
      </c>
      <c r="N68">
        <f t="shared" ref="N68" si="256">AVERAGE(M68:M70)</f>
        <v>103</v>
      </c>
      <c r="O68">
        <f t="shared" ref="O68" si="257">_xlfn.STDEV.P(M68:M70)</f>
        <v>5.715476066494082</v>
      </c>
      <c r="P68">
        <v>128</v>
      </c>
      <c r="Q68">
        <v>0.61</v>
      </c>
      <c r="R68">
        <v>78.08</v>
      </c>
      <c r="S68">
        <v>0.62</v>
      </c>
      <c r="T68">
        <v>79.36</v>
      </c>
      <c r="U68">
        <v>13.08</v>
      </c>
      <c r="AD68" t="s">
        <v>313</v>
      </c>
      <c r="AE68" t="s">
        <v>313</v>
      </c>
      <c r="AF68" t="s">
        <v>313</v>
      </c>
      <c r="AG68" t="s">
        <v>313</v>
      </c>
      <c r="AH68" t="s">
        <v>313</v>
      </c>
      <c r="AI68" t="s">
        <v>313</v>
      </c>
    </row>
    <row r="69" spans="1:35" x14ac:dyDescent="0.25">
      <c r="A69" t="s">
        <v>335</v>
      </c>
      <c r="B69" s="4" t="s">
        <v>69</v>
      </c>
      <c r="C69" s="1">
        <v>2</v>
      </c>
      <c r="D69">
        <v>40</v>
      </c>
      <c r="E69">
        <v>2</v>
      </c>
      <c r="F69">
        <v>82</v>
      </c>
      <c r="G69">
        <v>83</v>
      </c>
      <c r="H69">
        <f t="shared" ref="H69:I69" si="258">H68</f>
        <v>82.333333333333329</v>
      </c>
      <c r="I69">
        <f t="shared" si="258"/>
        <v>0.47140452079103168</v>
      </c>
      <c r="J69">
        <v>4</v>
      </c>
      <c r="K69">
        <f t="shared" ref="K69:L69" si="259">K68</f>
        <v>4</v>
      </c>
      <c r="L69">
        <f t="shared" si="259"/>
        <v>0</v>
      </c>
      <c r="M69">
        <v>100</v>
      </c>
      <c r="N69">
        <f t="shared" ref="N69:O69" si="260">N68</f>
        <v>103</v>
      </c>
      <c r="O69">
        <f t="shared" si="260"/>
        <v>5.715476066494082</v>
      </c>
      <c r="P69">
        <v>128</v>
      </c>
      <c r="Q69">
        <v>0.56000000000000005</v>
      </c>
      <c r="R69">
        <v>71.680000000000007</v>
      </c>
      <c r="S69">
        <v>0.57999999999999996</v>
      </c>
      <c r="T69">
        <v>74.239999999999995</v>
      </c>
      <c r="U69">
        <v>13.61</v>
      </c>
      <c r="AC69" t="s">
        <v>5</v>
      </c>
      <c r="AD69">
        <v>1</v>
      </c>
      <c r="AE69" t="s">
        <v>336</v>
      </c>
    </row>
    <row r="70" spans="1:35" x14ac:dyDescent="0.25">
      <c r="A70" t="s">
        <v>335</v>
      </c>
      <c r="B70" s="4" t="s">
        <v>69</v>
      </c>
      <c r="C70" s="1">
        <v>2</v>
      </c>
      <c r="D70">
        <v>40</v>
      </c>
      <c r="E70">
        <v>3</v>
      </c>
      <c r="F70">
        <v>90</v>
      </c>
      <c r="G70">
        <v>82</v>
      </c>
      <c r="H70">
        <f t="shared" ref="H70:I70" si="261">H68</f>
        <v>82.333333333333329</v>
      </c>
      <c r="I70">
        <f t="shared" si="261"/>
        <v>0.47140452079103168</v>
      </c>
      <c r="J70">
        <v>4</v>
      </c>
      <c r="K70">
        <f t="shared" ref="K70:L70" si="262">K68</f>
        <v>4</v>
      </c>
      <c r="L70">
        <f t="shared" si="262"/>
        <v>0</v>
      </c>
      <c r="M70">
        <v>98</v>
      </c>
      <c r="N70">
        <f t="shared" ref="N70:O70" si="263">N68</f>
        <v>103</v>
      </c>
      <c r="O70">
        <f t="shared" si="263"/>
        <v>5.715476066494082</v>
      </c>
      <c r="P70">
        <v>128</v>
      </c>
      <c r="Q70">
        <v>0.59</v>
      </c>
      <c r="R70">
        <v>75.52</v>
      </c>
      <c r="S70">
        <v>0.68</v>
      </c>
      <c r="T70">
        <v>87.04</v>
      </c>
      <c r="U70" t="s">
        <v>20</v>
      </c>
      <c r="AC70" t="s">
        <v>337</v>
      </c>
      <c r="AD70">
        <v>2</v>
      </c>
      <c r="AE70">
        <v>-0.1552</v>
      </c>
      <c r="AF70" t="s">
        <v>336</v>
      </c>
    </row>
    <row r="71" spans="1:35" x14ac:dyDescent="0.25">
      <c r="A71" t="s">
        <v>338</v>
      </c>
      <c r="B71" s="4" t="s">
        <v>52</v>
      </c>
      <c r="C71" s="1">
        <v>4</v>
      </c>
      <c r="D71">
        <v>40</v>
      </c>
      <c r="E71">
        <v>1</v>
      </c>
      <c r="F71">
        <v>2</v>
      </c>
      <c r="G71">
        <v>106</v>
      </c>
      <c r="H71">
        <f t="shared" ref="H71" si="264">AVERAGE(G71:G73)</f>
        <v>108</v>
      </c>
      <c r="I71">
        <f t="shared" ref="I71" si="265">_xlfn.STDEV.P(G71:G73)</f>
        <v>1.4142135623730951</v>
      </c>
      <c r="J71">
        <v>5</v>
      </c>
      <c r="K71">
        <f t="shared" ref="K71" si="266">AVERAGE(J71:J73)</f>
        <v>3</v>
      </c>
      <c r="L71">
        <f t="shared" ref="L71" si="267">_xlfn.STDEV.P(J71:J73)</f>
        <v>1.4142135623730951</v>
      </c>
      <c r="M71">
        <v>98</v>
      </c>
      <c r="N71">
        <f t="shared" ref="N71" si="268">AVERAGE(M71:M73)</f>
        <v>96.666666666666671</v>
      </c>
      <c r="O71">
        <f t="shared" ref="O71" si="269">_xlfn.STDEV.P(M71:M73)</f>
        <v>15.542057635833022</v>
      </c>
      <c r="P71">
        <v>166</v>
      </c>
      <c r="Q71">
        <v>0.56999999999999995</v>
      </c>
      <c r="R71">
        <v>94.61999999999999</v>
      </c>
      <c r="S71">
        <v>0.7</v>
      </c>
      <c r="T71">
        <v>116.19999999999999</v>
      </c>
      <c r="U71" t="s">
        <v>20</v>
      </c>
      <c r="AC71" t="s">
        <v>339</v>
      </c>
      <c r="AD71">
        <v>3</v>
      </c>
      <c r="AE71">
        <v>-0.1162</v>
      </c>
      <c r="AF71">
        <v>0.57699999999999996</v>
      </c>
      <c r="AG71" t="s">
        <v>336</v>
      </c>
    </row>
    <row r="72" spans="1:35" x14ac:dyDescent="0.25">
      <c r="A72" t="s">
        <v>338</v>
      </c>
      <c r="B72" s="4" t="s">
        <v>52</v>
      </c>
      <c r="C72" s="1">
        <v>4</v>
      </c>
      <c r="D72">
        <v>40</v>
      </c>
      <c r="E72">
        <v>2</v>
      </c>
      <c r="F72">
        <v>12</v>
      </c>
      <c r="G72">
        <v>109</v>
      </c>
      <c r="H72">
        <f t="shared" ref="H72:I72" si="270">H71</f>
        <v>108</v>
      </c>
      <c r="I72">
        <f t="shared" si="270"/>
        <v>1.4142135623730951</v>
      </c>
      <c r="J72">
        <v>2</v>
      </c>
      <c r="K72">
        <f t="shared" ref="K72:L72" si="271">K71</f>
        <v>3</v>
      </c>
      <c r="L72">
        <f t="shared" si="271"/>
        <v>1.4142135623730951</v>
      </c>
      <c r="M72">
        <v>77</v>
      </c>
      <c r="N72">
        <f t="shared" ref="N72:O72" si="272">N71</f>
        <v>96.666666666666671</v>
      </c>
      <c r="O72">
        <f t="shared" si="272"/>
        <v>15.542057635833022</v>
      </c>
      <c r="P72">
        <v>186</v>
      </c>
      <c r="Q72">
        <v>0.42</v>
      </c>
      <c r="R72">
        <v>78.11999999999999</v>
      </c>
      <c r="S72">
        <v>0.55000000000000004</v>
      </c>
      <c r="T72">
        <v>102.30000000000001</v>
      </c>
      <c r="U72" t="s">
        <v>20</v>
      </c>
      <c r="AC72" t="s">
        <v>272</v>
      </c>
      <c r="AD72">
        <v>4</v>
      </c>
      <c r="AE72">
        <v>0.1633</v>
      </c>
      <c r="AF72">
        <v>0.13100000000000001</v>
      </c>
      <c r="AG72">
        <v>6.4799999999999996E-2</v>
      </c>
      <c r="AH72" t="s">
        <v>336</v>
      </c>
    </row>
    <row r="73" spans="1:35" x14ac:dyDescent="0.25">
      <c r="A73" t="s">
        <v>338</v>
      </c>
      <c r="B73" s="4" t="s">
        <v>52</v>
      </c>
      <c r="C73" s="1">
        <v>4</v>
      </c>
      <c r="D73">
        <v>40</v>
      </c>
      <c r="E73">
        <v>3</v>
      </c>
      <c r="F73">
        <v>12</v>
      </c>
      <c r="G73">
        <v>109</v>
      </c>
      <c r="H73">
        <f t="shared" ref="H73:I73" si="273">H71</f>
        <v>108</v>
      </c>
      <c r="I73">
        <f t="shared" si="273"/>
        <v>1.4142135623730951</v>
      </c>
      <c r="J73">
        <v>2</v>
      </c>
      <c r="K73">
        <f t="shared" ref="K73:L73" si="274">K71</f>
        <v>3</v>
      </c>
      <c r="L73">
        <f t="shared" si="274"/>
        <v>1.4142135623730951</v>
      </c>
      <c r="M73">
        <v>115</v>
      </c>
      <c r="N73">
        <f t="shared" ref="N73:O73" si="275">N71</f>
        <v>96.666666666666671</v>
      </c>
      <c r="O73">
        <f t="shared" si="275"/>
        <v>15.542057635833022</v>
      </c>
      <c r="P73">
        <v>167</v>
      </c>
      <c r="Q73">
        <v>0.6</v>
      </c>
      <c r="R73">
        <v>100.2</v>
      </c>
      <c r="S73">
        <v>0.62</v>
      </c>
      <c r="T73">
        <v>103.54</v>
      </c>
      <c r="U73" t="s">
        <v>20</v>
      </c>
      <c r="AC73" t="s">
        <v>271</v>
      </c>
      <c r="AD73">
        <v>5</v>
      </c>
      <c r="AE73">
        <v>-5.9499999999999997E-2</v>
      </c>
      <c r="AF73">
        <v>2.1899999999999999E-2</v>
      </c>
      <c r="AG73">
        <v>2.3400000000000001E-2</v>
      </c>
      <c r="AH73">
        <v>-0.4778</v>
      </c>
      <c r="AI73" t="s">
        <v>336</v>
      </c>
    </row>
    <row r="74" spans="1:35" x14ac:dyDescent="0.25">
      <c r="A74" t="s">
        <v>340</v>
      </c>
      <c r="B74" s="4" t="s">
        <v>75</v>
      </c>
      <c r="C74" s="1">
        <v>4</v>
      </c>
      <c r="D74">
        <v>40</v>
      </c>
      <c r="E74">
        <v>1</v>
      </c>
      <c r="F74">
        <v>36</v>
      </c>
      <c r="G74">
        <v>115</v>
      </c>
      <c r="H74">
        <f t="shared" ref="H74" si="276">AVERAGE(G74:G76)</f>
        <v>114.33333333333333</v>
      </c>
      <c r="I74">
        <f t="shared" ref="I74" si="277">_xlfn.STDEV.P(G74:G76)</f>
        <v>1.699673171197595</v>
      </c>
      <c r="J74">
        <v>0</v>
      </c>
      <c r="K74">
        <f t="shared" ref="K74" si="278">AVERAGE(J74:J76)</f>
        <v>0</v>
      </c>
      <c r="L74">
        <f t="shared" ref="L74" si="279">_xlfn.STDEV.P(J74:J76)</f>
        <v>0</v>
      </c>
      <c r="M74">
        <v>103</v>
      </c>
      <c r="N74">
        <f t="shared" ref="N74" si="280">AVERAGE(M74:M76)</f>
        <v>102</v>
      </c>
      <c r="O74">
        <f t="shared" ref="O74" si="281">_xlfn.STDEV.P(M74:M76)</f>
        <v>6.97614984548545</v>
      </c>
      <c r="P74">
        <v>181</v>
      </c>
      <c r="Q74">
        <v>0.52</v>
      </c>
      <c r="R74">
        <v>94.12</v>
      </c>
      <c r="S74">
        <v>0.63</v>
      </c>
      <c r="T74">
        <v>114.03</v>
      </c>
      <c r="U74">
        <v>16.440000000000001</v>
      </c>
      <c r="AD74" t="s">
        <v>313</v>
      </c>
      <c r="AE74">
        <v>1</v>
      </c>
      <c r="AF74">
        <v>2</v>
      </c>
      <c r="AG74">
        <v>3</v>
      </c>
      <c r="AH74">
        <v>4</v>
      </c>
      <c r="AI74">
        <v>5</v>
      </c>
    </row>
    <row r="75" spans="1:35" x14ac:dyDescent="0.25">
      <c r="A75" t="s">
        <v>340</v>
      </c>
      <c r="B75" s="4" t="s">
        <v>75</v>
      </c>
      <c r="C75" s="1">
        <v>4</v>
      </c>
      <c r="D75">
        <v>40</v>
      </c>
      <c r="E75">
        <v>2</v>
      </c>
      <c r="F75">
        <v>22</v>
      </c>
      <c r="G75">
        <v>116</v>
      </c>
      <c r="H75">
        <f t="shared" ref="H75:I75" si="282">H74</f>
        <v>114.33333333333333</v>
      </c>
      <c r="I75">
        <f t="shared" si="282"/>
        <v>1.699673171197595</v>
      </c>
      <c r="J75">
        <v>0</v>
      </c>
      <c r="K75">
        <f t="shared" ref="K75:L75" si="283">K74</f>
        <v>0</v>
      </c>
      <c r="L75">
        <f t="shared" si="283"/>
        <v>0</v>
      </c>
      <c r="M75">
        <v>93</v>
      </c>
      <c r="N75">
        <f t="shared" ref="N75:O75" si="284">N74</f>
        <v>102</v>
      </c>
      <c r="O75">
        <f t="shared" si="284"/>
        <v>6.97614984548545</v>
      </c>
      <c r="P75">
        <v>187</v>
      </c>
      <c r="Q75">
        <v>0.51</v>
      </c>
      <c r="R75">
        <v>95.37</v>
      </c>
      <c r="S75">
        <v>0.39</v>
      </c>
      <c r="T75">
        <v>72.930000000000007</v>
      </c>
      <c r="U75" t="s">
        <v>20</v>
      </c>
    </row>
    <row r="76" spans="1:35" x14ac:dyDescent="0.25">
      <c r="A76" t="s">
        <v>340</v>
      </c>
      <c r="B76" s="4" t="s">
        <v>75</v>
      </c>
      <c r="C76" s="1">
        <v>4</v>
      </c>
      <c r="D76">
        <v>40</v>
      </c>
      <c r="E76">
        <v>3</v>
      </c>
      <c r="F76">
        <v>40</v>
      </c>
      <c r="G76">
        <v>112</v>
      </c>
      <c r="H76">
        <f t="shared" ref="H76:I76" si="285">H74</f>
        <v>114.33333333333333</v>
      </c>
      <c r="I76">
        <f t="shared" si="285"/>
        <v>1.699673171197595</v>
      </c>
      <c r="J76">
        <v>0</v>
      </c>
      <c r="K76">
        <f t="shared" ref="K76:L76" si="286">K74</f>
        <v>0</v>
      </c>
      <c r="L76">
        <f t="shared" si="286"/>
        <v>0</v>
      </c>
      <c r="M76">
        <v>110</v>
      </c>
      <c r="N76">
        <f t="shared" ref="N76:O76" si="287">N74</f>
        <v>102</v>
      </c>
      <c r="O76">
        <f t="shared" si="287"/>
        <v>6.97614984548545</v>
      </c>
      <c r="P76">
        <v>187</v>
      </c>
      <c r="Q76">
        <v>0.64</v>
      </c>
      <c r="R76">
        <v>119.68</v>
      </c>
      <c r="S76">
        <v>0.5</v>
      </c>
      <c r="T76">
        <v>93.5</v>
      </c>
      <c r="U76" t="s">
        <v>20</v>
      </c>
      <c r="AB76" t="s">
        <v>341</v>
      </c>
    </row>
    <row r="77" spans="1:35" x14ac:dyDescent="0.25">
      <c r="A77" t="s">
        <v>342</v>
      </c>
      <c r="B77" s="4" t="s">
        <v>75</v>
      </c>
      <c r="C77" s="1">
        <v>4</v>
      </c>
      <c r="D77">
        <v>40</v>
      </c>
      <c r="E77">
        <v>1</v>
      </c>
      <c r="F77">
        <v>32</v>
      </c>
      <c r="G77">
        <v>121</v>
      </c>
      <c r="H77">
        <f t="shared" ref="H77" si="288">AVERAGE(G77:G79)</f>
        <v>124.66666666666667</v>
      </c>
      <c r="I77">
        <f t="shared" ref="I77" si="289">_xlfn.STDEV.P(G77:G79)</f>
        <v>3.2998316455372216</v>
      </c>
      <c r="J77">
        <v>2</v>
      </c>
      <c r="K77">
        <f t="shared" ref="K77" si="290">AVERAGE(J77:J79)</f>
        <v>1.6666666666666667</v>
      </c>
      <c r="L77">
        <f t="shared" ref="L77" si="291">_xlfn.STDEV.P(J77:J79)</f>
        <v>0.47140452079103168</v>
      </c>
      <c r="M77">
        <v>101</v>
      </c>
      <c r="N77">
        <f t="shared" ref="N77" si="292">AVERAGE(M77:M79)</f>
        <v>107</v>
      </c>
      <c r="O77">
        <f t="shared" ref="O77" si="293">_xlfn.STDEV.P(M77:M79)</f>
        <v>4.2426406871192848</v>
      </c>
      <c r="P77">
        <v>179</v>
      </c>
      <c r="Q77">
        <v>0.68</v>
      </c>
      <c r="R77">
        <v>121.72000000000001</v>
      </c>
      <c r="S77">
        <v>0.4</v>
      </c>
      <c r="T77">
        <v>71.600000000000009</v>
      </c>
      <c r="U77" t="s">
        <v>20</v>
      </c>
    </row>
    <row r="78" spans="1:35" x14ac:dyDescent="0.25">
      <c r="A78" t="s">
        <v>342</v>
      </c>
      <c r="B78" s="4" t="s">
        <v>75</v>
      </c>
      <c r="C78" s="1">
        <v>4</v>
      </c>
      <c r="D78">
        <v>40</v>
      </c>
      <c r="E78">
        <v>2</v>
      </c>
      <c r="F78">
        <v>28</v>
      </c>
      <c r="G78">
        <v>129</v>
      </c>
      <c r="H78">
        <f t="shared" ref="H78:I78" si="294">H77</f>
        <v>124.66666666666667</v>
      </c>
      <c r="I78">
        <f t="shared" si="294"/>
        <v>3.2998316455372216</v>
      </c>
      <c r="J78">
        <v>1</v>
      </c>
      <c r="K78">
        <f t="shared" ref="K78:L78" si="295">K77</f>
        <v>1.6666666666666667</v>
      </c>
      <c r="L78">
        <f t="shared" si="295"/>
        <v>0.47140452079103168</v>
      </c>
      <c r="M78">
        <v>110</v>
      </c>
      <c r="N78">
        <f t="shared" ref="N78:O78" si="296">N77</f>
        <v>107</v>
      </c>
      <c r="O78">
        <f t="shared" si="296"/>
        <v>4.2426406871192848</v>
      </c>
      <c r="P78">
        <v>177</v>
      </c>
      <c r="Q78">
        <v>0.62</v>
      </c>
      <c r="R78">
        <v>109.74</v>
      </c>
      <c r="S78">
        <v>0.59</v>
      </c>
      <c r="T78">
        <v>104.42999999999999</v>
      </c>
      <c r="U78" t="s">
        <v>20</v>
      </c>
      <c r="AB78" t="s">
        <v>313</v>
      </c>
    </row>
    <row r="79" spans="1:35" x14ac:dyDescent="0.25">
      <c r="A79" t="s">
        <v>342</v>
      </c>
      <c r="B79" s="4" t="s">
        <v>75</v>
      </c>
      <c r="C79" s="1">
        <v>4</v>
      </c>
      <c r="D79">
        <v>40</v>
      </c>
      <c r="E79">
        <v>3</v>
      </c>
      <c r="F79">
        <v>20</v>
      </c>
      <c r="G79">
        <v>124</v>
      </c>
      <c r="H79">
        <f t="shared" ref="H79:I79" si="297">H77</f>
        <v>124.66666666666667</v>
      </c>
      <c r="I79">
        <f t="shared" si="297"/>
        <v>3.2998316455372216</v>
      </c>
      <c r="J79">
        <v>2</v>
      </c>
      <c r="K79">
        <f t="shared" ref="K79:L79" si="298">K77</f>
        <v>1.6666666666666667</v>
      </c>
      <c r="L79">
        <f t="shared" si="298"/>
        <v>0.47140452079103168</v>
      </c>
      <c r="M79">
        <v>110</v>
      </c>
      <c r="N79">
        <f t="shared" ref="N79:O79" si="299">N77</f>
        <v>107</v>
      </c>
      <c r="O79">
        <f t="shared" si="299"/>
        <v>4.2426406871192848</v>
      </c>
      <c r="P79">
        <v>192</v>
      </c>
      <c r="Q79">
        <v>0.48</v>
      </c>
      <c r="R79">
        <v>92.16</v>
      </c>
      <c r="S79">
        <v>0.4</v>
      </c>
      <c r="T79">
        <v>76.800000000000011</v>
      </c>
      <c r="U79" t="s">
        <v>20</v>
      </c>
      <c r="AB79" t="s">
        <v>343</v>
      </c>
    </row>
    <row r="80" spans="1:35" x14ac:dyDescent="0.25">
      <c r="A80" t="s">
        <v>344</v>
      </c>
      <c r="B80" s="4" t="s">
        <v>64</v>
      </c>
      <c r="C80" s="1">
        <v>3</v>
      </c>
      <c r="D80">
        <v>40</v>
      </c>
      <c r="E80">
        <v>1</v>
      </c>
      <c r="F80">
        <v>56</v>
      </c>
      <c r="G80">
        <v>95</v>
      </c>
      <c r="H80">
        <f t="shared" ref="H80" si="300">AVERAGE(G80:G82)</f>
        <v>93.666666666666671</v>
      </c>
      <c r="I80">
        <f t="shared" ref="I80" si="301">_xlfn.STDEV.P(G80:G82)</f>
        <v>1.8856180831641267</v>
      </c>
      <c r="J80">
        <v>0</v>
      </c>
      <c r="K80">
        <f t="shared" ref="K80" si="302">AVERAGE(J80:J82)</f>
        <v>0.66666666666666663</v>
      </c>
      <c r="L80">
        <f t="shared" ref="L80" si="303">_xlfn.STDEV.P(J80:J82)</f>
        <v>0.47140452079103168</v>
      </c>
      <c r="M80">
        <v>122</v>
      </c>
      <c r="N80">
        <f t="shared" ref="N80" si="304">AVERAGE(M80:M82)</f>
        <v>125.33333333333333</v>
      </c>
      <c r="O80">
        <f t="shared" ref="O80" si="305">_xlfn.STDEV.P(M80:M82)</f>
        <v>5.4365021434333629</v>
      </c>
      <c r="P80">
        <v>147</v>
      </c>
      <c r="Q80">
        <v>0.62</v>
      </c>
      <c r="R80">
        <v>91.14</v>
      </c>
      <c r="S80">
        <v>0.74</v>
      </c>
      <c r="T80">
        <v>108.78</v>
      </c>
      <c r="U80">
        <v>15.38</v>
      </c>
      <c r="AB80" t="s">
        <v>313</v>
      </c>
    </row>
    <row r="81" spans="1:35" x14ac:dyDescent="0.25">
      <c r="A81" t="s">
        <v>344</v>
      </c>
      <c r="B81" s="4" t="s">
        <v>64</v>
      </c>
      <c r="C81" s="1">
        <v>3</v>
      </c>
      <c r="D81">
        <v>40</v>
      </c>
      <c r="E81">
        <v>2</v>
      </c>
      <c r="F81">
        <v>60</v>
      </c>
      <c r="G81">
        <v>91</v>
      </c>
      <c r="H81">
        <f t="shared" ref="H81:I81" si="306">H80</f>
        <v>93.666666666666671</v>
      </c>
      <c r="I81">
        <f t="shared" si="306"/>
        <v>1.8856180831641267</v>
      </c>
      <c r="J81">
        <v>1</v>
      </c>
      <c r="K81">
        <f t="shared" ref="K81:L81" si="307">K80</f>
        <v>0.66666666666666663</v>
      </c>
      <c r="L81">
        <f t="shared" si="307"/>
        <v>0.47140452079103168</v>
      </c>
      <c r="M81">
        <v>121</v>
      </c>
      <c r="N81">
        <f t="shared" ref="N81:O81" si="308">N80</f>
        <v>125.33333333333333</v>
      </c>
      <c r="O81">
        <f t="shared" si="308"/>
        <v>5.4365021434333629</v>
      </c>
      <c r="P81">
        <v>138</v>
      </c>
      <c r="Q81">
        <v>0.64</v>
      </c>
      <c r="R81">
        <v>88.320000000000007</v>
      </c>
      <c r="S81">
        <v>0.77</v>
      </c>
      <c r="T81">
        <v>106.26</v>
      </c>
      <c r="U81">
        <v>16.53</v>
      </c>
      <c r="AD81" t="s">
        <v>313</v>
      </c>
      <c r="AE81" t="s">
        <v>313</v>
      </c>
      <c r="AF81" t="s">
        <v>313</v>
      </c>
      <c r="AG81" t="s">
        <v>313</v>
      </c>
      <c r="AH81" t="s">
        <v>313</v>
      </c>
      <c r="AI81" t="s">
        <v>313</v>
      </c>
    </row>
    <row r="82" spans="1:35" x14ac:dyDescent="0.25">
      <c r="A82" t="s">
        <v>344</v>
      </c>
      <c r="B82" s="4" t="s">
        <v>64</v>
      </c>
      <c r="C82" s="1">
        <v>3</v>
      </c>
      <c r="D82">
        <v>40</v>
      </c>
      <c r="E82">
        <v>3</v>
      </c>
      <c r="F82">
        <v>56</v>
      </c>
      <c r="G82">
        <v>95</v>
      </c>
      <c r="H82">
        <f t="shared" ref="H82:I82" si="309">H80</f>
        <v>93.666666666666671</v>
      </c>
      <c r="I82">
        <f t="shared" si="309"/>
        <v>1.8856180831641267</v>
      </c>
      <c r="J82">
        <v>1</v>
      </c>
      <c r="K82">
        <f t="shared" ref="K82:L82" si="310">K80</f>
        <v>0.66666666666666663</v>
      </c>
      <c r="L82">
        <f t="shared" si="310"/>
        <v>0.47140452079103168</v>
      </c>
      <c r="M82">
        <v>133</v>
      </c>
      <c r="N82">
        <f t="shared" ref="N82:O82" si="311">N80</f>
        <v>125.33333333333333</v>
      </c>
      <c r="O82">
        <f t="shared" si="311"/>
        <v>5.4365021434333629</v>
      </c>
      <c r="P82">
        <v>147</v>
      </c>
      <c r="Q82">
        <v>0.57999999999999996</v>
      </c>
      <c r="R82">
        <v>85.259999999999991</v>
      </c>
      <c r="S82">
        <v>0.54</v>
      </c>
      <c r="T82">
        <v>79.38000000000001</v>
      </c>
      <c r="U82">
        <v>16.59</v>
      </c>
      <c r="AC82" t="s">
        <v>5</v>
      </c>
      <c r="AD82">
        <v>1</v>
      </c>
      <c r="AE82" t="s">
        <v>336</v>
      </c>
    </row>
    <row r="83" spans="1:35" x14ac:dyDescent="0.25">
      <c r="A83" t="s">
        <v>345</v>
      </c>
      <c r="B83" s="4" t="s">
        <v>81</v>
      </c>
      <c r="C83" s="1">
        <v>4</v>
      </c>
      <c r="D83">
        <v>40</v>
      </c>
      <c r="E83">
        <v>1</v>
      </c>
      <c r="F83">
        <v>24</v>
      </c>
      <c r="G83">
        <v>121</v>
      </c>
      <c r="H83">
        <f t="shared" ref="H83" si="312">AVERAGE(G83:G85)</f>
        <v>121</v>
      </c>
      <c r="I83">
        <f t="shared" ref="I83" si="313">_xlfn.STDEV.P(G83:G85)</f>
        <v>2.4494897427831779</v>
      </c>
      <c r="J83">
        <v>4</v>
      </c>
      <c r="K83">
        <f t="shared" ref="K83" si="314">AVERAGE(J83:J85)</f>
        <v>3.3333333333333335</v>
      </c>
      <c r="L83">
        <f t="shared" ref="L83" si="315">_xlfn.STDEV.P(J83:J85)</f>
        <v>0.94280904158206336</v>
      </c>
      <c r="M83">
        <v>101</v>
      </c>
      <c r="N83">
        <f t="shared" ref="N83" si="316">AVERAGE(M83:M85)</f>
        <v>107.33333333333333</v>
      </c>
      <c r="O83">
        <f t="shared" ref="O83" si="317">_xlfn.STDEV.P(M83:M85)</f>
        <v>4.9216076867444665</v>
      </c>
      <c r="P83">
        <v>183</v>
      </c>
      <c r="Q83">
        <v>0.5</v>
      </c>
      <c r="R83" t="s">
        <v>20</v>
      </c>
      <c r="S83">
        <v>0.7</v>
      </c>
      <c r="T83" t="s">
        <v>20</v>
      </c>
      <c r="U83" t="s">
        <v>20</v>
      </c>
      <c r="AC83" t="s">
        <v>337</v>
      </c>
      <c r="AD83">
        <v>2</v>
      </c>
      <c r="AE83" t="s">
        <v>346</v>
      </c>
      <c r="AF83" t="s">
        <v>336</v>
      </c>
    </row>
    <row r="84" spans="1:35" x14ac:dyDescent="0.25">
      <c r="A84" t="s">
        <v>345</v>
      </c>
      <c r="B84" s="4" t="s">
        <v>81</v>
      </c>
      <c r="C84" s="1">
        <v>4</v>
      </c>
      <c r="D84">
        <v>40</v>
      </c>
      <c r="E84">
        <v>2</v>
      </c>
      <c r="F84">
        <v>36</v>
      </c>
      <c r="G84">
        <v>118</v>
      </c>
      <c r="H84">
        <f t="shared" ref="H84:I84" si="318">H83</f>
        <v>121</v>
      </c>
      <c r="I84">
        <f t="shared" si="318"/>
        <v>2.4494897427831779</v>
      </c>
      <c r="J84">
        <v>2</v>
      </c>
      <c r="K84">
        <f t="shared" ref="K84:L84" si="319">K83</f>
        <v>3.3333333333333335</v>
      </c>
      <c r="L84">
        <f t="shared" si="319"/>
        <v>0.94280904158206336</v>
      </c>
      <c r="M84">
        <v>108</v>
      </c>
      <c r="N84">
        <f t="shared" ref="N84:O84" si="320">N83</f>
        <v>107.33333333333333</v>
      </c>
      <c r="O84">
        <f t="shared" si="320"/>
        <v>4.9216076867444665</v>
      </c>
      <c r="Q84">
        <v>0.4</v>
      </c>
      <c r="R84" t="s">
        <v>20</v>
      </c>
      <c r="S84">
        <v>0.4</v>
      </c>
      <c r="T84" t="s">
        <v>20</v>
      </c>
      <c r="U84" t="s">
        <v>20</v>
      </c>
      <c r="AC84" t="s">
        <v>339</v>
      </c>
      <c r="AD84">
        <v>3</v>
      </c>
      <c r="AE84" t="s">
        <v>346</v>
      </c>
      <c r="AF84" t="s">
        <v>346</v>
      </c>
      <c r="AG84" t="s">
        <v>336</v>
      </c>
    </row>
    <row r="85" spans="1:35" x14ac:dyDescent="0.25">
      <c r="A85" t="s">
        <v>345</v>
      </c>
      <c r="B85" s="4" t="s">
        <v>81</v>
      </c>
      <c r="C85" s="1">
        <v>4</v>
      </c>
      <c r="D85">
        <v>40</v>
      </c>
      <c r="E85">
        <v>3</v>
      </c>
      <c r="F85">
        <v>36</v>
      </c>
      <c r="G85">
        <v>124</v>
      </c>
      <c r="H85">
        <f t="shared" ref="H85:I85" si="321">H83</f>
        <v>121</v>
      </c>
      <c r="I85">
        <f t="shared" si="321"/>
        <v>2.4494897427831779</v>
      </c>
      <c r="J85">
        <v>4</v>
      </c>
      <c r="K85">
        <f t="shared" ref="K85:L85" si="322">K83</f>
        <v>3.3333333333333335</v>
      </c>
      <c r="L85">
        <f t="shared" si="322"/>
        <v>0.94280904158206336</v>
      </c>
      <c r="M85">
        <v>113</v>
      </c>
      <c r="N85">
        <f t="shared" ref="N85:O85" si="323">N83</f>
        <v>107.33333333333333</v>
      </c>
      <c r="O85">
        <f t="shared" si="323"/>
        <v>4.9216076867444665</v>
      </c>
      <c r="P85">
        <v>186</v>
      </c>
      <c r="Q85">
        <v>0.4</v>
      </c>
      <c r="R85" t="s">
        <v>20</v>
      </c>
      <c r="S85">
        <v>0.53</v>
      </c>
      <c r="T85" t="s">
        <v>20</v>
      </c>
      <c r="U85" t="s">
        <v>20</v>
      </c>
      <c r="AC85" t="s">
        <v>272</v>
      </c>
      <c r="AD85">
        <v>4</v>
      </c>
      <c r="AE85" t="s">
        <v>346</v>
      </c>
      <c r="AF85" t="s">
        <v>346</v>
      </c>
      <c r="AG85">
        <v>5.4399999999999997E-2</v>
      </c>
      <c r="AH85" t="s">
        <v>336</v>
      </c>
    </row>
    <row r="86" spans="1:35" x14ac:dyDescent="0.25">
      <c r="A86" t="s">
        <v>347</v>
      </c>
      <c r="B86" s="4" t="s">
        <v>58</v>
      </c>
      <c r="C86" s="1">
        <v>2</v>
      </c>
      <c r="D86">
        <v>40</v>
      </c>
      <c r="E86">
        <v>1</v>
      </c>
      <c r="F86">
        <v>48</v>
      </c>
      <c r="G86">
        <v>124</v>
      </c>
      <c r="H86">
        <f t="shared" ref="H86" si="324">AVERAGE(G86:G88)</f>
        <v>129</v>
      </c>
      <c r="I86">
        <f t="shared" ref="I86" si="325">_xlfn.STDEV.P(G86:G88)</f>
        <v>6.3770421565696633</v>
      </c>
      <c r="J86">
        <v>0</v>
      </c>
      <c r="K86">
        <f t="shared" ref="K86" si="326">AVERAGE(J86:J88)</f>
        <v>0.33333333333333331</v>
      </c>
      <c r="L86">
        <f t="shared" ref="L86" si="327">_xlfn.STDEV.P(J86:J88)</f>
        <v>0.47140452079103168</v>
      </c>
      <c r="M86">
        <v>118</v>
      </c>
      <c r="N86">
        <f t="shared" ref="N86" si="328">AVERAGE(M86:M88)</f>
        <v>118</v>
      </c>
      <c r="O86">
        <f t="shared" ref="O86" si="329">_xlfn.STDEV.P(M86:M88)</f>
        <v>2.4494897427831779</v>
      </c>
      <c r="Q86">
        <v>0.63</v>
      </c>
      <c r="R86" t="s">
        <v>20</v>
      </c>
      <c r="S86">
        <v>0.7</v>
      </c>
      <c r="T86" t="s">
        <v>20</v>
      </c>
      <c r="U86" t="s">
        <v>20</v>
      </c>
      <c r="AC86" t="s">
        <v>271</v>
      </c>
      <c r="AD86">
        <v>5</v>
      </c>
      <c r="AE86">
        <v>7.7299999999999994E-2</v>
      </c>
      <c r="AF86">
        <v>0.51539999999999997</v>
      </c>
      <c r="AG86">
        <v>0.48809999999999998</v>
      </c>
      <c r="AH86" t="s">
        <v>346</v>
      </c>
      <c r="AI86" t="s">
        <v>336</v>
      </c>
    </row>
    <row r="87" spans="1:35" x14ac:dyDescent="0.25">
      <c r="A87" t="s">
        <v>347</v>
      </c>
      <c r="B87" s="4" t="s">
        <v>58</v>
      </c>
      <c r="C87" s="1">
        <v>2</v>
      </c>
      <c r="D87">
        <v>40</v>
      </c>
      <c r="E87">
        <v>2</v>
      </c>
      <c r="F87">
        <v>56</v>
      </c>
      <c r="G87">
        <v>125</v>
      </c>
      <c r="H87">
        <f t="shared" ref="H87:I87" si="330">H86</f>
        <v>129</v>
      </c>
      <c r="I87">
        <f t="shared" si="330"/>
        <v>6.3770421565696633</v>
      </c>
      <c r="J87">
        <v>0</v>
      </c>
      <c r="K87">
        <f t="shared" ref="K87:L87" si="331">K86</f>
        <v>0.33333333333333331</v>
      </c>
      <c r="L87">
        <f t="shared" si="331"/>
        <v>0.47140452079103168</v>
      </c>
      <c r="M87">
        <v>121</v>
      </c>
      <c r="N87">
        <f t="shared" ref="N87:O87" si="332">N86</f>
        <v>118</v>
      </c>
      <c r="O87">
        <f t="shared" si="332"/>
        <v>2.4494897427831779</v>
      </c>
      <c r="P87">
        <v>187</v>
      </c>
      <c r="Q87">
        <v>0.59</v>
      </c>
      <c r="R87" t="s">
        <v>20</v>
      </c>
      <c r="S87">
        <v>0.71</v>
      </c>
      <c r="T87" t="s">
        <v>20</v>
      </c>
      <c r="U87" t="s">
        <v>20</v>
      </c>
      <c r="AD87" t="s">
        <v>313</v>
      </c>
      <c r="AE87">
        <v>1</v>
      </c>
      <c r="AF87">
        <v>2</v>
      </c>
      <c r="AG87">
        <v>3</v>
      </c>
      <c r="AH87">
        <v>4</v>
      </c>
      <c r="AI87">
        <v>5</v>
      </c>
    </row>
    <row r="88" spans="1:35" x14ac:dyDescent="0.25">
      <c r="A88" t="s">
        <v>347</v>
      </c>
      <c r="B88" s="4" t="s">
        <v>58</v>
      </c>
      <c r="C88" s="1">
        <v>2</v>
      </c>
      <c r="D88">
        <v>40</v>
      </c>
      <c r="E88">
        <v>3</v>
      </c>
      <c r="F88">
        <v>44</v>
      </c>
      <c r="G88">
        <v>138</v>
      </c>
      <c r="H88">
        <f t="shared" ref="H88:I88" si="333">H86</f>
        <v>129</v>
      </c>
      <c r="I88">
        <f t="shared" si="333"/>
        <v>6.3770421565696633</v>
      </c>
      <c r="J88">
        <v>1</v>
      </c>
      <c r="K88">
        <f t="shared" ref="K88:L88" si="334">K86</f>
        <v>0.33333333333333331</v>
      </c>
      <c r="L88">
        <f t="shared" si="334"/>
        <v>0.47140452079103168</v>
      </c>
      <c r="M88">
        <v>115</v>
      </c>
      <c r="N88">
        <f t="shared" ref="N88:O88" si="335">N86</f>
        <v>118</v>
      </c>
      <c r="O88">
        <f t="shared" si="335"/>
        <v>2.4494897427831779</v>
      </c>
      <c r="P88">
        <v>186</v>
      </c>
      <c r="Q88">
        <v>0.64</v>
      </c>
      <c r="R88" t="s">
        <v>20</v>
      </c>
      <c r="S88">
        <v>0.5</v>
      </c>
      <c r="T88" t="s">
        <v>20</v>
      </c>
      <c r="U88" t="s">
        <v>20</v>
      </c>
    </row>
    <row r="89" spans="1:35" x14ac:dyDescent="0.25">
      <c r="A89" t="s">
        <v>348</v>
      </c>
      <c r="B89" s="4" t="s">
        <v>58</v>
      </c>
      <c r="C89" s="1">
        <v>2</v>
      </c>
      <c r="D89">
        <v>40</v>
      </c>
      <c r="E89">
        <v>1</v>
      </c>
      <c r="F89">
        <v>20</v>
      </c>
      <c r="G89">
        <v>136</v>
      </c>
      <c r="H89">
        <f t="shared" ref="H89" si="336">AVERAGE(G89:G91)</f>
        <v>131</v>
      </c>
      <c r="I89">
        <f t="shared" ref="I89" si="337">_xlfn.STDEV.P(G89:G91)</f>
        <v>7.0710678118654755</v>
      </c>
      <c r="J89">
        <v>0</v>
      </c>
      <c r="K89">
        <f t="shared" ref="K89" si="338">AVERAGE(J89:J91)</f>
        <v>0.33333333333333331</v>
      </c>
      <c r="L89">
        <f t="shared" ref="L89" si="339">_xlfn.STDEV.P(J89:J91)</f>
        <v>0.47140452079103168</v>
      </c>
      <c r="M89">
        <v>120</v>
      </c>
      <c r="N89">
        <f t="shared" ref="N89" si="340">AVERAGE(M89:M91)</f>
        <v>127.33333333333333</v>
      </c>
      <c r="O89">
        <f t="shared" ref="O89" si="341">_xlfn.STDEV.P(M89:M91)</f>
        <v>6.128258770283411</v>
      </c>
      <c r="P89">
        <v>186</v>
      </c>
      <c r="Q89">
        <v>0.6</v>
      </c>
      <c r="R89">
        <v>111.6</v>
      </c>
      <c r="S89">
        <v>0.65</v>
      </c>
      <c r="T89">
        <v>120.9</v>
      </c>
      <c r="U89" t="s">
        <v>20</v>
      </c>
    </row>
    <row r="90" spans="1:35" x14ac:dyDescent="0.25">
      <c r="A90" t="s">
        <v>348</v>
      </c>
      <c r="B90" s="4" t="s">
        <v>58</v>
      </c>
      <c r="C90" s="1">
        <v>2</v>
      </c>
      <c r="D90">
        <v>40</v>
      </c>
      <c r="E90">
        <v>2</v>
      </c>
      <c r="F90">
        <v>18</v>
      </c>
      <c r="G90">
        <v>136</v>
      </c>
      <c r="H90">
        <f t="shared" ref="H90:I90" si="342">H89</f>
        <v>131</v>
      </c>
      <c r="I90">
        <f t="shared" si="342"/>
        <v>7.0710678118654755</v>
      </c>
      <c r="J90">
        <v>1</v>
      </c>
      <c r="K90">
        <f t="shared" ref="K90:L90" si="343">K89</f>
        <v>0.33333333333333331</v>
      </c>
      <c r="L90">
        <f t="shared" si="343"/>
        <v>0.47140452079103168</v>
      </c>
      <c r="M90">
        <v>127</v>
      </c>
      <c r="N90">
        <f t="shared" ref="N90:O90" si="344">N89</f>
        <v>127.33333333333333</v>
      </c>
      <c r="O90">
        <f t="shared" si="344"/>
        <v>6.128258770283411</v>
      </c>
      <c r="P90">
        <v>187</v>
      </c>
      <c r="Q90">
        <v>0.65</v>
      </c>
      <c r="R90">
        <v>121.55</v>
      </c>
      <c r="S90">
        <v>0.57999999999999996</v>
      </c>
      <c r="T90">
        <v>108.46</v>
      </c>
      <c r="U90" t="s">
        <v>20</v>
      </c>
    </row>
    <row r="91" spans="1:35" x14ac:dyDescent="0.25">
      <c r="A91" t="s">
        <v>348</v>
      </c>
      <c r="B91" s="4" t="s">
        <v>58</v>
      </c>
      <c r="C91" s="1">
        <v>2</v>
      </c>
      <c r="D91">
        <v>40</v>
      </c>
      <c r="E91">
        <v>3</v>
      </c>
      <c r="F91">
        <v>30</v>
      </c>
      <c r="G91">
        <v>121</v>
      </c>
      <c r="H91">
        <f t="shared" ref="H91:I91" si="345">H89</f>
        <v>131</v>
      </c>
      <c r="I91">
        <f t="shared" si="345"/>
        <v>7.0710678118654755</v>
      </c>
      <c r="J91">
        <v>0</v>
      </c>
      <c r="K91">
        <f t="shared" ref="K91:L91" si="346">K89</f>
        <v>0.33333333333333331</v>
      </c>
      <c r="L91">
        <f t="shared" si="346"/>
        <v>0.47140452079103168</v>
      </c>
      <c r="M91">
        <v>135</v>
      </c>
      <c r="N91">
        <f t="shared" ref="N91:O91" si="347">N89</f>
        <v>127.33333333333333</v>
      </c>
      <c r="O91">
        <f t="shared" si="347"/>
        <v>6.128258770283411</v>
      </c>
      <c r="P91">
        <v>177</v>
      </c>
      <c r="Q91">
        <v>0.57999999999999996</v>
      </c>
      <c r="R91">
        <v>102.66</v>
      </c>
      <c r="S91">
        <v>0.75</v>
      </c>
      <c r="T91">
        <v>132.75</v>
      </c>
      <c r="U91" t="s">
        <v>20</v>
      </c>
    </row>
    <row r="92" spans="1:35" x14ac:dyDescent="0.25">
      <c r="A92" t="s">
        <v>349</v>
      </c>
      <c r="B92" s="4" t="s">
        <v>14</v>
      </c>
      <c r="C92" s="1" t="s">
        <v>20</v>
      </c>
      <c r="D92">
        <v>40</v>
      </c>
      <c r="E92">
        <v>1</v>
      </c>
      <c r="F92">
        <v>64</v>
      </c>
      <c r="G92">
        <v>135</v>
      </c>
      <c r="H92">
        <f t="shared" ref="H92" si="348">AVERAGE(G92:G94)</f>
        <v>140.66666666666666</v>
      </c>
      <c r="I92">
        <f t="shared" ref="I92" si="349">_xlfn.STDEV.P(G92:G94)</f>
        <v>4.9216076867444665</v>
      </c>
      <c r="J92">
        <v>1</v>
      </c>
      <c r="K92">
        <f t="shared" ref="K92" si="350">AVERAGE(J92:J94)</f>
        <v>2.3333333333333335</v>
      </c>
      <c r="L92">
        <f t="shared" ref="L92" si="351">_xlfn.STDEV.P(J92:J94)</f>
        <v>1.247219128924647</v>
      </c>
      <c r="M92">
        <v>110</v>
      </c>
      <c r="N92">
        <f t="shared" ref="N92" si="352">AVERAGE(M92:M94)</f>
        <v>111.66666666666667</v>
      </c>
      <c r="O92">
        <f t="shared" ref="O92" si="353">_xlfn.STDEV.P(M92:M94)</f>
        <v>6.2360956446232363</v>
      </c>
      <c r="P92">
        <v>180</v>
      </c>
      <c r="Q92">
        <v>0.67</v>
      </c>
      <c r="R92">
        <v>120.60000000000001</v>
      </c>
      <c r="S92">
        <v>0.66</v>
      </c>
      <c r="T92">
        <v>118.80000000000001</v>
      </c>
      <c r="U92" t="s">
        <v>20</v>
      </c>
    </row>
    <row r="93" spans="1:35" x14ac:dyDescent="0.25">
      <c r="A93" t="s">
        <v>349</v>
      </c>
      <c r="B93" s="4" t="s">
        <v>14</v>
      </c>
      <c r="C93" s="1" t="s">
        <v>20</v>
      </c>
      <c r="D93">
        <v>40</v>
      </c>
      <c r="E93">
        <v>2</v>
      </c>
      <c r="F93">
        <v>64</v>
      </c>
      <c r="G93">
        <v>147</v>
      </c>
      <c r="H93">
        <f t="shared" ref="H93:I93" si="354">H92</f>
        <v>140.66666666666666</v>
      </c>
      <c r="I93">
        <f t="shared" si="354"/>
        <v>4.9216076867444665</v>
      </c>
      <c r="J93">
        <v>2</v>
      </c>
      <c r="K93">
        <f t="shared" ref="K93:L93" si="355">K92</f>
        <v>2.3333333333333335</v>
      </c>
      <c r="L93">
        <f t="shared" si="355"/>
        <v>1.247219128924647</v>
      </c>
      <c r="M93">
        <v>120</v>
      </c>
      <c r="N93">
        <f t="shared" ref="N93:O93" si="356">N92</f>
        <v>111.66666666666667</v>
      </c>
      <c r="O93">
        <f t="shared" si="356"/>
        <v>6.2360956446232363</v>
      </c>
      <c r="P93">
        <v>181</v>
      </c>
      <c r="Q93">
        <v>0.71</v>
      </c>
      <c r="R93">
        <v>128.51</v>
      </c>
      <c r="S93">
        <v>0.64</v>
      </c>
      <c r="T93">
        <v>115.84</v>
      </c>
      <c r="U93" t="s">
        <v>20</v>
      </c>
    </row>
    <row r="94" spans="1:35" x14ac:dyDescent="0.25">
      <c r="A94" t="s">
        <v>349</v>
      </c>
      <c r="B94" s="4" t="s">
        <v>14</v>
      </c>
      <c r="C94" s="1" t="s">
        <v>20</v>
      </c>
      <c r="D94">
        <v>40</v>
      </c>
      <c r="E94">
        <v>3</v>
      </c>
      <c r="F94">
        <v>52</v>
      </c>
      <c r="G94">
        <v>140</v>
      </c>
      <c r="H94">
        <f t="shared" ref="H94:I94" si="357">H92</f>
        <v>140.66666666666666</v>
      </c>
      <c r="I94">
        <f t="shared" si="357"/>
        <v>4.9216076867444665</v>
      </c>
      <c r="J94">
        <v>4</v>
      </c>
      <c r="K94">
        <f t="shared" ref="K94:L94" si="358">K92</f>
        <v>2.3333333333333335</v>
      </c>
      <c r="L94">
        <f t="shared" si="358"/>
        <v>1.247219128924647</v>
      </c>
      <c r="M94">
        <v>105</v>
      </c>
      <c r="N94">
        <f t="shared" ref="N94:O94" si="359">N92</f>
        <v>111.66666666666667</v>
      </c>
      <c r="O94">
        <f t="shared" si="359"/>
        <v>6.2360956446232363</v>
      </c>
      <c r="P94">
        <v>181</v>
      </c>
      <c r="Q94">
        <v>0.73</v>
      </c>
      <c r="R94">
        <v>132.13</v>
      </c>
      <c r="S94">
        <v>0.79</v>
      </c>
      <c r="T94">
        <v>142.99</v>
      </c>
      <c r="U94" t="s">
        <v>20</v>
      </c>
    </row>
    <row r="95" spans="1:35" x14ac:dyDescent="0.25">
      <c r="A95" t="s">
        <v>350</v>
      </c>
      <c r="B95" s="4" t="s">
        <v>49</v>
      </c>
      <c r="C95" s="1">
        <v>5</v>
      </c>
      <c r="D95">
        <v>40</v>
      </c>
      <c r="E95">
        <v>1</v>
      </c>
      <c r="F95">
        <v>33</v>
      </c>
      <c r="G95">
        <v>86</v>
      </c>
      <c r="H95">
        <f t="shared" ref="H95" si="360">AVERAGE(G95:G97)</f>
        <v>89.666666666666671</v>
      </c>
      <c r="I95">
        <f t="shared" ref="I95" si="361">_xlfn.STDEV.P(G95:G97)</f>
        <v>2.6246692913372702</v>
      </c>
      <c r="J95">
        <v>2</v>
      </c>
      <c r="K95">
        <f t="shared" ref="K95" si="362">AVERAGE(J95:J97)</f>
        <v>3.3333333333333335</v>
      </c>
      <c r="L95">
        <f t="shared" ref="L95" si="363">_xlfn.STDEV.P(J95:J97)</f>
        <v>1.247219128924647</v>
      </c>
      <c r="M95">
        <v>97</v>
      </c>
      <c r="N95">
        <f t="shared" ref="N95" si="364">AVERAGE(M95:M97)</f>
        <v>96.666666666666671</v>
      </c>
      <c r="O95">
        <f t="shared" ref="O95" si="365">_xlfn.STDEV.P(M95:M97)</f>
        <v>2.8674417556808756</v>
      </c>
      <c r="P95">
        <v>132</v>
      </c>
      <c r="Q95">
        <v>0.66</v>
      </c>
      <c r="R95">
        <v>87.12</v>
      </c>
      <c r="S95">
        <v>0.77</v>
      </c>
      <c r="T95">
        <v>101.64</v>
      </c>
      <c r="U95">
        <v>16.190000000000001</v>
      </c>
    </row>
    <row r="96" spans="1:35" x14ac:dyDescent="0.25">
      <c r="A96" t="s">
        <v>350</v>
      </c>
      <c r="B96" s="4" t="s">
        <v>49</v>
      </c>
      <c r="C96" s="1">
        <v>5</v>
      </c>
      <c r="D96">
        <v>40</v>
      </c>
      <c r="E96">
        <v>2</v>
      </c>
      <c r="F96">
        <v>32</v>
      </c>
      <c r="G96">
        <v>91</v>
      </c>
      <c r="H96">
        <f t="shared" ref="H96:I96" si="366">H95</f>
        <v>89.666666666666671</v>
      </c>
      <c r="I96">
        <f t="shared" si="366"/>
        <v>2.6246692913372702</v>
      </c>
      <c r="J96">
        <v>5</v>
      </c>
      <c r="K96">
        <f t="shared" ref="K96:L96" si="367">K95</f>
        <v>3.3333333333333335</v>
      </c>
      <c r="L96">
        <f t="shared" si="367"/>
        <v>1.247219128924647</v>
      </c>
      <c r="M96">
        <v>100</v>
      </c>
      <c r="N96">
        <f t="shared" ref="N96:O96" si="368">N95</f>
        <v>96.666666666666671</v>
      </c>
      <c r="O96">
        <f t="shared" si="368"/>
        <v>2.8674417556808756</v>
      </c>
      <c r="P96">
        <v>138</v>
      </c>
      <c r="Q96">
        <v>0.71</v>
      </c>
      <c r="R96">
        <v>97.97999999999999</v>
      </c>
      <c r="S96">
        <v>0.81</v>
      </c>
      <c r="T96">
        <v>111.78</v>
      </c>
      <c r="U96">
        <v>14.85</v>
      </c>
    </row>
    <row r="97" spans="1:21" x14ac:dyDescent="0.25">
      <c r="A97" t="s">
        <v>350</v>
      </c>
      <c r="B97" s="4" t="s">
        <v>49</v>
      </c>
      <c r="C97" s="1">
        <v>5</v>
      </c>
      <c r="D97">
        <v>40</v>
      </c>
      <c r="E97">
        <v>3</v>
      </c>
      <c r="F97">
        <v>24</v>
      </c>
      <c r="G97">
        <v>92</v>
      </c>
      <c r="H97">
        <f t="shared" ref="H97:I97" si="369">H95</f>
        <v>89.666666666666671</v>
      </c>
      <c r="I97">
        <f t="shared" si="369"/>
        <v>2.6246692913372702</v>
      </c>
      <c r="J97">
        <v>3</v>
      </c>
      <c r="K97">
        <f t="shared" ref="K97:L97" si="370">K95</f>
        <v>3.3333333333333335</v>
      </c>
      <c r="L97">
        <f t="shared" si="370"/>
        <v>1.247219128924647</v>
      </c>
      <c r="M97">
        <v>93</v>
      </c>
      <c r="N97">
        <f t="shared" ref="N97:O97" si="371">N95</f>
        <v>96.666666666666671</v>
      </c>
      <c r="O97">
        <f t="shared" si="371"/>
        <v>2.8674417556808756</v>
      </c>
      <c r="P97">
        <v>139</v>
      </c>
      <c r="Q97">
        <v>0.69</v>
      </c>
      <c r="R97">
        <v>95.91</v>
      </c>
      <c r="S97">
        <v>0.79</v>
      </c>
      <c r="T97">
        <v>109.81</v>
      </c>
      <c r="U97">
        <v>14.29</v>
      </c>
    </row>
    <row r="98" spans="1:21" x14ac:dyDescent="0.25">
      <c r="A98" t="s">
        <v>351</v>
      </c>
      <c r="B98" s="4" t="s">
        <v>94</v>
      </c>
      <c r="C98" s="1">
        <v>4</v>
      </c>
      <c r="D98">
        <v>40</v>
      </c>
      <c r="E98">
        <v>1</v>
      </c>
      <c r="F98">
        <v>16</v>
      </c>
      <c r="G98">
        <v>125</v>
      </c>
      <c r="H98">
        <f t="shared" ref="H98" si="372">AVERAGE(G98:G100)</f>
        <v>120.66666666666667</v>
      </c>
      <c r="I98">
        <f t="shared" ref="I98" si="373">_xlfn.STDEV.P(G98:G100)</f>
        <v>5.4365021434333629</v>
      </c>
      <c r="J98">
        <v>1</v>
      </c>
      <c r="K98">
        <f t="shared" ref="K98" si="374">AVERAGE(J98:J100)</f>
        <v>0.33333333333333331</v>
      </c>
      <c r="L98">
        <f t="shared" ref="L98" si="375">_xlfn.STDEV.P(J98:J100)</f>
        <v>0.47140452079103168</v>
      </c>
      <c r="M98">
        <v>100</v>
      </c>
      <c r="N98">
        <f t="shared" ref="N98" si="376">AVERAGE(M98:M100)</f>
        <v>100.66666666666667</v>
      </c>
      <c r="O98">
        <f t="shared" ref="O98" si="377">_xlfn.STDEV.P(M98:M100)</f>
        <v>0.94280904158206336</v>
      </c>
      <c r="P98">
        <v>183</v>
      </c>
      <c r="Q98">
        <v>0.66</v>
      </c>
      <c r="R98">
        <v>120.78</v>
      </c>
      <c r="S98">
        <v>0.56999999999999995</v>
      </c>
      <c r="T98">
        <v>104.30999999999999</v>
      </c>
      <c r="U98" t="s">
        <v>20</v>
      </c>
    </row>
    <row r="99" spans="1:21" x14ac:dyDescent="0.25">
      <c r="A99" t="s">
        <v>351</v>
      </c>
      <c r="B99" s="4" t="s">
        <v>94</v>
      </c>
      <c r="C99" s="1">
        <v>4</v>
      </c>
      <c r="D99">
        <v>40</v>
      </c>
      <c r="E99">
        <v>2</v>
      </c>
      <c r="F99">
        <v>32</v>
      </c>
      <c r="G99">
        <v>113</v>
      </c>
      <c r="H99">
        <f t="shared" ref="H99:I99" si="378">H98</f>
        <v>120.66666666666667</v>
      </c>
      <c r="I99">
        <f t="shared" si="378"/>
        <v>5.4365021434333629</v>
      </c>
      <c r="J99">
        <v>0</v>
      </c>
      <c r="K99">
        <f t="shared" ref="K99:L99" si="379">K98</f>
        <v>0.33333333333333331</v>
      </c>
      <c r="L99">
        <f t="shared" si="379"/>
        <v>0.47140452079103168</v>
      </c>
      <c r="M99">
        <v>100</v>
      </c>
      <c r="N99">
        <f t="shared" ref="N99:O99" si="380">N98</f>
        <v>100.66666666666667</v>
      </c>
      <c r="O99">
        <f t="shared" si="380"/>
        <v>0.94280904158206336</v>
      </c>
      <c r="P99">
        <v>179</v>
      </c>
      <c r="Q99">
        <v>0.72</v>
      </c>
      <c r="R99">
        <v>128.88</v>
      </c>
      <c r="S99">
        <v>0.73</v>
      </c>
      <c r="T99">
        <v>130.66999999999999</v>
      </c>
      <c r="U99" t="s">
        <v>20</v>
      </c>
    </row>
    <row r="100" spans="1:21" x14ac:dyDescent="0.25">
      <c r="A100" t="s">
        <v>351</v>
      </c>
      <c r="B100" s="4" t="s">
        <v>94</v>
      </c>
      <c r="C100" s="1">
        <v>4</v>
      </c>
      <c r="D100">
        <v>40</v>
      </c>
      <c r="E100">
        <v>3</v>
      </c>
      <c r="F100">
        <v>16</v>
      </c>
      <c r="G100">
        <v>124</v>
      </c>
      <c r="H100">
        <f t="shared" ref="H100:I100" si="381">H98</f>
        <v>120.66666666666667</v>
      </c>
      <c r="I100">
        <f t="shared" si="381"/>
        <v>5.4365021434333629</v>
      </c>
      <c r="J100">
        <v>0</v>
      </c>
      <c r="K100">
        <f t="shared" ref="K100:L100" si="382">K98</f>
        <v>0.33333333333333331</v>
      </c>
      <c r="L100">
        <f t="shared" si="382"/>
        <v>0.47140452079103168</v>
      </c>
      <c r="M100">
        <v>102</v>
      </c>
      <c r="N100">
        <f t="shared" ref="N100:O100" si="383">N98</f>
        <v>100.66666666666667</v>
      </c>
      <c r="O100">
        <f t="shared" si="383"/>
        <v>0.94280904158206336</v>
      </c>
      <c r="P100">
        <v>177</v>
      </c>
      <c r="Q100">
        <v>0.71</v>
      </c>
      <c r="R100">
        <v>125.66999999999999</v>
      </c>
      <c r="S100">
        <v>0.69</v>
      </c>
      <c r="T100">
        <v>122.13</v>
      </c>
      <c r="U100" t="s">
        <v>20</v>
      </c>
    </row>
    <row r="101" spans="1:21" x14ac:dyDescent="0.25">
      <c r="A101" t="s">
        <v>352</v>
      </c>
      <c r="B101" s="4" t="s">
        <v>94</v>
      </c>
      <c r="C101" s="1">
        <v>4</v>
      </c>
      <c r="D101">
        <v>40</v>
      </c>
      <c r="E101">
        <v>1</v>
      </c>
      <c r="F101">
        <v>2</v>
      </c>
      <c r="G101">
        <v>103</v>
      </c>
      <c r="H101">
        <f t="shared" ref="H101" si="384">AVERAGE(G101:G103)</f>
        <v>102</v>
      </c>
      <c r="I101">
        <f t="shared" ref="I101" si="385">_xlfn.STDEV.P(G101:G103)</f>
        <v>1.4142135623730951</v>
      </c>
      <c r="J101">
        <v>0</v>
      </c>
      <c r="K101">
        <f t="shared" ref="K101" si="386">AVERAGE(J101:J103)</f>
        <v>0</v>
      </c>
      <c r="L101">
        <f t="shared" ref="L101" si="387">_xlfn.STDEV.P(J101:J103)</f>
        <v>0</v>
      </c>
      <c r="M101">
        <v>87</v>
      </c>
      <c r="N101">
        <f t="shared" ref="N101" si="388">AVERAGE(M101:M103)</f>
        <v>92.333333333333329</v>
      </c>
      <c r="O101">
        <f t="shared" ref="O101" si="389">_xlfn.STDEV.P(M101:M103)</f>
        <v>5.5577773335110221</v>
      </c>
      <c r="P101">
        <v>168</v>
      </c>
      <c r="Q101">
        <v>0.4</v>
      </c>
      <c r="R101">
        <v>67.2</v>
      </c>
      <c r="S101">
        <v>0.35</v>
      </c>
      <c r="T101">
        <v>58.8</v>
      </c>
      <c r="U101">
        <v>15.71</v>
      </c>
    </row>
    <row r="102" spans="1:21" x14ac:dyDescent="0.25">
      <c r="A102" t="s">
        <v>352</v>
      </c>
      <c r="B102" s="4" t="s">
        <v>94</v>
      </c>
      <c r="C102" s="1">
        <v>4</v>
      </c>
      <c r="D102">
        <v>40</v>
      </c>
      <c r="E102">
        <v>2</v>
      </c>
      <c r="F102">
        <v>6</v>
      </c>
      <c r="G102">
        <v>100</v>
      </c>
      <c r="H102">
        <f t="shared" ref="H102:I102" si="390">H101</f>
        <v>102</v>
      </c>
      <c r="I102">
        <f t="shared" si="390"/>
        <v>1.4142135623730951</v>
      </c>
      <c r="J102">
        <v>0</v>
      </c>
      <c r="K102">
        <f t="shared" ref="K102:L102" si="391">K101</f>
        <v>0</v>
      </c>
      <c r="L102">
        <f t="shared" si="391"/>
        <v>0</v>
      </c>
      <c r="M102">
        <v>100</v>
      </c>
      <c r="N102">
        <f t="shared" ref="N102:O102" si="392">N101</f>
        <v>92.333333333333329</v>
      </c>
      <c r="O102">
        <f t="shared" si="392"/>
        <v>5.5577773335110221</v>
      </c>
      <c r="P102">
        <v>155</v>
      </c>
      <c r="Q102">
        <v>0.61</v>
      </c>
      <c r="R102">
        <v>94.55</v>
      </c>
      <c r="S102">
        <v>0.64</v>
      </c>
      <c r="T102">
        <v>99.2</v>
      </c>
      <c r="U102">
        <v>22.38</v>
      </c>
    </row>
    <row r="103" spans="1:21" x14ac:dyDescent="0.25">
      <c r="A103" t="s">
        <v>352</v>
      </c>
      <c r="B103" s="4" t="s">
        <v>94</v>
      </c>
      <c r="C103" s="1">
        <v>4</v>
      </c>
      <c r="D103">
        <v>40</v>
      </c>
      <c r="E103">
        <v>3</v>
      </c>
      <c r="F103">
        <v>10</v>
      </c>
      <c r="G103">
        <v>103</v>
      </c>
      <c r="H103">
        <f t="shared" ref="H103:I103" si="393">H101</f>
        <v>102</v>
      </c>
      <c r="I103">
        <f t="shared" si="393"/>
        <v>1.4142135623730951</v>
      </c>
      <c r="J103">
        <v>0</v>
      </c>
      <c r="K103">
        <f t="shared" ref="K103:L103" si="394">K101</f>
        <v>0</v>
      </c>
      <c r="L103">
        <f t="shared" si="394"/>
        <v>0</v>
      </c>
      <c r="M103">
        <v>90</v>
      </c>
      <c r="N103">
        <f t="shared" ref="N103:O103" si="395">N101</f>
        <v>92.333333333333329</v>
      </c>
      <c r="O103">
        <f t="shared" si="395"/>
        <v>5.5577773335110221</v>
      </c>
      <c r="P103">
        <v>162</v>
      </c>
      <c r="Q103">
        <v>0.63</v>
      </c>
      <c r="R103">
        <v>102.06</v>
      </c>
      <c r="S103">
        <v>0.56000000000000005</v>
      </c>
      <c r="T103">
        <v>90.720000000000013</v>
      </c>
      <c r="U103">
        <v>16.28</v>
      </c>
    </row>
    <row r="104" spans="1:21" x14ac:dyDescent="0.25">
      <c r="A104" t="s">
        <v>353</v>
      </c>
      <c r="B104" s="4" t="s">
        <v>94</v>
      </c>
      <c r="C104" s="1">
        <v>5</v>
      </c>
      <c r="D104">
        <v>40</v>
      </c>
      <c r="E104">
        <v>1</v>
      </c>
      <c r="F104">
        <v>56</v>
      </c>
      <c r="G104">
        <v>106</v>
      </c>
      <c r="H104">
        <f t="shared" ref="H104" si="396">AVERAGE(G104:G106)</f>
        <v>105.33333333333333</v>
      </c>
      <c r="I104">
        <f t="shared" ref="I104" si="397">_xlfn.STDEV.P(G104:G106)</f>
        <v>0.94280904158206336</v>
      </c>
      <c r="J104">
        <v>1</v>
      </c>
      <c r="K104">
        <f t="shared" ref="K104" si="398">AVERAGE(J104:J106)</f>
        <v>1.6666666666666667</v>
      </c>
      <c r="L104">
        <f t="shared" ref="L104" si="399">_xlfn.STDEV.P(J104:J106)</f>
        <v>0.47140452079103168</v>
      </c>
      <c r="M104">
        <v>105</v>
      </c>
      <c r="N104">
        <f t="shared" ref="N104" si="400">AVERAGE(M104:M106)</f>
        <v>106.33333333333333</v>
      </c>
      <c r="O104">
        <f t="shared" ref="O104" si="401">_xlfn.STDEV.P(M104:M106)</f>
        <v>1.247219128924647</v>
      </c>
      <c r="P104">
        <v>166</v>
      </c>
      <c r="Q104">
        <v>0.67</v>
      </c>
      <c r="R104">
        <v>111.22000000000001</v>
      </c>
      <c r="S104">
        <v>0.69</v>
      </c>
      <c r="T104">
        <v>114.53999999999999</v>
      </c>
      <c r="U104">
        <v>13.55</v>
      </c>
    </row>
    <row r="105" spans="1:21" x14ac:dyDescent="0.25">
      <c r="A105" t="s">
        <v>353</v>
      </c>
      <c r="B105" s="4" t="s">
        <v>94</v>
      </c>
      <c r="C105" s="1">
        <v>5</v>
      </c>
      <c r="D105">
        <v>40</v>
      </c>
      <c r="E105">
        <v>2</v>
      </c>
      <c r="F105">
        <v>70</v>
      </c>
      <c r="G105">
        <v>104</v>
      </c>
      <c r="H105">
        <f t="shared" ref="H105:I105" si="402">H104</f>
        <v>105.33333333333333</v>
      </c>
      <c r="I105">
        <f t="shared" si="402"/>
        <v>0.94280904158206336</v>
      </c>
      <c r="J105">
        <v>2</v>
      </c>
      <c r="K105">
        <f t="shared" ref="K105:L105" si="403">K104</f>
        <v>1.6666666666666667</v>
      </c>
      <c r="L105">
        <f t="shared" si="403"/>
        <v>0.47140452079103168</v>
      </c>
      <c r="M105">
        <v>106</v>
      </c>
      <c r="N105">
        <f t="shared" ref="N105:O105" si="404">N104</f>
        <v>106.33333333333333</v>
      </c>
      <c r="O105">
        <f t="shared" si="404"/>
        <v>1.247219128924647</v>
      </c>
      <c r="P105">
        <v>156</v>
      </c>
      <c r="Q105">
        <v>0.67</v>
      </c>
      <c r="R105">
        <v>104.52000000000001</v>
      </c>
      <c r="S105">
        <v>0.56999999999999995</v>
      </c>
      <c r="T105">
        <v>88.919999999999987</v>
      </c>
      <c r="U105">
        <v>14.41</v>
      </c>
    </row>
    <row r="106" spans="1:21" x14ac:dyDescent="0.25">
      <c r="A106" t="s">
        <v>353</v>
      </c>
      <c r="B106" s="4" t="s">
        <v>94</v>
      </c>
      <c r="C106" s="1">
        <v>5</v>
      </c>
      <c r="D106">
        <v>40</v>
      </c>
      <c r="E106">
        <v>3</v>
      </c>
      <c r="F106">
        <v>60</v>
      </c>
      <c r="G106">
        <v>106</v>
      </c>
      <c r="H106">
        <f t="shared" ref="H106:I106" si="405">H104</f>
        <v>105.33333333333333</v>
      </c>
      <c r="I106">
        <f t="shared" si="405"/>
        <v>0.94280904158206336</v>
      </c>
      <c r="J106">
        <v>2</v>
      </c>
      <c r="K106">
        <f t="shared" ref="K106:L106" si="406">K104</f>
        <v>1.6666666666666667</v>
      </c>
      <c r="L106">
        <f t="shared" si="406"/>
        <v>0.47140452079103168</v>
      </c>
      <c r="M106">
        <v>108</v>
      </c>
      <c r="N106">
        <f t="shared" ref="N106:O106" si="407">N104</f>
        <v>106.33333333333333</v>
      </c>
      <c r="O106">
        <f t="shared" si="407"/>
        <v>1.247219128924647</v>
      </c>
      <c r="P106">
        <v>159</v>
      </c>
      <c r="Q106">
        <v>0.68</v>
      </c>
      <c r="R106">
        <v>108.12</v>
      </c>
      <c r="S106">
        <v>0.63</v>
      </c>
      <c r="T106">
        <v>100.17</v>
      </c>
      <c r="U106" t="s">
        <v>20</v>
      </c>
    </row>
    <row r="107" spans="1:21" x14ac:dyDescent="0.25">
      <c r="A107" t="s">
        <v>354</v>
      </c>
      <c r="B107" s="4" t="s">
        <v>94</v>
      </c>
      <c r="C107" s="1">
        <v>4</v>
      </c>
      <c r="D107">
        <v>40</v>
      </c>
      <c r="E107">
        <v>1</v>
      </c>
      <c r="F107">
        <v>50</v>
      </c>
      <c r="G107">
        <v>119</v>
      </c>
      <c r="H107">
        <f t="shared" ref="H107" si="408">AVERAGE(G107:G109)</f>
        <v>120.33333333333333</v>
      </c>
      <c r="I107">
        <f t="shared" ref="I107" si="409">_xlfn.STDEV.P(G107:G109)</f>
        <v>2.6246692913372702</v>
      </c>
      <c r="J107">
        <v>1</v>
      </c>
      <c r="K107">
        <f t="shared" ref="K107" si="410">AVERAGE(J107:J109)</f>
        <v>1</v>
      </c>
      <c r="L107">
        <f t="shared" ref="L107" si="411">_xlfn.STDEV.P(J107:J109)</f>
        <v>0</v>
      </c>
      <c r="M107">
        <v>122</v>
      </c>
      <c r="N107">
        <f t="shared" ref="N107" si="412">AVERAGE(M107:M109)</f>
        <v>124</v>
      </c>
      <c r="O107">
        <f t="shared" ref="O107" si="413">_xlfn.STDEV.P(M107:M109)</f>
        <v>5.8878405775518976</v>
      </c>
      <c r="P107">
        <v>180</v>
      </c>
      <c r="Q107">
        <v>0.7</v>
      </c>
      <c r="R107">
        <v>125.99999999999999</v>
      </c>
      <c r="S107">
        <v>0.65</v>
      </c>
      <c r="T107">
        <v>117</v>
      </c>
      <c r="U107" t="s">
        <v>20</v>
      </c>
    </row>
    <row r="108" spans="1:21" x14ac:dyDescent="0.25">
      <c r="A108" t="s">
        <v>354</v>
      </c>
      <c r="B108" s="4" t="s">
        <v>94</v>
      </c>
      <c r="C108" s="1">
        <v>4</v>
      </c>
      <c r="D108">
        <v>40</v>
      </c>
      <c r="E108">
        <v>2</v>
      </c>
      <c r="F108">
        <v>62</v>
      </c>
      <c r="G108">
        <v>118</v>
      </c>
      <c r="H108">
        <f t="shared" ref="H108:I108" si="414">H107</f>
        <v>120.33333333333333</v>
      </c>
      <c r="I108">
        <f t="shared" si="414"/>
        <v>2.6246692913372702</v>
      </c>
      <c r="J108">
        <v>1</v>
      </c>
      <c r="K108">
        <f t="shared" ref="K108:L108" si="415">K107</f>
        <v>1</v>
      </c>
      <c r="L108">
        <f t="shared" si="415"/>
        <v>0</v>
      </c>
      <c r="M108">
        <v>118</v>
      </c>
      <c r="N108">
        <f t="shared" ref="N108:O108" si="416">N107</f>
        <v>124</v>
      </c>
      <c r="O108">
        <f t="shared" si="416"/>
        <v>5.8878405775518976</v>
      </c>
      <c r="P108">
        <v>186</v>
      </c>
      <c r="Q108">
        <v>0.6</v>
      </c>
      <c r="R108">
        <v>111.6</v>
      </c>
      <c r="S108">
        <v>0.72</v>
      </c>
      <c r="T108">
        <v>133.91999999999999</v>
      </c>
      <c r="U108" t="s">
        <v>20</v>
      </c>
    </row>
    <row r="109" spans="1:21" x14ac:dyDescent="0.25">
      <c r="A109" t="s">
        <v>354</v>
      </c>
      <c r="B109" s="4" t="s">
        <v>94</v>
      </c>
      <c r="C109" s="1">
        <v>4</v>
      </c>
      <c r="D109">
        <v>40</v>
      </c>
      <c r="E109">
        <v>3</v>
      </c>
      <c r="F109">
        <v>62</v>
      </c>
      <c r="G109">
        <v>124</v>
      </c>
      <c r="H109">
        <f t="shared" ref="H109:I109" si="417">H107</f>
        <v>120.33333333333333</v>
      </c>
      <c r="I109">
        <f t="shared" si="417"/>
        <v>2.6246692913372702</v>
      </c>
      <c r="J109">
        <v>1</v>
      </c>
      <c r="K109">
        <f t="shared" ref="K109:L109" si="418">K107</f>
        <v>1</v>
      </c>
      <c r="L109">
        <f t="shared" si="418"/>
        <v>0</v>
      </c>
      <c r="M109">
        <v>132</v>
      </c>
      <c r="N109">
        <f t="shared" ref="N109:O109" si="419">N107</f>
        <v>124</v>
      </c>
      <c r="O109">
        <f t="shared" si="419"/>
        <v>5.8878405775518976</v>
      </c>
      <c r="P109">
        <v>186</v>
      </c>
      <c r="Q109">
        <v>0.61</v>
      </c>
      <c r="R109">
        <v>113.46</v>
      </c>
      <c r="S109">
        <v>0.43</v>
      </c>
      <c r="T109">
        <v>79.98</v>
      </c>
      <c r="U109" t="s">
        <v>20</v>
      </c>
    </row>
    <row r="110" spans="1:21" x14ac:dyDescent="0.25">
      <c r="A110" t="s">
        <v>355</v>
      </c>
      <c r="B110" s="4" t="s">
        <v>94</v>
      </c>
      <c r="C110" s="1">
        <v>5</v>
      </c>
      <c r="D110">
        <v>40</v>
      </c>
      <c r="E110">
        <v>1</v>
      </c>
      <c r="F110">
        <v>10</v>
      </c>
      <c r="G110">
        <v>122</v>
      </c>
      <c r="H110">
        <f t="shared" ref="H110" si="420">AVERAGE(G110:G112)</f>
        <v>121.33333333333333</v>
      </c>
      <c r="I110">
        <f t="shared" ref="I110" si="421">_xlfn.STDEV.P(G110:G112)</f>
        <v>2.4944382578492941</v>
      </c>
      <c r="J110">
        <v>0</v>
      </c>
      <c r="K110">
        <f t="shared" ref="K110" si="422">AVERAGE(J110:J112)</f>
        <v>1</v>
      </c>
      <c r="L110">
        <f t="shared" ref="L110" si="423">_xlfn.STDEV.P(J110:J112)</f>
        <v>0.81649658092772603</v>
      </c>
      <c r="M110">
        <v>83</v>
      </c>
      <c r="N110">
        <f t="shared" ref="N110" si="424">AVERAGE(M110:M112)</f>
        <v>89</v>
      </c>
      <c r="O110">
        <f t="shared" ref="O110" si="425">_xlfn.STDEV.P(M110:M112)</f>
        <v>6.4807406984078604</v>
      </c>
      <c r="P110">
        <v>183</v>
      </c>
      <c r="Q110">
        <v>0.56000000000000005</v>
      </c>
      <c r="R110">
        <v>102.48</v>
      </c>
      <c r="S110">
        <v>0.33</v>
      </c>
      <c r="T110">
        <v>60.39</v>
      </c>
      <c r="U110" t="s">
        <v>20</v>
      </c>
    </row>
    <row r="111" spans="1:21" x14ac:dyDescent="0.25">
      <c r="A111" t="s">
        <v>355</v>
      </c>
      <c r="B111" s="4" t="s">
        <v>94</v>
      </c>
      <c r="C111" s="1">
        <v>5</v>
      </c>
      <c r="D111">
        <v>40</v>
      </c>
      <c r="E111">
        <v>2</v>
      </c>
      <c r="F111">
        <v>22</v>
      </c>
      <c r="G111">
        <v>124</v>
      </c>
      <c r="H111">
        <f t="shared" ref="H111:I111" si="426">H110</f>
        <v>121.33333333333333</v>
      </c>
      <c r="I111">
        <f t="shared" si="426"/>
        <v>2.4944382578492941</v>
      </c>
      <c r="J111">
        <v>2</v>
      </c>
      <c r="K111">
        <f t="shared" ref="K111:L111" si="427">K110</f>
        <v>1</v>
      </c>
      <c r="L111">
        <f t="shared" si="427"/>
        <v>0.81649658092772603</v>
      </c>
      <c r="M111">
        <v>86</v>
      </c>
      <c r="N111">
        <f t="shared" ref="N111:O111" si="428">N110</f>
        <v>89</v>
      </c>
      <c r="O111">
        <f t="shared" si="428"/>
        <v>6.4807406984078604</v>
      </c>
      <c r="P111">
        <v>187</v>
      </c>
      <c r="Q111">
        <v>0.38</v>
      </c>
      <c r="R111">
        <v>71.06</v>
      </c>
      <c r="S111">
        <v>0.3</v>
      </c>
      <c r="T111">
        <v>56.1</v>
      </c>
      <c r="U111" t="s">
        <v>20</v>
      </c>
    </row>
    <row r="112" spans="1:21" x14ac:dyDescent="0.25">
      <c r="A112" t="s">
        <v>355</v>
      </c>
      <c r="B112" s="4" t="s">
        <v>94</v>
      </c>
      <c r="C112" s="1">
        <v>5</v>
      </c>
      <c r="D112">
        <v>40</v>
      </c>
      <c r="E112">
        <v>3</v>
      </c>
      <c r="F112">
        <v>14</v>
      </c>
      <c r="G112">
        <v>118</v>
      </c>
      <c r="H112">
        <f t="shared" ref="H112:I112" si="429">H110</f>
        <v>121.33333333333333</v>
      </c>
      <c r="I112">
        <f t="shared" si="429"/>
        <v>2.4944382578492941</v>
      </c>
      <c r="J112">
        <v>1</v>
      </c>
      <c r="K112">
        <f t="shared" ref="K112:L112" si="430">K110</f>
        <v>1</v>
      </c>
      <c r="L112">
        <f t="shared" si="430"/>
        <v>0.81649658092772603</v>
      </c>
      <c r="M112">
        <v>98</v>
      </c>
      <c r="N112">
        <f t="shared" ref="N112:O112" si="431">N110</f>
        <v>89</v>
      </c>
      <c r="O112">
        <f t="shared" si="431"/>
        <v>6.4807406984078604</v>
      </c>
      <c r="P112">
        <v>177</v>
      </c>
      <c r="Q112">
        <v>0.43</v>
      </c>
      <c r="R112">
        <v>76.11</v>
      </c>
      <c r="S112">
        <v>0.36</v>
      </c>
      <c r="T112">
        <v>63.72</v>
      </c>
      <c r="U112" t="s">
        <v>20</v>
      </c>
    </row>
    <row r="113" spans="1:21" x14ac:dyDescent="0.25">
      <c r="A113" t="s">
        <v>356</v>
      </c>
      <c r="B113" s="4" t="s">
        <v>94</v>
      </c>
      <c r="C113" s="1">
        <v>4</v>
      </c>
      <c r="D113">
        <v>40</v>
      </c>
      <c r="E113">
        <v>1</v>
      </c>
      <c r="F113">
        <v>14</v>
      </c>
      <c r="G113">
        <v>116</v>
      </c>
      <c r="H113">
        <f t="shared" ref="H113" si="432">AVERAGE(G113:G115)</f>
        <v>113</v>
      </c>
      <c r="I113">
        <f t="shared" ref="I113" si="433">_xlfn.STDEV.P(G113:G115)</f>
        <v>3.5590260840104371</v>
      </c>
      <c r="J113">
        <v>4</v>
      </c>
      <c r="K113">
        <f t="shared" ref="K113" si="434">AVERAGE(J113:J115)</f>
        <v>2.3333333333333335</v>
      </c>
      <c r="L113">
        <f t="shared" ref="L113" si="435">_xlfn.STDEV.P(J113:J115)</f>
        <v>1.247219128924647</v>
      </c>
      <c r="M113">
        <v>108</v>
      </c>
      <c r="N113">
        <f t="shared" ref="N113" si="436">AVERAGE(M113:M115)</f>
        <v>106.66666666666667</v>
      </c>
      <c r="O113">
        <f t="shared" ref="O113" si="437">_xlfn.STDEV.P(M113:M115)</f>
        <v>4.9888765156985881</v>
      </c>
      <c r="Q113">
        <v>0.64</v>
      </c>
      <c r="R113" t="s">
        <v>20</v>
      </c>
      <c r="S113">
        <v>0.62</v>
      </c>
      <c r="T113" t="s">
        <v>20</v>
      </c>
      <c r="U113" t="s">
        <v>20</v>
      </c>
    </row>
    <row r="114" spans="1:21" x14ac:dyDescent="0.25">
      <c r="A114" t="s">
        <v>356</v>
      </c>
      <c r="B114" s="4" t="s">
        <v>94</v>
      </c>
      <c r="C114" s="1">
        <v>4</v>
      </c>
      <c r="D114">
        <v>40</v>
      </c>
      <c r="E114">
        <v>2</v>
      </c>
      <c r="F114">
        <v>6</v>
      </c>
      <c r="G114">
        <v>108</v>
      </c>
      <c r="H114">
        <f t="shared" ref="H114:I114" si="438">H113</f>
        <v>113</v>
      </c>
      <c r="I114">
        <f t="shared" si="438"/>
        <v>3.5590260840104371</v>
      </c>
      <c r="J114">
        <v>2</v>
      </c>
      <c r="K114">
        <f t="shared" ref="K114:L114" si="439">K113</f>
        <v>2.3333333333333335</v>
      </c>
      <c r="L114">
        <f t="shared" si="439"/>
        <v>1.247219128924647</v>
      </c>
      <c r="M114">
        <v>112</v>
      </c>
      <c r="N114">
        <f t="shared" ref="N114:O114" si="440">N113</f>
        <v>106.66666666666667</v>
      </c>
      <c r="O114">
        <f t="shared" si="440"/>
        <v>4.9888765156985881</v>
      </c>
      <c r="P114">
        <v>168</v>
      </c>
      <c r="Q114">
        <v>0.66</v>
      </c>
      <c r="R114" t="s">
        <v>20</v>
      </c>
      <c r="S114">
        <v>0.65</v>
      </c>
      <c r="T114" t="s">
        <v>20</v>
      </c>
      <c r="U114" t="s">
        <v>20</v>
      </c>
    </row>
    <row r="115" spans="1:21" x14ac:dyDescent="0.25">
      <c r="A115" t="s">
        <v>356</v>
      </c>
      <c r="B115" s="4" t="s">
        <v>94</v>
      </c>
      <c r="C115" s="1">
        <v>4</v>
      </c>
      <c r="D115">
        <v>40</v>
      </c>
      <c r="E115">
        <v>3</v>
      </c>
      <c r="F115">
        <v>16</v>
      </c>
      <c r="G115">
        <v>115</v>
      </c>
      <c r="H115">
        <f t="shared" ref="H115:I115" si="441">H113</f>
        <v>113</v>
      </c>
      <c r="I115">
        <f t="shared" si="441"/>
        <v>3.5590260840104371</v>
      </c>
      <c r="J115">
        <v>1</v>
      </c>
      <c r="K115">
        <f t="shared" ref="K115:L115" si="442">K113</f>
        <v>2.3333333333333335</v>
      </c>
      <c r="L115">
        <f t="shared" si="442"/>
        <v>1.247219128924647</v>
      </c>
      <c r="M115">
        <v>100</v>
      </c>
      <c r="N115">
        <f t="shared" ref="N115:O115" si="443">N113</f>
        <v>106.66666666666667</v>
      </c>
      <c r="O115">
        <f t="shared" si="443"/>
        <v>4.9888765156985881</v>
      </c>
      <c r="P115">
        <v>186</v>
      </c>
      <c r="Q115">
        <v>0.62</v>
      </c>
      <c r="R115" t="s">
        <v>20</v>
      </c>
      <c r="S115">
        <v>0.48</v>
      </c>
      <c r="T115" t="s">
        <v>20</v>
      </c>
      <c r="U115" t="s">
        <v>20</v>
      </c>
    </row>
    <row r="116" spans="1:21" x14ac:dyDescent="0.25">
      <c r="A116" t="s">
        <v>357</v>
      </c>
      <c r="B116" s="4" t="s">
        <v>94</v>
      </c>
      <c r="C116" s="1">
        <v>4</v>
      </c>
      <c r="D116">
        <v>40</v>
      </c>
      <c r="E116">
        <v>1</v>
      </c>
      <c r="F116">
        <v>2</v>
      </c>
      <c r="G116">
        <v>116</v>
      </c>
      <c r="H116">
        <f t="shared" ref="H116" si="444">AVERAGE(G116:G118)</f>
        <v>116</v>
      </c>
      <c r="I116">
        <f t="shared" ref="I116" si="445">_xlfn.STDEV.P(G116:G118)</f>
        <v>0</v>
      </c>
      <c r="J116">
        <v>0</v>
      </c>
      <c r="K116">
        <f t="shared" ref="K116" si="446">AVERAGE(J116:J118)</f>
        <v>0</v>
      </c>
      <c r="L116">
        <f t="shared" ref="L116" si="447">_xlfn.STDEV.P(J116:J118)</f>
        <v>0</v>
      </c>
      <c r="M116">
        <v>95</v>
      </c>
      <c r="N116">
        <f t="shared" ref="N116" si="448">AVERAGE(M116:M118)</f>
        <v>91</v>
      </c>
      <c r="O116">
        <f t="shared" ref="O116" si="449">_xlfn.STDEV.P(M116:M118)</f>
        <v>4</v>
      </c>
      <c r="P116">
        <v>180</v>
      </c>
      <c r="Q116">
        <v>0.52</v>
      </c>
      <c r="R116" t="s">
        <v>20</v>
      </c>
      <c r="S116">
        <v>0.7</v>
      </c>
      <c r="T116" t="s">
        <v>20</v>
      </c>
      <c r="U116" t="s">
        <v>20</v>
      </c>
    </row>
    <row r="117" spans="1:21" x14ac:dyDescent="0.25">
      <c r="A117" t="s">
        <v>357</v>
      </c>
      <c r="B117" s="4" t="s">
        <v>94</v>
      </c>
      <c r="C117" s="1">
        <v>4</v>
      </c>
      <c r="D117">
        <v>40</v>
      </c>
      <c r="E117">
        <v>2</v>
      </c>
      <c r="F117">
        <v>2</v>
      </c>
      <c r="G117">
        <v>116</v>
      </c>
      <c r="H117">
        <f t="shared" ref="H117:I117" si="450">H116</f>
        <v>116</v>
      </c>
      <c r="I117">
        <f t="shared" si="450"/>
        <v>0</v>
      </c>
      <c r="J117">
        <v>0</v>
      </c>
      <c r="K117">
        <f t="shared" ref="K117:L117" si="451">K116</f>
        <v>0</v>
      </c>
      <c r="L117">
        <f t="shared" si="451"/>
        <v>0</v>
      </c>
      <c r="M117">
        <v>87</v>
      </c>
      <c r="N117">
        <f t="shared" ref="N117:O117" si="452">N116</f>
        <v>91</v>
      </c>
      <c r="O117">
        <f t="shared" si="452"/>
        <v>4</v>
      </c>
      <c r="Q117">
        <v>0.49</v>
      </c>
      <c r="R117" t="s">
        <v>20</v>
      </c>
      <c r="S117">
        <v>0.25</v>
      </c>
      <c r="T117" t="s">
        <v>20</v>
      </c>
      <c r="U117" t="s">
        <v>20</v>
      </c>
    </row>
    <row r="118" spans="1:21" x14ac:dyDescent="0.25">
      <c r="A118" t="s">
        <v>357</v>
      </c>
      <c r="B118" s="4" t="s">
        <v>94</v>
      </c>
      <c r="C118" s="1">
        <v>4</v>
      </c>
      <c r="D118">
        <v>40</v>
      </c>
      <c r="E118">
        <v>3</v>
      </c>
      <c r="F118">
        <v>4</v>
      </c>
      <c r="G118" t="s">
        <v>20</v>
      </c>
      <c r="H118">
        <f t="shared" ref="H118:I118" si="453">H116</f>
        <v>116</v>
      </c>
      <c r="I118">
        <f t="shared" si="453"/>
        <v>0</v>
      </c>
      <c r="J118" t="s">
        <v>20</v>
      </c>
      <c r="K118">
        <f t="shared" ref="K118:L118" si="454">K116</f>
        <v>0</v>
      </c>
      <c r="L118">
        <f t="shared" si="454"/>
        <v>0</v>
      </c>
      <c r="M118" t="s">
        <v>20</v>
      </c>
      <c r="N118">
        <f t="shared" ref="N118:O118" si="455">N116</f>
        <v>91</v>
      </c>
      <c r="O118">
        <f t="shared" si="455"/>
        <v>4</v>
      </c>
      <c r="Q118" t="s">
        <v>20</v>
      </c>
      <c r="R118" t="s">
        <v>20</v>
      </c>
      <c r="S118" t="s">
        <v>20</v>
      </c>
      <c r="T118" t="s">
        <v>20</v>
      </c>
      <c r="U118" t="s">
        <v>20</v>
      </c>
    </row>
    <row r="119" spans="1:21" x14ac:dyDescent="0.25">
      <c r="A119" t="s">
        <v>358</v>
      </c>
      <c r="B119" s="4" t="s">
        <v>94</v>
      </c>
      <c r="C119" s="1">
        <v>4</v>
      </c>
      <c r="D119">
        <v>40</v>
      </c>
      <c r="E119">
        <v>1</v>
      </c>
      <c r="F119">
        <v>36</v>
      </c>
      <c r="G119">
        <v>100</v>
      </c>
      <c r="H119">
        <f t="shared" ref="H119" si="456">AVERAGE(G119:G121)</f>
        <v>101</v>
      </c>
      <c r="I119">
        <f t="shared" ref="I119" si="457">_xlfn.STDEV.P(G119:G121)</f>
        <v>0.81649658092772603</v>
      </c>
      <c r="J119">
        <v>1</v>
      </c>
      <c r="K119">
        <f t="shared" ref="K119" si="458">AVERAGE(J119:J121)</f>
        <v>1</v>
      </c>
      <c r="L119">
        <f t="shared" ref="L119" si="459">_xlfn.STDEV.P(J119:J121)</f>
        <v>0</v>
      </c>
      <c r="M119">
        <v>100</v>
      </c>
      <c r="N119">
        <f t="shared" ref="N119" si="460">AVERAGE(M119:M121)</f>
        <v>102.33333333333333</v>
      </c>
      <c r="O119">
        <f t="shared" ref="O119" si="461">_xlfn.STDEV.P(M119:M121)</f>
        <v>3.2998316455372216</v>
      </c>
      <c r="P119">
        <v>153</v>
      </c>
      <c r="Q119">
        <v>0.6</v>
      </c>
      <c r="R119">
        <v>91.8</v>
      </c>
      <c r="S119">
        <v>0.64</v>
      </c>
      <c r="T119">
        <v>97.92</v>
      </c>
      <c r="U119">
        <v>12.05</v>
      </c>
    </row>
    <row r="120" spans="1:21" x14ac:dyDescent="0.25">
      <c r="A120" t="s">
        <v>358</v>
      </c>
      <c r="B120" s="4" t="s">
        <v>94</v>
      </c>
      <c r="C120" s="1">
        <v>4</v>
      </c>
      <c r="D120">
        <v>40</v>
      </c>
      <c r="E120">
        <v>2</v>
      </c>
      <c r="F120">
        <v>42</v>
      </c>
      <c r="G120">
        <v>101</v>
      </c>
      <c r="H120">
        <f t="shared" ref="H120:I120" si="462">H119</f>
        <v>101</v>
      </c>
      <c r="I120">
        <f t="shared" si="462"/>
        <v>0.81649658092772603</v>
      </c>
      <c r="J120">
        <v>1</v>
      </c>
      <c r="K120">
        <f t="shared" ref="K120:L120" si="463">K119</f>
        <v>1</v>
      </c>
      <c r="L120">
        <f t="shared" si="463"/>
        <v>0</v>
      </c>
      <c r="M120">
        <v>107</v>
      </c>
      <c r="N120">
        <f t="shared" ref="N120:O120" si="464">N119</f>
        <v>102.33333333333333</v>
      </c>
      <c r="O120">
        <f t="shared" si="464"/>
        <v>3.2998316455372216</v>
      </c>
      <c r="P120">
        <v>159</v>
      </c>
      <c r="Q120">
        <v>0.67</v>
      </c>
      <c r="R120">
        <v>106.53</v>
      </c>
      <c r="S120">
        <v>0.64</v>
      </c>
      <c r="T120">
        <v>101.76</v>
      </c>
      <c r="U120">
        <v>14.1</v>
      </c>
    </row>
    <row r="121" spans="1:21" x14ac:dyDescent="0.25">
      <c r="A121" t="s">
        <v>358</v>
      </c>
      <c r="B121" s="4" t="s">
        <v>94</v>
      </c>
      <c r="C121" s="1">
        <v>4</v>
      </c>
      <c r="D121">
        <v>40</v>
      </c>
      <c r="E121">
        <v>3</v>
      </c>
      <c r="F121">
        <v>32</v>
      </c>
      <c r="G121">
        <v>102</v>
      </c>
      <c r="H121">
        <f t="shared" ref="H121:I121" si="465">H119</f>
        <v>101</v>
      </c>
      <c r="I121">
        <f t="shared" si="465"/>
        <v>0.81649658092772603</v>
      </c>
      <c r="J121">
        <v>1</v>
      </c>
      <c r="K121">
        <f t="shared" ref="K121:L121" si="466">K119</f>
        <v>1</v>
      </c>
      <c r="L121">
        <f t="shared" si="466"/>
        <v>0</v>
      </c>
      <c r="M121">
        <v>100</v>
      </c>
      <c r="N121">
        <f t="shared" ref="N121:O121" si="467">N119</f>
        <v>102.33333333333333</v>
      </c>
      <c r="O121">
        <f t="shared" si="467"/>
        <v>3.2998316455372216</v>
      </c>
      <c r="P121">
        <v>155</v>
      </c>
      <c r="Q121">
        <v>0.6</v>
      </c>
      <c r="R121">
        <v>93</v>
      </c>
      <c r="S121">
        <v>0.67</v>
      </c>
      <c r="T121">
        <v>103.85000000000001</v>
      </c>
      <c r="U121" t="s">
        <v>20</v>
      </c>
    </row>
    <row r="122" spans="1:21" x14ac:dyDescent="0.25">
      <c r="A122" t="s">
        <v>359</v>
      </c>
      <c r="B122" s="4" t="s">
        <v>94</v>
      </c>
      <c r="C122" s="1">
        <v>4</v>
      </c>
      <c r="D122">
        <v>40</v>
      </c>
      <c r="E122">
        <v>1</v>
      </c>
      <c r="F122">
        <v>24</v>
      </c>
      <c r="G122">
        <v>112</v>
      </c>
      <c r="H122">
        <f t="shared" ref="H122" si="468">AVERAGE(G122:G124)</f>
        <v>108</v>
      </c>
      <c r="I122">
        <f t="shared" ref="I122" si="469">_xlfn.STDEV.P(G122:G124)</f>
        <v>3.7416573867739413</v>
      </c>
      <c r="J122">
        <v>2</v>
      </c>
      <c r="K122">
        <f t="shared" ref="K122" si="470">AVERAGE(J122:J124)</f>
        <v>1.6666666666666667</v>
      </c>
      <c r="L122">
        <f t="shared" ref="L122" si="471">_xlfn.STDEV.P(J122:J124)</f>
        <v>0.47140452079103168</v>
      </c>
      <c r="M122">
        <v>109</v>
      </c>
      <c r="N122">
        <f t="shared" ref="N122" si="472">AVERAGE(M122:M124)</f>
        <v>115.33333333333333</v>
      </c>
      <c r="O122">
        <f t="shared" ref="O122" si="473">_xlfn.STDEV.P(M122:M124)</f>
        <v>4.9216076867444665</v>
      </c>
      <c r="P122">
        <v>166</v>
      </c>
      <c r="Q122">
        <v>0.69</v>
      </c>
      <c r="R122">
        <v>114.53999999999999</v>
      </c>
      <c r="S122">
        <v>0.73</v>
      </c>
      <c r="T122">
        <v>121.17999999999999</v>
      </c>
      <c r="U122">
        <v>14.27</v>
      </c>
    </row>
    <row r="123" spans="1:21" x14ac:dyDescent="0.25">
      <c r="A123" t="s">
        <v>359</v>
      </c>
      <c r="B123" s="4" t="s">
        <v>94</v>
      </c>
      <c r="C123" s="1">
        <v>4</v>
      </c>
      <c r="D123">
        <v>40</v>
      </c>
      <c r="E123">
        <v>2</v>
      </c>
      <c r="F123">
        <v>28</v>
      </c>
      <c r="G123">
        <v>109</v>
      </c>
      <c r="H123">
        <f t="shared" ref="H123:I123" si="474">H122</f>
        <v>108</v>
      </c>
      <c r="I123">
        <f t="shared" si="474"/>
        <v>3.7416573867739413</v>
      </c>
      <c r="J123">
        <v>1</v>
      </c>
      <c r="K123">
        <f t="shared" ref="K123:L123" si="475">K122</f>
        <v>1.6666666666666667</v>
      </c>
      <c r="L123">
        <f t="shared" si="475"/>
        <v>0.47140452079103168</v>
      </c>
      <c r="M123">
        <v>116</v>
      </c>
      <c r="N123">
        <f t="shared" ref="N123:O123" si="476">N122</f>
        <v>115.33333333333333</v>
      </c>
      <c r="O123">
        <f t="shared" si="476"/>
        <v>4.9216076867444665</v>
      </c>
      <c r="P123">
        <v>166</v>
      </c>
      <c r="Q123">
        <v>0.62</v>
      </c>
      <c r="R123">
        <v>102.92</v>
      </c>
      <c r="S123">
        <v>0.63</v>
      </c>
      <c r="T123">
        <v>104.58</v>
      </c>
      <c r="U123" t="s">
        <v>20</v>
      </c>
    </row>
    <row r="124" spans="1:21" x14ac:dyDescent="0.25">
      <c r="A124" t="s">
        <v>359</v>
      </c>
      <c r="B124" s="4" t="s">
        <v>94</v>
      </c>
      <c r="C124" s="1">
        <v>4</v>
      </c>
      <c r="D124">
        <v>40</v>
      </c>
      <c r="E124">
        <v>3</v>
      </c>
      <c r="F124">
        <v>26</v>
      </c>
      <c r="G124">
        <v>103</v>
      </c>
      <c r="H124">
        <f t="shared" ref="H124:I124" si="477">H122</f>
        <v>108</v>
      </c>
      <c r="I124">
        <f t="shared" si="477"/>
        <v>3.7416573867739413</v>
      </c>
      <c r="J124">
        <v>2</v>
      </c>
      <c r="K124">
        <f t="shared" ref="K124:L124" si="478">K122</f>
        <v>1.6666666666666667</v>
      </c>
      <c r="L124">
        <f t="shared" si="478"/>
        <v>0.47140452079103168</v>
      </c>
      <c r="M124">
        <v>121</v>
      </c>
      <c r="N124">
        <f t="shared" ref="N124:O124" si="479">N122</f>
        <v>115.33333333333333</v>
      </c>
      <c r="O124">
        <f t="shared" si="479"/>
        <v>4.9216076867444665</v>
      </c>
      <c r="P124">
        <v>155</v>
      </c>
      <c r="Q124">
        <v>0.75</v>
      </c>
      <c r="R124">
        <v>116.25</v>
      </c>
      <c r="S124">
        <v>0.66</v>
      </c>
      <c r="T124">
        <v>102.30000000000001</v>
      </c>
      <c r="U124" t="s">
        <v>20</v>
      </c>
    </row>
    <row r="125" spans="1:21" x14ac:dyDescent="0.25">
      <c r="A125" t="s">
        <v>360</v>
      </c>
      <c r="B125" s="4" t="s">
        <v>94</v>
      </c>
      <c r="C125" s="1">
        <v>4</v>
      </c>
      <c r="D125">
        <v>40</v>
      </c>
      <c r="E125">
        <v>1</v>
      </c>
      <c r="F125">
        <v>28</v>
      </c>
      <c r="G125">
        <v>112</v>
      </c>
      <c r="H125">
        <f t="shared" ref="H125" si="480">AVERAGE(G125:G127)</f>
        <v>110.33333333333333</v>
      </c>
      <c r="I125">
        <f t="shared" ref="I125" si="481">_xlfn.STDEV.P(G125:G127)</f>
        <v>3.0912061651652345</v>
      </c>
      <c r="J125">
        <v>2</v>
      </c>
      <c r="K125">
        <f t="shared" ref="K125" si="482">AVERAGE(J125:J127)</f>
        <v>1.6666666666666667</v>
      </c>
      <c r="L125">
        <f t="shared" ref="L125" si="483">_xlfn.STDEV.P(J125:J127)</f>
        <v>0.47140452079103168</v>
      </c>
      <c r="M125">
        <v>113</v>
      </c>
      <c r="N125">
        <f t="shared" ref="N125" si="484">AVERAGE(M125:M127)</f>
        <v>104.66666666666667</v>
      </c>
      <c r="O125">
        <f t="shared" ref="O125" si="485">_xlfn.STDEV.P(M125:M127)</f>
        <v>6.9442222186665532</v>
      </c>
      <c r="P125">
        <v>168</v>
      </c>
      <c r="Q125">
        <v>0.7</v>
      </c>
      <c r="R125">
        <v>117.6</v>
      </c>
      <c r="S125">
        <v>0.65</v>
      </c>
      <c r="T125">
        <v>109.2</v>
      </c>
      <c r="U125">
        <v>15.3</v>
      </c>
    </row>
    <row r="126" spans="1:21" x14ac:dyDescent="0.25">
      <c r="A126" t="s">
        <v>360</v>
      </c>
      <c r="B126" s="4" t="s">
        <v>94</v>
      </c>
      <c r="C126" s="1">
        <v>4</v>
      </c>
      <c r="D126">
        <v>40</v>
      </c>
      <c r="E126">
        <v>2</v>
      </c>
      <c r="F126">
        <v>36</v>
      </c>
      <c r="G126">
        <v>106</v>
      </c>
      <c r="H126">
        <f t="shared" ref="H126:I126" si="486">H125</f>
        <v>110.33333333333333</v>
      </c>
      <c r="I126">
        <f t="shared" si="486"/>
        <v>3.0912061651652345</v>
      </c>
      <c r="J126">
        <v>2</v>
      </c>
      <c r="K126">
        <f t="shared" ref="K126:L126" si="487">K125</f>
        <v>1.6666666666666667</v>
      </c>
      <c r="L126">
        <f t="shared" si="487"/>
        <v>0.47140452079103168</v>
      </c>
      <c r="M126">
        <v>96</v>
      </c>
      <c r="N126">
        <f t="shared" ref="N126:O126" si="488">N125</f>
        <v>104.66666666666667</v>
      </c>
      <c r="O126">
        <f t="shared" si="488"/>
        <v>6.9442222186665532</v>
      </c>
      <c r="P126">
        <v>181</v>
      </c>
      <c r="Q126">
        <v>0.59</v>
      </c>
      <c r="R126">
        <v>106.78999999999999</v>
      </c>
      <c r="S126">
        <v>0.75</v>
      </c>
      <c r="T126">
        <v>135.75</v>
      </c>
      <c r="U126" t="s">
        <v>20</v>
      </c>
    </row>
    <row r="127" spans="1:21" x14ac:dyDescent="0.25">
      <c r="A127" t="s">
        <v>360</v>
      </c>
      <c r="B127" s="4" t="s">
        <v>94</v>
      </c>
      <c r="C127" s="1">
        <v>4</v>
      </c>
      <c r="D127">
        <v>40</v>
      </c>
      <c r="E127">
        <v>3</v>
      </c>
      <c r="F127">
        <v>48</v>
      </c>
      <c r="G127">
        <v>113</v>
      </c>
      <c r="H127">
        <f t="shared" ref="H127:I127" si="489">H125</f>
        <v>110.33333333333333</v>
      </c>
      <c r="I127">
        <f t="shared" si="489"/>
        <v>3.0912061651652345</v>
      </c>
      <c r="J127">
        <v>1</v>
      </c>
      <c r="K127">
        <f t="shared" ref="K127:L127" si="490">K125</f>
        <v>1.6666666666666667</v>
      </c>
      <c r="L127">
        <f t="shared" si="490"/>
        <v>0.47140452079103168</v>
      </c>
      <c r="M127">
        <v>105</v>
      </c>
      <c r="N127">
        <f t="shared" ref="N127:O127" si="491">N125</f>
        <v>104.66666666666667</v>
      </c>
      <c r="O127">
        <f t="shared" si="491"/>
        <v>6.9442222186665532</v>
      </c>
      <c r="P127">
        <v>167</v>
      </c>
      <c r="Q127">
        <v>0.67</v>
      </c>
      <c r="R127">
        <v>111.89</v>
      </c>
      <c r="S127">
        <v>0.72</v>
      </c>
      <c r="T127">
        <v>120.24</v>
      </c>
      <c r="U127" t="s">
        <v>20</v>
      </c>
    </row>
    <row r="128" spans="1:21" x14ac:dyDescent="0.25">
      <c r="A128" t="s">
        <v>361</v>
      </c>
      <c r="B128" s="4" t="s">
        <v>94</v>
      </c>
      <c r="C128" s="1">
        <v>5</v>
      </c>
      <c r="D128">
        <v>40</v>
      </c>
      <c r="E128">
        <v>1</v>
      </c>
      <c r="F128" t="s">
        <v>20</v>
      </c>
      <c r="G128">
        <v>109</v>
      </c>
      <c r="H128">
        <f t="shared" ref="H128" si="492">AVERAGE(G128:G130)</f>
        <v>106.5</v>
      </c>
      <c r="I128">
        <f t="shared" ref="I128" si="493">_xlfn.STDEV.P(G128:G130)</f>
        <v>2.5</v>
      </c>
      <c r="J128">
        <v>1</v>
      </c>
      <c r="K128">
        <f t="shared" ref="K128" si="494">AVERAGE(J128:J130)</f>
        <v>1</v>
      </c>
      <c r="L128">
        <f t="shared" ref="L128" si="495">_xlfn.STDEV.P(J128:J130)</f>
        <v>0</v>
      </c>
      <c r="M128">
        <v>110</v>
      </c>
      <c r="N128">
        <f t="shared" ref="N128" si="496">AVERAGE(M128:M130)</f>
        <v>105</v>
      </c>
      <c r="O128">
        <f t="shared" ref="O128" si="497">_xlfn.STDEV.P(M128:M130)</f>
        <v>5</v>
      </c>
      <c r="P128">
        <v>166</v>
      </c>
      <c r="Q128">
        <v>0.6</v>
      </c>
      <c r="R128" t="s">
        <v>20</v>
      </c>
      <c r="S128">
        <v>0.67</v>
      </c>
      <c r="T128" t="s">
        <v>20</v>
      </c>
      <c r="U128" t="s">
        <v>20</v>
      </c>
    </row>
    <row r="129" spans="1:21" x14ac:dyDescent="0.25">
      <c r="A129" t="s">
        <v>361</v>
      </c>
      <c r="B129" s="4" t="s">
        <v>94</v>
      </c>
      <c r="C129" s="1">
        <v>5</v>
      </c>
      <c r="D129">
        <v>40</v>
      </c>
      <c r="E129">
        <v>2</v>
      </c>
      <c r="F129">
        <v>4</v>
      </c>
      <c r="G129">
        <v>104</v>
      </c>
      <c r="H129">
        <f t="shared" ref="H129:I129" si="498">H128</f>
        <v>106.5</v>
      </c>
      <c r="I129">
        <f t="shared" si="498"/>
        <v>2.5</v>
      </c>
      <c r="J129">
        <v>1</v>
      </c>
      <c r="K129">
        <f t="shared" ref="K129:L129" si="499">K128</f>
        <v>1</v>
      </c>
      <c r="L129">
        <f t="shared" si="499"/>
        <v>0</v>
      </c>
      <c r="M129">
        <v>100</v>
      </c>
      <c r="N129">
        <f t="shared" ref="N129:O129" si="500">N128</f>
        <v>105</v>
      </c>
      <c r="O129">
        <f t="shared" si="500"/>
        <v>5</v>
      </c>
      <c r="P129">
        <v>162</v>
      </c>
      <c r="Q129">
        <v>0.61</v>
      </c>
      <c r="R129" t="s">
        <v>20</v>
      </c>
      <c r="S129">
        <v>0.6</v>
      </c>
      <c r="T129" t="s">
        <v>20</v>
      </c>
      <c r="U129" t="s">
        <v>20</v>
      </c>
    </row>
    <row r="130" spans="1:21" x14ac:dyDescent="0.25">
      <c r="A130" t="s">
        <v>361</v>
      </c>
      <c r="B130" s="4" t="s">
        <v>94</v>
      </c>
      <c r="C130" s="1">
        <v>5</v>
      </c>
      <c r="D130">
        <v>40</v>
      </c>
      <c r="E130">
        <v>3</v>
      </c>
      <c r="F130">
        <v>12</v>
      </c>
      <c r="G130" t="s">
        <v>20</v>
      </c>
      <c r="H130">
        <f t="shared" ref="H130:I130" si="501">H128</f>
        <v>106.5</v>
      </c>
      <c r="I130">
        <f t="shared" si="501"/>
        <v>2.5</v>
      </c>
      <c r="J130" t="s">
        <v>20</v>
      </c>
      <c r="K130">
        <f t="shared" ref="K130:L130" si="502">K128</f>
        <v>1</v>
      </c>
      <c r="L130">
        <f t="shared" si="502"/>
        <v>0</v>
      </c>
      <c r="M130" t="s">
        <v>20</v>
      </c>
      <c r="N130">
        <f t="shared" ref="N130:O130" si="503">N128</f>
        <v>105</v>
      </c>
      <c r="O130">
        <f t="shared" si="503"/>
        <v>5</v>
      </c>
      <c r="Q130" t="s">
        <v>20</v>
      </c>
      <c r="R130" t="s">
        <v>20</v>
      </c>
      <c r="S130" t="s">
        <v>20</v>
      </c>
      <c r="T130" t="s">
        <v>20</v>
      </c>
      <c r="U130" t="s">
        <v>20</v>
      </c>
    </row>
    <row r="131" spans="1:21" x14ac:dyDescent="0.25">
      <c r="A131" t="s">
        <v>362</v>
      </c>
      <c r="B131" s="4" t="s">
        <v>94</v>
      </c>
      <c r="C131" s="1">
        <v>4</v>
      </c>
      <c r="D131">
        <v>40</v>
      </c>
      <c r="E131">
        <v>1</v>
      </c>
      <c r="F131">
        <v>32</v>
      </c>
      <c r="G131">
        <v>104</v>
      </c>
      <c r="H131">
        <f t="shared" ref="H131" si="504">AVERAGE(G131:G133)</f>
        <v>106.66666666666667</v>
      </c>
      <c r="I131">
        <f t="shared" ref="I131" si="505">_xlfn.STDEV.P(G131:G133)</f>
        <v>3.7712361663282534</v>
      </c>
      <c r="J131">
        <v>0</v>
      </c>
      <c r="K131">
        <f t="shared" ref="K131" si="506">AVERAGE(J131:J133)</f>
        <v>0.33333333333333331</v>
      </c>
      <c r="L131">
        <f t="shared" ref="L131" si="507">_xlfn.STDEV.P(J131:J133)</f>
        <v>0.47140452079103168</v>
      </c>
      <c r="M131">
        <v>110</v>
      </c>
      <c r="N131">
        <f t="shared" ref="N131" si="508">AVERAGE(M131:M133)</f>
        <v>112.33333333333333</v>
      </c>
      <c r="O131">
        <f t="shared" ref="O131" si="509">_xlfn.STDEV.P(M131:M133)</f>
        <v>3.2998316455372216</v>
      </c>
      <c r="P131">
        <v>183</v>
      </c>
      <c r="Q131">
        <v>0.57999999999999996</v>
      </c>
      <c r="R131">
        <v>106.13999999999999</v>
      </c>
      <c r="S131">
        <v>0.65</v>
      </c>
      <c r="T131">
        <v>118.95</v>
      </c>
      <c r="U131">
        <v>13.46</v>
      </c>
    </row>
    <row r="132" spans="1:21" x14ac:dyDescent="0.25">
      <c r="A132" t="s">
        <v>362</v>
      </c>
      <c r="B132" s="4" t="s">
        <v>94</v>
      </c>
      <c r="C132" s="1">
        <v>4</v>
      </c>
      <c r="D132">
        <v>40</v>
      </c>
      <c r="E132">
        <v>2</v>
      </c>
      <c r="F132">
        <v>28</v>
      </c>
      <c r="G132">
        <v>112</v>
      </c>
      <c r="H132">
        <f t="shared" ref="H132:I132" si="510">H131</f>
        <v>106.66666666666667</v>
      </c>
      <c r="I132">
        <f t="shared" si="510"/>
        <v>3.7712361663282534</v>
      </c>
      <c r="J132">
        <v>0</v>
      </c>
      <c r="K132">
        <f t="shared" ref="K132:L132" si="511">K131</f>
        <v>0.33333333333333331</v>
      </c>
      <c r="L132">
        <f t="shared" si="511"/>
        <v>0.47140452079103168</v>
      </c>
      <c r="M132">
        <v>110</v>
      </c>
      <c r="N132">
        <f t="shared" ref="N132:O132" si="512">N131</f>
        <v>112.33333333333333</v>
      </c>
      <c r="O132">
        <f t="shared" si="512"/>
        <v>3.2998316455372216</v>
      </c>
      <c r="P132">
        <v>187</v>
      </c>
      <c r="Q132">
        <v>0.53</v>
      </c>
      <c r="R132">
        <v>99.11</v>
      </c>
      <c r="S132">
        <v>0.66</v>
      </c>
      <c r="T132">
        <v>123.42</v>
      </c>
      <c r="U132" t="s">
        <v>20</v>
      </c>
    </row>
    <row r="133" spans="1:21" x14ac:dyDescent="0.25">
      <c r="A133" t="s">
        <v>362</v>
      </c>
      <c r="B133" s="4" t="s">
        <v>94</v>
      </c>
      <c r="C133" s="1">
        <v>4</v>
      </c>
      <c r="D133">
        <v>40</v>
      </c>
      <c r="E133">
        <v>3</v>
      </c>
      <c r="F133">
        <v>22</v>
      </c>
      <c r="G133">
        <v>104</v>
      </c>
      <c r="H133">
        <f t="shared" ref="H133:I133" si="513">H131</f>
        <v>106.66666666666667</v>
      </c>
      <c r="I133">
        <f t="shared" si="513"/>
        <v>3.7712361663282534</v>
      </c>
      <c r="J133">
        <v>1</v>
      </c>
      <c r="K133">
        <f t="shared" ref="K133:L133" si="514">K131</f>
        <v>0.33333333333333331</v>
      </c>
      <c r="L133">
        <f t="shared" si="514"/>
        <v>0.47140452079103168</v>
      </c>
      <c r="M133">
        <v>117</v>
      </c>
      <c r="N133">
        <f t="shared" ref="N133:O133" si="515">N131</f>
        <v>112.33333333333333</v>
      </c>
      <c r="O133">
        <f t="shared" si="515"/>
        <v>3.2998316455372216</v>
      </c>
      <c r="P133">
        <v>159</v>
      </c>
      <c r="Q133">
        <v>0.67</v>
      </c>
      <c r="R133">
        <v>106.53</v>
      </c>
      <c r="S133">
        <v>0.52</v>
      </c>
      <c r="T133">
        <v>82.68</v>
      </c>
      <c r="U133" t="s">
        <v>20</v>
      </c>
    </row>
    <row r="134" spans="1:21" x14ac:dyDescent="0.25">
      <c r="A134" t="s">
        <v>363</v>
      </c>
      <c r="B134" s="4" t="s">
        <v>94</v>
      </c>
      <c r="C134" s="1">
        <v>4</v>
      </c>
      <c r="D134">
        <v>40</v>
      </c>
      <c r="E134">
        <v>1</v>
      </c>
      <c r="F134">
        <v>36</v>
      </c>
      <c r="G134">
        <v>104</v>
      </c>
      <c r="H134">
        <f t="shared" ref="H134" si="516">AVERAGE(G134:G136)</f>
        <v>105.33333333333333</v>
      </c>
      <c r="I134">
        <f t="shared" ref="I134" si="517">_xlfn.STDEV.P(G134:G136)</f>
        <v>0.94280904158206336</v>
      </c>
      <c r="J134">
        <v>1</v>
      </c>
      <c r="K134">
        <f t="shared" ref="K134" si="518">AVERAGE(J134:J136)</f>
        <v>0.66666666666666663</v>
      </c>
      <c r="L134">
        <f t="shared" ref="L134" si="519">_xlfn.STDEV.P(J134:J136)</f>
        <v>0.47140452079103168</v>
      </c>
      <c r="M134">
        <v>92</v>
      </c>
      <c r="N134">
        <f t="shared" ref="N134" si="520">AVERAGE(M134:M136)</f>
        <v>93</v>
      </c>
      <c r="O134">
        <f t="shared" ref="O134" si="521">_xlfn.STDEV.P(M134:M136)</f>
        <v>5.3541261347363367</v>
      </c>
      <c r="P134">
        <v>156</v>
      </c>
      <c r="Q134">
        <v>0.64</v>
      </c>
      <c r="R134">
        <v>99.84</v>
      </c>
      <c r="S134">
        <v>0.7</v>
      </c>
      <c r="T134">
        <v>109.19999999999999</v>
      </c>
      <c r="U134">
        <v>13.88</v>
      </c>
    </row>
    <row r="135" spans="1:21" x14ac:dyDescent="0.25">
      <c r="A135" t="s">
        <v>363</v>
      </c>
      <c r="B135" s="4" t="s">
        <v>94</v>
      </c>
      <c r="C135" s="1">
        <v>4</v>
      </c>
      <c r="D135">
        <v>40</v>
      </c>
      <c r="E135">
        <v>2</v>
      </c>
      <c r="F135">
        <v>26</v>
      </c>
      <c r="G135">
        <v>106</v>
      </c>
      <c r="H135">
        <f t="shared" ref="H135:I135" si="522">H134</f>
        <v>105.33333333333333</v>
      </c>
      <c r="I135">
        <f t="shared" si="522"/>
        <v>0.94280904158206336</v>
      </c>
      <c r="J135">
        <v>1</v>
      </c>
      <c r="K135">
        <f t="shared" ref="K135:L135" si="523">K134</f>
        <v>0.66666666666666663</v>
      </c>
      <c r="L135">
        <f t="shared" si="523"/>
        <v>0.47140452079103168</v>
      </c>
      <c r="M135">
        <v>100</v>
      </c>
      <c r="N135">
        <f t="shared" ref="N135:O135" si="524">N134</f>
        <v>93</v>
      </c>
      <c r="O135">
        <f t="shared" si="524"/>
        <v>5.3541261347363367</v>
      </c>
      <c r="P135">
        <v>159</v>
      </c>
      <c r="Q135">
        <v>0.69</v>
      </c>
      <c r="R135">
        <v>109.71</v>
      </c>
      <c r="S135">
        <v>0.66</v>
      </c>
      <c r="T135">
        <v>104.94000000000001</v>
      </c>
      <c r="U135">
        <v>14.79</v>
      </c>
    </row>
    <row r="136" spans="1:21" x14ac:dyDescent="0.25">
      <c r="A136" t="s">
        <v>363</v>
      </c>
      <c r="B136" s="4" t="s">
        <v>94</v>
      </c>
      <c r="C136" s="1">
        <v>4</v>
      </c>
      <c r="D136">
        <v>40</v>
      </c>
      <c r="E136">
        <v>3</v>
      </c>
      <c r="F136">
        <v>36</v>
      </c>
      <c r="G136">
        <v>106</v>
      </c>
      <c r="H136">
        <f t="shared" ref="H136:I136" si="525">H134</f>
        <v>105.33333333333333</v>
      </c>
      <c r="I136">
        <f t="shared" si="525"/>
        <v>0.94280904158206336</v>
      </c>
      <c r="J136">
        <v>0</v>
      </c>
      <c r="K136">
        <f t="shared" ref="K136:L136" si="526">K134</f>
        <v>0.66666666666666663</v>
      </c>
      <c r="L136">
        <f t="shared" si="526"/>
        <v>0.47140452079103168</v>
      </c>
      <c r="M136">
        <v>87</v>
      </c>
      <c r="N136">
        <f t="shared" ref="N136:O136" si="527">N134</f>
        <v>93</v>
      </c>
      <c r="O136">
        <f t="shared" si="527"/>
        <v>5.3541261347363367</v>
      </c>
      <c r="P136">
        <v>162</v>
      </c>
      <c r="Q136">
        <v>0.67</v>
      </c>
      <c r="R136">
        <v>108.54</v>
      </c>
      <c r="S136">
        <v>0.56000000000000005</v>
      </c>
      <c r="T136">
        <v>90.720000000000013</v>
      </c>
      <c r="U136" t="s">
        <v>20</v>
      </c>
    </row>
    <row r="137" spans="1:21" x14ac:dyDescent="0.25">
      <c r="A137" t="s">
        <v>364</v>
      </c>
      <c r="B137" s="4" t="s">
        <v>94</v>
      </c>
      <c r="C137" s="1">
        <v>4</v>
      </c>
      <c r="D137">
        <v>40</v>
      </c>
      <c r="E137">
        <v>1</v>
      </c>
      <c r="F137">
        <v>36</v>
      </c>
      <c r="G137">
        <v>106</v>
      </c>
      <c r="H137">
        <f t="shared" ref="H137" si="528">AVERAGE(G137:G139)</f>
        <v>111</v>
      </c>
      <c r="I137">
        <f t="shared" ref="I137" si="529">_xlfn.STDEV.P(G137:G139)</f>
        <v>3.7416573867739413</v>
      </c>
      <c r="J137">
        <v>0</v>
      </c>
      <c r="K137">
        <f t="shared" ref="K137" si="530">AVERAGE(J137:J139)</f>
        <v>0.33333333333333331</v>
      </c>
      <c r="L137">
        <f t="shared" ref="L137" si="531">_xlfn.STDEV.P(J137:J139)</f>
        <v>0.47140452079103168</v>
      </c>
      <c r="M137">
        <v>100</v>
      </c>
      <c r="N137">
        <f t="shared" ref="N137" si="532">AVERAGE(M137:M139)</f>
        <v>106.66666666666667</v>
      </c>
      <c r="O137">
        <f t="shared" ref="O137" si="533">_xlfn.STDEV.P(M137:M139)</f>
        <v>4.7140452079103161</v>
      </c>
      <c r="P137">
        <v>166</v>
      </c>
      <c r="Q137">
        <v>0.64</v>
      </c>
      <c r="R137">
        <v>106.24000000000001</v>
      </c>
      <c r="S137">
        <v>0.8</v>
      </c>
      <c r="T137">
        <v>132.80000000000001</v>
      </c>
      <c r="U137">
        <v>15.89</v>
      </c>
    </row>
    <row r="138" spans="1:21" x14ac:dyDescent="0.25">
      <c r="A138" t="s">
        <v>364</v>
      </c>
      <c r="B138" s="4" t="s">
        <v>94</v>
      </c>
      <c r="C138" s="1">
        <v>4</v>
      </c>
      <c r="D138">
        <v>40</v>
      </c>
      <c r="E138">
        <v>2</v>
      </c>
      <c r="F138">
        <v>28</v>
      </c>
      <c r="G138">
        <v>112</v>
      </c>
      <c r="H138">
        <f t="shared" ref="H138:I138" si="534">H137</f>
        <v>111</v>
      </c>
      <c r="I138">
        <f t="shared" si="534"/>
        <v>3.7416573867739413</v>
      </c>
      <c r="J138">
        <v>0</v>
      </c>
      <c r="K138">
        <f t="shared" ref="K138:L138" si="535">K137</f>
        <v>0.33333333333333331</v>
      </c>
      <c r="L138">
        <f t="shared" si="535"/>
        <v>0.47140452079103168</v>
      </c>
      <c r="M138">
        <v>110</v>
      </c>
      <c r="N138">
        <f t="shared" ref="N138:O138" si="536">N137</f>
        <v>106.66666666666667</v>
      </c>
      <c r="O138">
        <f t="shared" si="536"/>
        <v>4.7140452079103161</v>
      </c>
      <c r="P138">
        <v>186</v>
      </c>
      <c r="Q138">
        <v>0.54</v>
      </c>
      <c r="R138">
        <v>100.44000000000001</v>
      </c>
      <c r="S138">
        <v>0.66</v>
      </c>
      <c r="T138">
        <v>122.76</v>
      </c>
      <c r="U138" t="s">
        <v>20</v>
      </c>
    </row>
    <row r="139" spans="1:21" x14ac:dyDescent="0.25">
      <c r="A139" t="s">
        <v>364</v>
      </c>
      <c r="B139" s="4" t="s">
        <v>94</v>
      </c>
      <c r="C139" s="1">
        <v>4</v>
      </c>
      <c r="D139">
        <v>40</v>
      </c>
      <c r="E139">
        <v>3</v>
      </c>
      <c r="F139">
        <v>40</v>
      </c>
      <c r="G139">
        <v>115</v>
      </c>
      <c r="H139">
        <f t="shared" ref="H139:I139" si="537">H137</f>
        <v>111</v>
      </c>
      <c r="I139">
        <f t="shared" si="537"/>
        <v>3.7416573867739413</v>
      </c>
      <c r="J139">
        <v>1</v>
      </c>
      <c r="K139">
        <f t="shared" ref="K139:L139" si="538">K137</f>
        <v>0.33333333333333331</v>
      </c>
      <c r="L139">
        <f t="shared" si="538"/>
        <v>0.47140452079103168</v>
      </c>
      <c r="M139">
        <v>110</v>
      </c>
      <c r="N139">
        <f t="shared" ref="N139:O139" si="539">N137</f>
        <v>106.66666666666667</v>
      </c>
      <c r="O139">
        <f t="shared" si="539"/>
        <v>4.7140452079103161</v>
      </c>
      <c r="P139">
        <v>186</v>
      </c>
      <c r="Q139">
        <v>0.53</v>
      </c>
      <c r="R139">
        <v>98.58</v>
      </c>
      <c r="S139">
        <v>0.46</v>
      </c>
      <c r="T139">
        <v>85.56</v>
      </c>
      <c r="U139" t="s">
        <v>20</v>
      </c>
    </row>
    <row r="140" spans="1:21" x14ac:dyDescent="0.25">
      <c r="A140" t="s">
        <v>365</v>
      </c>
      <c r="B140" s="4" t="s">
        <v>94</v>
      </c>
      <c r="C140" s="1">
        <v>4</v>
      </c>
      <c r="D140">
        <v>40</v>
      </c>
      <c r="E140">
        <v>1</v>
      </c>
      <c r="F140">
        <v>56</v>
      </c>
      <c r="G140">
        <v>123</v>
      </c>
      <c r="H140">
        <f t="shared" ref="H140" si="540">AVERAGE(G140:G142)</f>
        <v>122</v>
      </c>
      <c r="I140">
        <f t="shared" ref="I140" si="541">_xlfn.STDEV.P(G140:G142)</f>
        <v>0.81649658092772603</v>
      </c>
      <c r="J140">
        <v>1</v>
      </c>
      <c r="K140">
        <f t="shared" ref="K140" si="542">AVERAGE(J140:J142)</f>
        <v>1.3333333333333333</v>
      </c>
      <c r="L140">
        <f t="shared" ref="L140" si="543">_xlfn.STDEV.P(J140:J142)</f>
        <v>0.47140452079103168</v>
      </c>
      <c r="M140">
        <v>100</v>
      </c>
      <c r="N140">
        <f t="shared" ref="N140" si="544">AVERAGE(M140:M142)</f>
        <v>104</v>
      </c>
      <c r="O140">
        <f t="shared" ref="O140" si="545">_xlfn.STDEV.P(M140:M142)</f>
        <v>4.3204937989385739</v>
      </c>
      <c r="P140">
        <v>180</v>
      </c>
      <c r="Q140">
        <v>0.51</v>
      </c>
      <c r="R140">
        <v>91.8</v>
      </c>
      <c r="S140">
        <v>0.73</v>
      </c>
      <c r="T140">
        <v>131.4</v>
      </c>
      <c r="U140" t="s">
        <v>20</v>
      </c>
    </row>
    <row r="141" spans="1:21" x14ac:dyDescent="0.25">
      <c r="A141" t="s">
        <v>365</v>
      </c>
      <c r="B141" s="4" t="s">
        <v>94</v>
      </c>
      <c r="C141" s="1">
        <v>4</v>
      </c>
      <c r="D141">
        <v>40</v>
      </c>
      <c r="E141">
        <v>2</v>
      </c>
      <c r="F141" t="s">
        <v>20</v>
      </c>
      <c r="G141">
        <v>122</v>
      </c>
      <c r="H141">
        <f t="shared" ref="H141:I141" si="546">H140</f>
        <v>122</v>
      </c>
      <c r="I141">
        <f t="shared" si="546"/>
        <v>0.81649658092772603</v>
      </c>
      <c r="J141">
        <v>2</v>
      </c>
      <c r="K141">
        <f t="shared" ref="K141:L141" si="547">K140</f>
        <v>1.3333333333333333</v>
      </c>
      <c r="L141">
        <f t="shared" si="547"/>
        <v>0.47140452079103168</v>
      </c>
      <c r="M141">
        <v>110</v>
      </c>
      <c r="N141">
        <f t="shared" ref="N141:O141" si="548">N140</f>
        <v>104</v>
      </c>
      <c r="O141">
        <f t="shared" si="548"/>
        <v>4.3204937989385739</v>
      </c>
      <c r="P141">
        <v>181</v>
      </c>
      <c r="Q141">
        <v>0.47</v>
      </c>
      <c r="R141">
        <v>85.07</v>
      </c>
      <c r="S141">
        <v>0.65</v>
      </c>
      <c r="T141">
        <v>117.65</v>
      </c>
      <c r="U141" t="s">
        <v>20</v>
      </c>
    </row>
    <row r="142" spans="1:21" x14ac:dyDescent="0.25">
      <c r="A142" t="s">
        <v>365</v>
      </c>
      <c r="B142" s="4" t="s">
        <v>94</v>
      </c>
      <c r="C142" s="1">
        <v>4</v>
      </c>
      <c r="D142">
        <v>40</v>
      </c>
      <c r="E142">
        <v>3</v>
      </c>
      <c r="F142">
        <v>76</v>
      </c>
      <c r="G142">
        <v>121</v>
      </c>
      <c r="H142">
        <f t="shared" ref="H142:I142" si="549">H140</f>
        <v>122</v>
      </c>
      <c r="I142">
        <f t="shared" si="549"/>
        <v>0.81649658092772603</v>
      </c>
      <c r="J142">
        <v>1</v>
      </c>
      <c r="K142">
        <f t="shared" ref="K142:L142" si="550">K140</f>
        <v>1.3333333333333333</v>
      </c>
      <c r="L142">
        <f t="shared" si="550"/>
        <v>0.47140452079103168</v>
      </c>
      <c r="M142">
        <v>102</v>
      </c>
      <c r="N142">
        <f t="shared" ref="N142:O142" si="551">N140</f>
        <v>104</v>
      </c>
      <c r="O142">
        <f t="shared" si="551"/>
        <v>4.3204937989385739</v>
      </c>
      <c r="P142">
        <v>186</v>
      </c>
      <c r="Q142">
        <v>0.51</v>
      </c>
      <c r="R142">
        <v>94.86</v>
      </c>
      <c r="S142">
        <v>0.45</v>
      </c>
      <c r="T142">
        <v>83.7</v>
      </c>
      <c r="U142" t="s">
        <v>20</v>
      </c>
    </row>
    <row r="143" spans="1:21" x14ac:dyDescent="0.25">
      <c r="A143" t="s">
        <v>366</v>
      </c>
      <c r="B143" s="4" t="s">
        <v>94</v>
      </c>
      <c r="C143" s="1">
        <v>4</v>
      </c>
      <c r="D143">
        <v>40</v>
      </c>
      <c r="E143">
        <v>1</v>
      </c>
      <c r="F143">
        <v>26</v>
      </c>
      <c r="G143">
        <v>115</v>
      </c>
      <c r="H143">
        <f t="shared" ref="H143" si="552">AVERAGE(G143:G145)</f>
        <v>115.33333333333333</v>
      </c>
      <c r="I143">
        <f t="shared" ref="I143" si="553">_xlfn.STDEV.P(G143:G145)</f>
        <v>0.47140452079103168</v>
      </c>
      <c r="J143">
        <v>0</v>
      </c>
      <c r="K143">
        <f t="shared" ref="K143" si="554">AVERAGE(J143:J145)</f>
        <v>0.66666666666666663</v>
      </c>
      <c r="L143">
        <f t="shared" ref="L143" si="555">_xlfn.STDEV.P(J143:J145)</f>
        <v>0.47140452079103168</v>
      </c>
      <c r="M143">
        <v>103</v>
      </c>
      <c r="N143">
        <f t="shared" ref="N143" si="556">AVERAGE(M143:M145)</f>
        <v>107</v>
      </c>
      <c r="O143">
        <f t="shared" ref="O143" si="557">_xlfn.STDEV.P(M143:M145)</f>
        <v>3.7416573867739413</v>
      </c>
      <c r="P143">
        <v>168</v>
      </c>
      <c r="Q143">
        <v>0.66</v>
      </c>
      <c r="R143">
        <v>110.88000000000001</v>
      </c>
      <c r="S143">
        <v>0.65</v>
      </c>
      <c r="T143">
        <v>109.2</v>
      </c>
      <c r="U143">
        <v>19.260000000000002</v>
      </c>
    </row>
    <row r="144" spans="1:21" x14ac:dyDescent="0.25">
      <c r="A144" t="s">
        <v>366</v>
      </c>
      <c r="B144" s="4" t="s">
        <v>94</v>
      </c>
      <c r="C144" s="1">
        <v>4</v>
      </c>
      <c r="D144">
        <v>40</v>
      </c>
      <c r="E144">
        <v>2</v>
      </c>
      <c r="F144">
        <v>40</v>
      </c>
      <c r="G144">
        <v>116</v>
      </c>
      <c r="H144">
        <f t="shared" ref="H144:I144" si="558">H143</f>
        <v>115.33333333333333</v>
      </c>
      <c r="I144">
        <f t="shared" si="558"/>
        <v>0.47140452079103168</v>
      </c>
      <c r="J144">
        <v>1</v>
      </c>
      <c r="K144">
        <f t="shared" ref="K144:L144" si="559">K143</f>
        <v>0.66666666666666663</v>
      </c>
      <c r="L144">
        <f t="shared" si="559"/>
        <v>0.47140452079103168</v>
      </c>
      <c r="M144">
        <v>112</v>
      </c>
      <c r="N144">
        <f t="shared" ref="N144:O144" si="560">N143</f>
        <v>107</v>
      </c>
      <c r="O144">
        <f t="shared" si="560"/>
        <v>3.7416573867739413</v>
      </c>
      <c r="P144">
        <v>186</v>
      </c>
      <c r="Q144">
        <v>0.6</v>
      </c>
      <c r="R144">
        <v>111.6</v>
      </c>
      <c r="S144">
        <v>0.51</v>
      </c>
      <c r="T144">
        <v>94.86</v>
      </c>
      <c r="U144">
        <v>18.22</v>
      </c>
    </row>
    <row r="145" spans="1:21" x14ac:dyDescent="0.25">
      <c r="A145" t="s">
        <v>366</v>
      </c>
      <c r="B145" s="4" t="s">
        <v>94</v>
      </c>
      <c r="C145" s="1">
        <v>4</v>
      </c>
      <c r="D145">
        <v>40</v>
      </c>
      <c r="E145">
        <v>3</v>
      </c>
      <c r="F145">
        <v>26</v>
      </c>
      <c r="G145">
        <v>115</v>
      </c>
      <c r="H145">
        <f t="shared" ref="H145:I145" si="561">H143</f>
        <v>115.33333333333333</v>
      </c>
      <c r="I145">
        <f t="shared" si="561"/>
        <v>0.47140452079103168</v>
      </c>
      <c r="J145">
        <v>1</v>
      </c>
      <c r="K145">
        <f t="shared" ref="K145:L145" si="562">K143</f>
        <v>0.66666666666666663</v>
      </c>
      <c r="L145">
        <f t="shared" si="562"/>
        <v>0.47140452079103168</v>
      </c>
      <c r="M145">
        <v>106</v>
      </c>
      <c r="N145">
        <f t="shared" ref="N145:O145" si="563">N143</f>
        <v>107</v>
      </c>
      <c r="O145">
        <f t="shared" si="563"/>
        <v>3.7416573867739413</v>
      </c>
      <c r="P145">
        <v>177</v>
      </c>
      <c r="Q145">
        <v>0.52</v>
      </c>
      <c r="R145">
        <v>92.04</v>
      </c>
      <c r="S145">
        <v>0.38</v>
      </c>
      <c r="T145">
        <v>67.260000000000005</v>
      </c>
      <c r="U145" t="s">
        <v>20</v>
      </c>
    </row>
    <row r="146" spans="1:21" x14ac:dyDescent="0.25">
      <c r="A146" t="s">
        <v>367</v>
      </c>
      <c r="B146" s="4" t="s">
        <v>14</v>
      </c>
      <c r="C146" s="1">
        <v>1</v>
      </c>
      <c r="D146">
        <v>40</v>
      </c>
      <c r="E146">
        <v>1</v>
      </c>
      <c r="F146">
        <v>48</v>
      </c>
      <c r="G146">
        <v>113</v>
      </c>
      <c r="H146">
        <f t="shared" ref="H146" si="564">AVERAGE(G146:G148)</f>
        <v>115</v>
      </c>
      <c r="I146">
        <f t="shared" ref="I146" si="565">_xlfn.STDEV.P(G146:G148)</f>
        <v>1.4142135623730951</v>
      </c>
      <c r="J146">
        <v>4</v>
      </c>
      <c r="K146">
        <f t="shared" ref="K146" si="566">AVERAGE(J146:J148)</f>
        <v>3.6666666666666665</v>
      </c>
      <c r="L146">
        <f t="shared" ref="L146" si="567">_xlfn.STDEV.P(J146:J148)</f>
        <v>0.47140452079103168</v>
      </c>
      <c r="M146">
        <v>120</v>
      </c>
      <c r="N146">
        <f t="shared" ref="N146" si="568">AVERAGE(M146:M148)</f>
        <v>106</v>
      </c>
      <c r="O146">
        <f t="shared" ref="O146" si="569">_xlfn.STDEV.P(M146:M148)</f>
        <v>9.9331096171675597</v>
      </c>
      <c r="P146">
        <v>168</v>
      </c>
      <c r="Q146">
        <v>0.5</v>
      </c>
      <c r="R146">
        <v>84</v>
      </c>
      <c r="S146">
        <v>0.65</v>
      </c>
      <c r="T146">
        <v>109.2</v>
      </c>
      <c r="U146" t="s">
        <v>20</v>
      </c>
    </row>
    <row r="147" spans="1:21" x14ac:dyDescent="0.25">
      <c r="A147" t="s">
        <v>367</v>
      </c>
      <c r="B147" s="4" t="s">
        <v>14</v>
      </c>
      <c r="C147" s="1">
        <v>1</v>
      </c>
      <c r="D147">
        <v>40</v>
      </c>
      <c r="E147">
        <v>2</v>
      </c>
      <c r="F147">
        <v>54</v>
      </c>
      <c r="G147">
        <v>116</v>
      </c>
      <c r="H147">
        <f t="shared" ref="H147:I147" si="570">H146</f>
        <v>115</v>
      </c>
      <c r="I147">
        <f t="shared" si="570"/>
        <v>1.4142135623730951</v>
      </c>
      <c r="J147">
        <v>3</v>
      </c>
      <c r="K147">
        <f t="shared" ref="K147:L147" si="571">K146</f>
        <v>3.6666666666666665</v>
      </c>
      <c r="L147">
        <f t="shared" si="571"/>
        <v>0.47140452079103168</v>
      </c>
      <c r="M147">
        <v>100</v>
      </c>
      <c r="N147">
        <f t="shared" ref="N147:O147" si="572">N146</f>
        <v>106</v>
      </c>
      <c r="O147">
        <f t="shared" si="572"/>
        <v>9.9331096171675597</v>
      </c>
      <c r="P147">
        <v>186</v>
      </c>
      <c r="Q147">
        <v>0.37</v>
      </c>
      <c r="R147">
        <v>68.819999999999993</v>
      </c>
      <c r="S147">
        <v>0.33</v>
      </c>
      <c r="T147">
        <v>61.38</v>
      </c>
      <c r="U147" t="s">
        <v>20</v>
      </c>
    </row>
    <row r="148" spans="1:21" x14ac:dyDescent="0.25">
      <c r="A148" t="s">
        <v>367</v>
      </c>
      <c r="B148" s="4" t="s">
        <v>14</v>
      </c>
      <c r="C148" s="1">
        <v>1</v>
      </c>
      <c r="D148">
        <v>40</v>
      </c>
      <c r="E148">
        <v>3</v>
      </c>
      <c r="F148">
        <v>44</v>
      </c>
      <c r="G148">
        <v>116</v>
      </c>
      <c r="H148">
        <f t="shared" ref="H148:I148" si="573">H146</f>
        <v>115</v>
      </c>
      <c r="I148">
        <f t="shared" si="573"/>
        <v>1.4142135623730951</v>
      </c>
      <c r="J148">
        <v>4</v>
      </c>
      <c r="K148">
        <f t="shared" ref="K148:L148" si="574">K146</f>
        <v>3.6666666666666665</v>
      </c>
      <c r="L148">
        <f t="shared" si="574"/>
        <v>0.47140452079103168</v>
      </c>
      <c r="M148">
        <v>98</v>
      </c>
      <c r="N148">
        <f t="shared" ref="N148:O148" si="575">N146</f>
        <v>106</v>
      </c>
      <c r="O148">
        <f t="shared" si="575"/>
        <v>9.9331096171675597</v>
      </c>
      <c r="P148">
        <v>181</v>
      </c>
      <c r="Q148">
        <v>0.33</v>
      </c>
      <c r="R148">
        <v>59.730000000000004</v>
      </c>
      <c r="S148">
        <v>0.43</v>
      </c>
      <c r="T148">
        <v>77.83</v>
      </c>
      <c r="U148" t="s">
        <v>20</v>
      </c>
    </row>
    <row r="149" spans="1:21" x14ac:dyDescent="0.25">
      <c r="A149" t="s">
        <v>368</v>
      </c>
      <c r="B149" s="4" t="s">
        <v>94</v>
      </c>
      <c r="C149" s="1">
        <v>4</v>
      </c>
      <c r="D149">
        <v>40</v>
      </c>
      <c r="E149">
        <v>1</v>
      </c>
      <c r="F149">
        <v>46</v>
      </c>
      <c r="G149">
        <v>106</v>
      </c>
      <c r="H149">
        <f t="shared" ref="H149" si="576">AVERAGE(G149:G151)</f>
        <v>103.66666666666667</v>
      </c>
      <c r="I149">
        <f t="shared" ref="I149" si="577">_xlfn.STDEV.P(G149:G151)</f>
        <v>2.0548046676563256</v>
      </c>
      <c r="J149">
        <v>0</v>
      </c>
      <c r="K149">
        <f t="shared" ref="K149" si="578">AVERAGE(J149:J151)</f>
        <v>0.33333333333333331</v>
      </c>
      <c r="L149">
        <f t="shared" ref="L149" si="579">_xlfn.STDEV.P(J149:J151)</f>
        <v>0.47140452079103168</v>
      </c>
      <c r="M149">
        <v>106</v>
      </c>
      <c r="N149">
        <f t="shared" ref="N149" si="580">AVERAGE(M149:M151)</f>
        <v>104.33333333333333</v>
      </c>
      <c r="O149">
        <f t="shared" ref="O149" si="581">_xlfn.STDEV.P(M149:M151)</f>
        <v>1.699673171197595</v>
      </c>
      <c r="P149">
        <v>156</v>
      </c>
      <c r="Q149">
        <v>0.62</v>
      </c>
      <c r="R149">
        <v>96.72</v>
      </c>
      <c r="S149">
        <v>0.54</v>
      </c>
      <c r="T149">
        <v>84.240000000000009</v>
      </c>
      <c r="U149">
        <v>17.8</v>
      </c>
    </row>
    <row r="150" spans="1:21" x14ac:dyDescent="0.25">
      <c r="A150" t="s">
        <v>368</v>
      </c>
      <c r="B150" s="4" t="s">
        <v>94</v>
      </c>
      <c r="C150" s="1">
        <v>4</v>
      </c>
      <c r="D150">
        <v>40</v>
      </c>
      <c r="E150">
        <v>2</v>
      </c>
      <c r="F150">
        <v>48</v>
      </c>
      <c r="G150">
        <v>101</v>
      </c>
      <c r="H150">
        <f t="shared" ref="H150:I150" si="582">H149</f>
        <v>103.66666666666667</v>
      </c>
      <c r="I150">
        <f t="shared" si="582"/>
        <v>2.0548046676563256</v>
      </c>
      <c r="J150">
        <v>0</v>
      </c>
      <c r="K150">
        <f t="shared" ref="K150:L150" si="583">K149</f>
        <v>0.33333333333333331</v>
      </c>
      <c r="L150">
        <f t="shared" si="583"/>
        <v>0.47140452079103168</v>
      </c>
      <c r="M150">
        <v>105</v>
      </c>
      <c r="N150">
        <f t="shared" ref="N150:O150" si="584">N149</f>
        <v>104.33333333333333</v>
      </c>
      <c r="O150">
        <f t="shared" si="584"/>
        <v>1.699673171197595</v>
      </c>
      <c r="P150">
        <v>155</v>
      </c>
      <c r="Q150">
        <v>0.64</v>
      </c>
      <c r="R150">
        <v>99.2</v>
      </c>
      <c r="S150">
        <v>0.76</v>
      </c>
      <c r="T150">
        <v>117.8</v>
      </c>
      <c r="U150">
        <v>21.62</v>
      </c>
    </row>
    <row r="151" spans="1:21" x14ac:dyDescent="0.25">
      <c r="A151" t="s">
        <v>368</v>
      </c>
      <c r="B151" s="4" t="s">
        <v>94</v>
      </c>
      <c r="C151" s="1">
        <v>4</v>
      </c>
      <c r="D151">
        <v>40</v>
      </c>
      <c r="E151">
        <v>3</v>
      </c>
      <c r="F151">
        <v>52</v>
      </c>
      <c r="G151">
        <v>104</v>
      </c>
      <c r="H151">
        <f t="shared" ref="H151:I151" si="585">H149</f>
        <v>103.66666666666667</v>
      </c>
      <c r="I151">
        <f t="shared" si="585"/>
        <v>2.0548046676563256</v>
      </c>
      <c r="J151">
        <v>1</v>
      </c>
      <c r="K151">
        <f t="shared" ref="K151:L151" si="586">K149</f>
        <v>0.33333333333333331</v>
      </c>
      <c r="L151">
        <f t="shared" si="586"/>
        <v>0.47140452079103168</v>
      </c>
      <c r="M151">
        <v>102</v>
      </c>
      <c r="N151">
        <f t="shared" ref="N151:O151" si="587">N149</f>
        <v>104.33333333333333</v>
      </c>
      <c r="O151">
        <f t="shared" si="587"/>
        <v>1.699673171197595</v>
      </c>
      <c r="P151">
        <v>156</v>
      </c>
      <c r="Q151">
        <v>0.66</v>
      </c>
      <c r="R151">
        <v>102.96000000000001</v>
      </c>
      <c r="S151">
        <v>0.77</v>
      </c>
      <c r="T151">
        <v>120.12</v>
      </c>
      <c r="U151" t="s">
        <v>20</v>
      </c>
    </row>
    <row r="152" spans="1:21" x14ac:dyDescent="0.25">
      <c r="A152" t="s">
        <v>369</v>
      </c>
      <c r="B152" s="4" t="s">
        <v>94</v>
      </c>
      <c r="C152" s="1">
        <v>5</v>
      </c>
      <c r="D152">
        <v>40</v>
      </c>
      <c r="E152">
        <v>1</v>
      </c>
      <c r="F152">
        <v>36</v>
      </c>
      <c r="G152">
        <v>106</v>
      </c>
      <c r="H152">
        <f t="shared" ref="H152" si="588">AVERAGE(G152:G154)</f>
        <v>107.66666666666667</v>
      </c>
      <c r="I152">
        <f t="shared" ref="I152" si="589">_xlfn.STDEV.P(G152:G154)</f>
        <v>6.2360956446232363</v>
      </c>
      <c r="J152">
        <v>1</v>
      </c>
      <c r="K152">
        <f t="shared" ref="K152" si="590">AVERAGE(J152:J154)</f>
        <v>1</v>
      </c>
      <c r="L152">
        <f t="shared" ref="L152" si="591">_xlfn.STDEV.P(J152:J154)</f>
        <v>0</v>
      </c>
      <c r="M152">
        <v>115</v>
      </c>
      <c r="N152">
        <f t="shared" ref="N152" si="592">AVERAGE(M152:M154)</f>
        <v>110.33333333333333</v>
      </c>
      <c r="O152">
        <f t="shared" ref="O152" si="593">_xlfn.STDEV.P(M152:M154)</f>
        <v>3.6817870057290869</v>
      </c>
      <c r="P152">
        <v>162</v>
      </c>
      <c r="Q152">
        <v>0.67</v>
      </c>
      <c r="R152">
        <v>108.54</v>
      </c>
      <c r="S152">
        <v>0.66</v>
      </c>
      <c r="T152">
        <v>106.92</v>
      </c>
      <c r="U152">
        <v>13.33</v>
      </c>
    </row>
    <row r="153" spans="1:21" x14ac:dyDescent="0.25">
      <c r="A153" t="s">
        <v>369</v>
      </c>
      <c r="B153" s="4" t="s">
        <v>94</v>
      </c>
      <c r="C153" s="1">
        <v>5</v>
      </c>
      <c r="D153">
        <v>40</v>
      </c>
      <c r="E153">
        <v>2</v>
      </c>
      <c r="F153">
        <v>30</v>
      </c>
      <c r="G153">
        <v>101</v>
      </c>
      <c r="H153">
        <f t="shared" ref="H153:I153" si="594">H152</f>
        <v>107.66666666666667</v>
      </c>
      <c r="I153">
        <f t="shared" si="594"/>
        <v>6.2360956446232363</v>
      </c>
      <c r="J153">
        <v>1</v>
      </c>
      <c r="K153">
        <f t="shared" ref="K153:L153" si="595">K152</f>
        <v>1</v>
      </c>
      <c r="L153">
        <f t="shared" si="595"/>
        <v>0</v>
      </c>
      <c r="M153">
        <v>110</v>
      </c>
      <c r="N153">
        <f t="shared" ref="N153:O153" si="596">N152</f>
        <v>110.33333333333333</v>
      </c>
      <c r="O153">
        <f t="shared" si="596"/>
        <v>3.6817870057290869</v>
      </c>
      <c r="P153">
        <v>156</v>
      </c>
      <c r="Q153">
        <v>0.7</v>
      </c>
      <c r="R153">
        <v>109.19999999999999</v>
      </c>
      <c r="S153">
        <v>0.7</v>
      </c>
      <c r="T153">
        <v>109.19999999999999</v>
      </c>
      <c r="U153" t="s">
        <v>20</v>
      </c>
    </row>
    <row r="154" spans="1:21" x14ac:dyDescent="0.25">
      <c r="A154" t="s">
        <v>369</v>
      </c>
      <c r="B154" s="4" t="s">
        <v>94</v>
      </c>
      <c r="C154" s="1">
        <v>5</v>
      </c>
      <c r="D154">
        <v>40</v>
      </c>
      <c r="E154">
        <v>3</v>
      </c>
      <c r="F154">
        <v>26</v>
      </c>
      <c r="G154">
        <v>116</v>
      </c>
      <c r="H154">
        <f t="shared" ref="H154:I154" si="597">H152</f>
        <v>107.66666666666667</v>
      </c>
      <c r="I154">
        <f t="shared" si="597"/>
        <v>6.2360956446232363</v>
      </c>
      <c r="J154">
        <v>1</v>
      </c>
      <c r="K154">
        <f t="shared" ref="K154:L154" si="598">K152</f>
        <v>1</v>
      </c>
      <c r="L154">
        <f t="shared" si="598"/>
        <v>0</v>
      </c>
      <c r="M154">
        <v>106</v>
      </c>
      <c r="N154">
        <f t="shared" ref="N154:O154" si="599">N152</f>
        <v>110.33333333333333</v>
      </c>
      <c r="O154">
        <f t="shared" si="599"/>
        <v>3.6817870057290869</v>
      </c>
      <c r="P154">
        <v>181</v>
      </c>
      <c r="Q154">
        <v>0.45</v>
      </c>
      <c r="R154">
        <v>81.45</v>
      </c>
      <c r="S154">
        <v>0.64</v>
      </c>
      <c r="T154">
        <v>115.84</v>
      </c>
      <c r="U154" t="s">
        <v>20</v>
      </c>
    </row>
    <row r="155" spans="1:21" x14ac:dyDescent="0.25">
      <c r="A155" t="s">
        <v>370</v>
      </c>
      <c r="B155" s="4" t="s">
        <v>94</v>
      </c>
      <c r="C155" s="1">
        <v>4</v>
      </c>
      <c r="D155">
        <v>40</v>
      </c>
      <c r="E155">
        <v>1</v>
      </c>
      <c r="F155">
        <v>4</v>
      </c>
      <c r="G155">
        <v>120</v>
      </c>
      <c r="H155">
        <f t="shared" ref="H155" si="600">AVERAGE(G155:G157)</f>
        <v>120</v>
      </c>
      <c r="I155">
        <f t="shared" ref="I155" si="601">_xlfn.STDEV.P(G155:G157)</f>
        <v>1.6329931618554521</v>
      </c>
      <c r="J155">
        <v>0</v>
      </c>
      <c r="K155">
        <f t="shared" ref="K155" si="602">AVERAGE(J155:J157)</f>
        <v>0</v>
      </c>
      <c r="L155">
        <f t="shared" ref="L155" si="603">_xlfn.STDEV.P(J155:J157)</f>
        <v>0</v>
      </c>
      <c r="M155">
        <v>90</v>
      </c>
      <c r="N155">
        <f t="shared" ref="N155" si="604">AVERAGE(M155:M157)</f>
        <v>94</v>
      </c>
      <c r="O155">
        <f t="shared" ref="O155" si="605">_xlfn.STDEV.P(M155:M157)</f>
        <v>2.9439202887759488</v>
      </c>
      <c r="Q155">
        <v>0.52</v>
      </c>
      <c r="R155" t="s">
        <v>20</v>
      </c>
      <c r="S155">
        <v>0.4</v>
      </c>
      <c r="T155" t="s">
        <v>20</v>
      </c>
      <c r="U155">
        <v>18.53</v>
      </c>
    </row>
    <row r="156" spans="1:21" x14ac:dyDescent="0.25">
      <c r="A156" t="s">
        <v>370</v>
      </c>
      <c r="B156" s="4" t="s">
        <v>94</v>
      </c>
      <c r="C156" s="1">
        <v>4</v>
      </c>
      <c r="D156">
        <v>40</v>
      </c>
      <c r="E156">
        <v>2</v>
      </c>
      <c r="F156">
        <v>6</v>
      </c>
      <c r="G156">
        <v>118</v>
      </c>
      <c r="H156">
        <f t="shared" ref="H156:I156" si="606">H155</f>
        <v>120</v>
      </c>
      <c r="I156">
        <f t="shared" si="606"/>
        <v>1.6329931618554521</v>
      </c>
      <c r="J156">
        <v>0</v>
      </c>
      <c r="K156">
        <f t="shared" ref="K156:L156" si="607">K155</f>
        <v>0</v>
      </c>
      <c r="L156">
        <f t="shared" si="607"/>
        <v>0</v>
      </c>
      <c r="M156">
        <v>95</v>
      </c>
      <c r="N156">
        <f t="shared" ref="N156:O156" si="608">N155</f>
        <v>94</v>
      </c>
      <c r="O156">
        <f t="shared" si="608"/>
        <v>2.9439202887759488</v>
      </c>
      <c r="P156">
        <v>187</v>
      </c>
      <c r="Q156">
        <v>0.55000000000000004</v>
      </c>
      <c r="R156" t="s">
        <v>20</v>
      </c>
      <c r="S156">
        <v>0.62</v>
      </c>
      <c r="T156" t="s">
        <v>20</v>
      </c>
      <c r="U156" t="s">
        <v>20</v>
      </c>
    </row>
    <row r="157" spans="1:21" x14ac:dyDescent="0.25">
      <c r="A157" t="s">
        <v>370</v>
      </c>
      <c r="B157" s="4" t="s">
        <v>94</v>
      </c>
      <c r="C157" s="1">
        <v>4</v>
      </c>
      <c r="D157">
        <v>40</v>
      </c>
      <c r="E157">
        <v>3</v>
      </c>
      <c r="F157">
        <v>10</v>
      </c>
      <c r="G157">
        <v>122</v>
      </c>
      <c r="H157">
        <f t="shared" ref="H157:I157" si="609">H155</f>
        <v>120</v>
      </c>
      <c r="I157">
        <f t="shared" si="609"/>
        <v>1.6329931618554521</v>
      </c>
      <c r="J157">
        <v>0</v>
      </c>
      <c r="K157">
        <f t="shared" ref="K157:L157" si="610">K155</f>
        <v>0</v>
      </c>
      <c r="L157">
        <f t="shared" si="610"/>
        <v>0</v>
      </c>
      <c r="M157">
        <v>97</v>
      </c>
      <c r="N157">
        <f t="shared" ref="N157:O157" si="611">N155</f>
        <v>94</v>
      </c>
      <c r="O157">
        <f t="shared" si="611"/>
        <v>2.9439202887759488</v>
      </c>
      <c r="P157">
        <v>181</v>
      </c>
      <c r="Q157">
        <v>0.5</v>
      </c>
      <c r="R157" t="s">
        <v>20</v>
      </c>
      <c r="S157">
        <v>0.49</v>
      </c>
      <c r="T157" t="s">
        <v>20</v>
      </c>
      <c r="U157" t="s">
        <v>20</v>
      </c>
    </row>
    <row r="158" spans="1:21" x14ac:dyDescent="0.25">
      <c r="A158" t="s">
        <v>371</v>
      </c>
      <c r="B158" s="4" t="s">
        <v>94</v>
      </c>
      <c r="C158" s="1">
        <v>4</v>
      </c>
      <c r="D158">
        <v>40</v>
      </c>
      <c r="E158">
        <v>1</v>
      </c>
      <c r="F158">
        <v>58</v>
      </c>
      <c r="G158">
        <v>100</v>
      </c>
      <c r="H158">
        <f t="shared" ref="H158" si="612">AVERAGE(G158:G160)</f>
        <v>101.33333333333333</v>
      </c>
      <c r="I158">
        <f t="shared" ref="I158" si="613">_xlfn.STDEV.P(G158:G160)</f>
        <v>1.247219128924647</v>
      </c>
      <c r="J158">
        <v>2</v>
      </c>
      <c r="K158">
        <f t="shared" ref="K158" si="614">AVERAGE(J158:J160)</f>
        <v>1</v>
      </c>
      <c r="L158">
        <f t="shared" ref="L158" si="615">_xlfn.STDEV.P(J158:J160)</f>
        <v>0.81649658092772603</v>
      </c>
      <c r="M158">
        <v>96</v>
      </c>
      <c r="N158">
        <f t="shared" ref="N158" si="616">AVERAGE(M158:M160)</f>
        <v>101.66666666666667</v>
      </c>
      <c r="O158">
        <f t="shared" ref="O158" si="617">_xlfn.STDEV.P(M158:M160)</f>
        <v>4.0276819911981905</v>
      </c>
      <c r="P158">
        <v>152</v>
      </c>
      <c r="Q158">
        <v>0.6</v>
      </c>
      <c r="R158">
        <v>91.2</v>
      </c>
      <c r="S158">
        <v>0.75</v>
      </c>
      <c r="T158">
        <v>114</v>
      </c>
      <c r="U158">
        <v>15.14</v>
      </c>
    </row>
    <row r="159" spans="1:21" x14ac:dyDescent="0.25">
      <c r="A159" t="s">
        <v>371</v>
      </c>
      <c r="B159" s="4" t="s">
        <v>94</v>
      </c>
      <c r="C159" s="1">
        <v>4</v>
      </c>
      <c r="D159">
        <v>40</v>
      </c>
      <c r="E159">
        <v>2</v>
      </c>
      <c r="F159">
        <v>56</v>
      </c>
      <c r="G159">
        <v>103</v>
      </c>
      <c r="H159">
        <f t="shared" ref="H159:I159" si="618">H158</f>
        <v>101.33333333333333</v>
      </c>
      <c r="I159">
        <f t="shared" si="618"/>
        <v>1.247219128924647</v>
      </c>
      <c r="J159">
        <v>0</v>
      </c>
      <c r="K159">
        <f t="shared" ref="K159:L159" si="619">K158</f>
        <v>1</v>
      </c>
      <c r="L159">
        <f t="shared" si="619"/>
        <v>0.81649658092772603</v>
      </c>
      <c r="M159">
        <v>104</v>
      </c>
      <c r="N159">
        <f t="shared" ref="N159:O159" si="620">N158</f>
        <v>101.66666666666667</v>
      </c>
      <c r="O159">
        <f t="shared" si="620"/>
        <v>4.0276819911981905</v>
      </c>
      <c r="P159">
        <v>181</v>
      </c>
      <c r="Q159">
        <v>0.48</v>
      </c>
      <c r="R159">
        <v>86.88</v>
      </c>
      <c r="S159">
        <v>0.7</v>
      </c>
      <c r="T159">
        <v>126.69999999999999</v>
      </c>
      <c r="U159">
        <v>14.76</v>
      </c>
    </row>
    <row r="160" spans="1:21" x14ac:dyDescent="0.25">
      <c r="A160" t="s">
        <v>371</v>
      </c>
      <c r="B160" s="4" t="s">
        <v>94</v>
      </c>
      <c r="C160" s="1">
        <v>4</v>
      </c>
      <c r="D160">
        <v>40</v>
      </c>
      <c r="E160">
        <v>3</v>
      </c>
      <c r="F160">
        <v>64</v>
      </c>
      <c r="G160">
        <v>101</v>
      </c>
      <c r="H160">
        <f t="shared" ref="H160:I160" si="621">H158</f>
        <v>101.33333333333333</v>
      </c>
      <c r="I160">
        <f t="shared" si="621"/>
        <v>1.247219128924647</v>
      </c>
      <c r="J160">
        <v>1</v>
      </c>
      <c r="K160">
        <f t="shared" ref="K160:L160" si="622">K158</f>
        <v>1</v>
      </c>
      <c r="L160">
        <f t="shared" si="622"/>
        <v>0.81649658092772603</v>
      </c>
      <c r="M160">
        <v>105</v>
      </c>
      <c r="N160">
        <f t="shared" ref="N160:O160" si="623">N158</f>
        <v>101.66666666666667</v>
      </c>
      <c r="O160">
        <f t="shared" si="623"/>
        <v>4.0276819911981905</v>
      </c>
      <c r="P160">
        <v>155</v>
      </c>
      <c r="Q160">
        <v>0.62</v>
      </c>
      <c r="R160">
        <v>96.1</v>
      </c>
      <c r="S160">
        <v>0.71</v>
      </c>
      <c r="T160">
        <v>110.05</v>
      </c>
      <c r="U160" t="s">
        <v>20</v>
      </c>
    </row>
    <row r="161" spans="1:21" x14ac:dyDescent="0.25">
      <c r="A161" t="s">
        <v>372</v>
      </c>
      <c r="B161" s="4" t="s">
        <v>94</v>
      </c>
      <c r="C161" s="1">
        <v>4</v>
      </c>
      <c r="D161">
        <v>40</v>
      </c>
      <c r="E161">
        <v>1</v>
      </c>
      <c r="F161">
        <v>46</v>
      </c>
      <c r="G161">
        <v>100</v>
      </c>
      <c r="H161">
        <f t="shared" ref="H161" si="624">AVERAGE(G161:G163)</f>
        <v>100.66666666666667</v>
      </c>
      <c r="I161">
        <f t="shared" ref="I161" si="625">_xlfn.STDEV.P(G161:G163)</f>
        <v>0.94280904158206336</v>
      </c>
      <c r="J161">
        <v>0</v>
      </c>
      <c r="K161">
        <f t="shared" ref="K161" si="626">AVERAGE(J161:J163)</f>
        <v>0</v>
      </c>
      <c r="L161">
        <f t="shared" ref="L161" si="627">_xlfn.STDEV.P(J161:J163)</f>
        <v>0</v>
      </c>
      <c r="M161">
        <v>96</v>
      </c>
      <c r="N161">
        <f t="shared" ref="N161" si="628">AVERAGE(M161:M163)</f>
        <v>96</v>
      </c>
      <c r="O161">
        <f t="shared" ref="O161" si="629">_xlfn.STDEV.P(M161:M163)</f>
        <v>8.981462390204987</v>
      </c>
      <c r="P161">
        <v>159</v>
      </c>
      <c r="Q161">
        <v>0.71</v>
      </c>
      <c r="R161">
        <v>112.89</v>
      </c>
      <c r="S161">
        <v>0.65</v>
      </c>
      <c r="T161">
        <v>103.35000000000001</v>
      </c>
      <c r="U161">
        <v>13.07</v>
      </c>
    </row>
    <row r="162" spans="1:21" x14ac:dyDescent="0.25">
      <c r="A162" t="s">
        <v>372</v>
      </c>
      <c r="B162" s="4" t="s">
        <v>94</v>
      </c>
      <c r="C162" s="1">
        <v>4</v>
      </c>
      <c r="D162">
        <v>40</v>
      </c>
      <c r="E162">
        <v>2</v>
      </c>
      <c r="F162">
        <v>34</v>
      </c>
      <c r="G162">
        <v>100</v>
      </c>
      <c r="H162">
        <f t="shared" ref="H162:I162" si="630">H161</f>
        <v>100.66666666666667</v>
      </c>
      <c r="I162">
        <f t="shared" si="630"/>
        <v>0.94280904158206336</v>
      </c>
      <c r="J162">
        <v>0</v>
      </c>
      <c r="K162">
        <f t="shared" ref="K162:L162" si="631">K161</f>
        <v>0</v>
      </c>
      <c r="L162">
        <f t="shared" si="631"/>
        <v>0</v>
      </c>
      <c r="M162">
        <v>85</v>
      </c>
      <c r="N162">
        <f t="shared" ref="N162:O162" si="632">N161</f>
        <v>96</v>
      </c>
      <c r="O162">
        <f t="shared" si="632"/>
        <v>8.981462390204987</v>
      </c>
      <c r="P162">
        <v>149</v>
      </c>
      <c r="Q162">
        <v>0.64</v>
      </c>
      <c r="R162">
        <v>95.36</v>
      </c>
      <c r="S162">
        <v>0.7</v>
      </c>
      <c r="T162">
        <v>104.3</v>
      </c>
      <c r="U162">
        <v>13.94</v>
      </c>
    </row>
    <row r="163" spans="1:21" x14ac:dyDescent="0.25">
      <c r="A163" t="s">
        <v>372</v>
      </c>
      <c r="B163" s="4" t="s">
        <v>94</v>
      </c>
      <c r="C163" s="1">
        <v>4</v>
      </c>
      <c r="D163">
        <v>40</v>
      </c>
      <c r="E163">
        <v>3</v>
      </c>
      <c r="F163">
        <v>30</v>
      </c>
      <c r="G163">
        <v>102</v>
      </c>
      <c r="H163">
        <f t="shared" ref="H163:I163" si="633">H161</f>
        <v>100.66666666666667</v>
      </c>
      <c r="I163">
        <f t="shared" si="633"/>
        <v>0.94280904158206336</v>
      </c>
      <c r="J163">
        <v>0</v>
      </c>
      <c r="K163">
        <f t="shared" ref="K163:L163" si="634">K161</f>
        <v>0</v>
      </c>
      <c r="L163">
        <f t="shared" si="634"/>
        <v>0</v>
      </c>
      <c r="M163">
        <v>107</v>
      </c>
      <c r="N163">
        <f t="shared" ref="N163:O163" si="635">N161</f>
        <v>96</v>
      </c>
      <c r="O163">
        <f t="shared" si="635"/>
        <v>8.981462390204987</v>
      </c>
      <c r="P163">
        <v>160</v>
      </c>
      <c r="Q163">
        <v>0.65</v>
      </c>
      <c r="R163">
        <v>104</v>
      </c>
      <c r="S163">
        <v>0.64</v>
      </c>
      <c r="T163">
        <v>102.4</v>
      </c>
      <c r="U163">
        <v>13.98</v>
      </c>
    </row>
    <row r="164" spans="1:21" x14ac:dyDescent="0.25">
      <c r="A164" t="s">
        <v>373</v>
      </c>
      <c r="B164" s="4" t="s">
        <v>94</v>
      </c>
      <c r="C164" s="1">
        <v>5</v>
      </c>
      <c r="D164">
        <v>40</v>
      </c>
      <c r="E164">
        <v>1</v>
      </c>
      <c r="F164">
        <v>12</v>
      </c>
      <c r="G164">
        <v>101</v>
      </c>
      <c r="H164">
        <f t="shared" ref="H164" si="636">AVERAGE(G164:G166)</f>
        <v>99.333333333333329</v>
      </c>
      <c r="I164">
        <f t="shared" ref="I164" si="637">_xlfn.STDEV.P(G164:G166)</f>
        <v>11.08552609887726</v>
      </c>
      <c r="J164">
        <v>1</v>
      </c>
      <c r="K164">
        <f t="shared" ref="K164" si="638">AVERAGE(J164:J166)</f>
        <v>1.3333333333333333</v>
      </c>
      <c r="L164">
        <f t="shared" ref="L164" si="639">_xlfn.STDEV.P(J164:J166)</f>
        <v>0.47140452079103168</v>
      </c>
      <c r="M164">
        <v>112</v>
      </c>
      <c r="N164">
        <f t="shared" ref="N164" si="640">AVERAGE(M164:M166)</f>
        <v>106.33333333333333</v>
      </c>
      <c r="O164">
        <f t="shared" ref="O164" si="641">_xlfn.STDEV.P(M164:M166)</f>
        <v>4.1899350299921778</v>
      </c>
      <c r="P164">
        <v>155</v>
      </c>
      <c r="Q164">
        <v>0.68</v>
      </c>
      <c r="R164" t="s">
        <v>20</v>
      </c>
      <c r="S164">
        <v>0.74</v>
      </c>
      <c r="T164" t="s">
        <v>20</v>
      </c>
      <c r="U164">
        <v>13.68</v>
      </c>
    </row>
    <row r="165" spans="1:21" x14ac:dyDescent="0.25">
      <c r="A165" t="s">
        <v>373</v>
      </c>
      <c r="B165" s="4" t="s">
        <v>94</v>
      </c>
      <c r="C165" s="1">
        <v>5</v>
      </c>
      <c r="D165">
        <v>40</v>
      </c>
      <c r="E165">
        <v>2</v>
      </c>
      <c r="F165">
        <v>4</v>
      </c>
      <c r="G165">
        <v>85</v>
      </c>
      <c r="H165">
        <f t="shared" ref="H165:I165" si="642">H164</f>
        <v>99.333333333333329</v>
      </c>
      <c r="I165">
        <f t="shared" si="642"/>
        <v>11.08552609887726</v>
      </c>
      <c r="J165">
        <v>2</v>
      </c>
      <c r="K165">
        <f t="shared" ref="K165:L165" si="643">K164</f>
        <v>1.3333333333333333</v>
      </c>
      <c r="L165">
        <f t="shared" si="643"/>
        <v>0.47140452079103168</v>
      </c>
      <c r="M165">
        <v>105</v>
      </c>
      <c r="N165">
        <f t="shared" ref="N165:O165" si="644">N164</f>
        <v>106.33333333333333</v>
      </c>
      <c r="O165">
        <f t="shared" si="644"/>
        <v>4.1899350299921778</v>
      </c>
      <c r="Q165">
        <v>0.71</v>
      </c>
      <c r="R165" t="s">
        <v>20</v>
      </c>
      <c r="S165">
        <v>0.7</v>
      </c>
      <c r="T165" t="s">
        <v>20</v>
      </c>
      <c r="U165">
        <v>17.91</v>
      </c>
    </row>
    <row r="166" spans="1:21" x14ac:dyDescent="0.25">
      <c r="A166" t="s">
        <v>373</v>
      </c>
      <c r="B166" s="4" t="s">
        <v>94</v>
      </c>
      <c r="C166" s="1">
        <v>5</v>
      </c>
      <c r="D166">
        <v>40</v>
      </c>
      <c r="E166">
        <v>3</v>
      </c>
      <c r="F166">
        <v>6</v>
      </c>
      <c r="G166">
        <v>112</v>
      </c>
      <c r="H166">
        <f t="shared" ref="H166:I166" si="645">H164</f>
        <v>99.333333333333329</v>
      </c>
      <c r="I166">
        <f t="shared" si="645"/>
        <v>11.08552609887726</v>
      </c>
      <c r="J166">
        <v>1</v>
      </c>
      <c r="K166">
        <f t="shared" ref="K166:L166" si="646">K164</f>
        <v>1.3333333333333333</v>
      </c>
      <c r="L166">
        <f t="shared" si="646"/>
        <v>0.47140452079103168</v>
      </c>
      <c r="M166">
        <v>102</v>
      </c>
      <c r="N166">
        <f t="shared" ref="N166:O166" si="647">N164</f>
        <v>106.33333333333333</v>
      </c>
      <c r="O166">
        <f t="shared" si="647"/>
        <v>4.1899350299921778</v>
      </c>
      <c r="P166">
        <v>177</v>
      </c>
      <c r="Q166">
        <v>0.46</v>
      </c>
      <c r="R166" t="s">
        <v>20</v>
      </c>
      <c r="S166">
        <v>0.3</v>
      </c>
      <c r="T166" t="s">
        <v>20</v>
      </c>
      <c r="U166" t="s">
        <v>20</v>
      </c>
    </row>
    <row r="167" spans="1:21" x14ac:dyDescent="0.25">
      <c r="A167" t="s">
        <v>374</v>
      </c>
      <c r="B167" s="4" t="s">
        <v>94</v>
      </c>
      <c r="C167" s="1">
        <v>5</v>
      </c>
      <c r="D167">
        <v>40</v>
      </c>
      <c r="E167">
        <v>1</v>
      </c>
      <c r="F167">
        <v>0</v>
      </c>
      <c r="G167">
        <v>124</v>
      </c>
      <c r="H167">
        <f t="shared" ref="H167" si="648">AVERAGE(G167:G169)</f>
        <v>111.66666666666667</v>
      </c>
      <c r="I167">
        <f t="shared" ref="I167" si="649">_xlfn.STDEV.P(G167:G169)</f>
        <v>10.208928554075703</v>
      </c>
      <c r="J167">
        <v>2</v>
      </c>
      <c r="K167">
        <f t="shared" ref="K167" si="650">AVERAGE(J167:J169)</f>
        <v>1.3333333333333333</v>
      </c>
      <c r="L167">
        <f t="shared" ref="L167" si="651">_xlfn.STDEV.P(J167:J169)</f>
        <v>0.47140452079103168</v>
      </c>
      <c r="M167">
        <v>75</v>
      </c>
      <c r="N167">
        <f t="shared" ref="N167" si="652">AVERAGE(M167:M169)</f>
        <v>74.666666666666671</v>
      </c>
      <c r="O167">
        <f t="shared" ref="O167" si="653">_xlfn.STDEV.P(M167:M169)</f>
        <v>2.0548046676563256</v>
      </c>
      <c r="P167">
        <v>181</v>
      </c>
      <c r="Q167">
        <v>0.5</v>
      </c>
      <c r="R167">
        <v>90.5</v>
      </c>
      <c r="S167">
        <v>0.74</v>
      </c>
      <c r="T167">
        <v>133.94</v>
      </c>
      <c r="U167">
        <v>13.88</v>
      </c>
    </row>
    <row r="168" spans="1:21" x14ac:dyDescent="0.25">
      <c r="A168" t="s">
        <v>374</v>
      </c>
      <c r="B168" s="4" t="s">
        <v>94</v>
      </c>
      <c r="C168" s="1">
        <v>5</v>
      </c>
      <c r="D168">
        <v>40</v>
      </c>
      <c r="E168">
        <v>2</v>
      </c>
      <c r="F168">
        <v>0</v>
      </c>
      <c r="G168">
        <v>99</v>
      </c>
      <c r="H168">
        <f t="shared" ref="H168:I168" si="654">H167</f>
        <v>111.66666666666667</v>
      </c>
      <c r="I168">
        <f t="shared" si="654"/>
        <v>10.208928554075703</v>
      </c>
      <c r="J168">
        <v>1</v>
      </c>
      <c r="K168">
        <f t="shared" ref="K168:L168" si="655">K167</f>
        <v>1.3333333333333333</v>
      </c>
      <c r="L168">
        <f t="shared" si="655"/>
        <v>0.47140452079103168</v>
      </c>
      <c r="M168">
        <v>72</v>
      </c>
      <c r="N168">
        <f t="shared" ref="N168:O168" si="656">N167</f>
        <v>74.666666666666671</v>
      </c>
      <c r="O168">
        <f t="shared" si="656"/>
        <v>2.0548046676563256</v>
      </c>
      <c r="P168">
        <v>149</v>
      </c>
      <c r="Q168">
        <v>0.7</v>
      </c>
      <c r="R168">
        <v>104.3</v>
      </c>
      <c r="S168">
        <v>0.77</v>
      </c>
      <c r="T168">
        <v>114.73</v>
      </c>
      <c r="U168" t="s">
        <v>20</v>
      </c>
    </row>
    <row r="169" spans="1:21" x14ac:dyDescent="0.25">
      <c r="A169" t="s">
        <v>374</v>
      </c>
      <c r="B169" s="4" t="s">
        <v>94</v>
      </c>
      <c r="C169" s="1">
        <v>5</v>
      </c>
      <c r="D169">
        <v>40</v>
      </c>
      <c r="E169">
        <v>3</v>
      </c>
      <c r="F169">
        <v>12</v>
      </c>
      <c r="G169">
        <v>112</v>
      </c>
      <c r="H169">
        <f t="shared" ref="H169:I169" si="657">H167</f>
        <v>111.66666666666667</v>
      </c>
      <c r="I169">
        <f t="shared" si="657"/>
        <v>10.208928554075703</v>
      </c>
      <c r="J169">
        <v>1</v>
      </c>
      <c r="K169">
        <f t="shared" ref="K169:L169" si="658">K167</f>
        <v>1.3333333333333333</v>
      </c>
      <c r="L169">
        <f t="shared" si="658"/>
        <v>0.47140452079103168</v>
      </c>
      <c r="M169">
        <v>77</v>
      </c>
      <c r="N169">
        <f t="shared" ref="N169:O169" si="659">N167</f>
        <v>74.666666666666671</v>
      </c>
      <c r="O169">
        <f t="shared" si="659"/>
        <v>2.0548046676563256</v>
      </c>
      <c r="P169">
        <v>177</v>
      </c>
      <c r="Q169">
        <v>0.52</v>
      </c>
      <c r="R169">
        <v>92.04</v>
      </c>
      <c r="S169">
        <v>0.65</v>
      </c>
      <c r="T169">
        <v>115.05</v>
      </c>
      <c r="U169" t="s">
        <v>20</v>
      </c>
    </row>
    <row r="170" spans="1:21" x14ac:dyDescent="0.25">
      <c r="A170" t="s">
        <v>375</v>
      </c>
      <c r="B170" s="4" t="s">
        <v>94</v>
      </c>
      <c r="C170" s="1">
        <v>5</v>
      </c>
      <c r="D170">
        <v>40</v>
      </c>
      <c r="E170">
        <v>1</v>
      </c>
      <c r="F170">
        <v>38</v>
      </c>
      <c r="G170">
        <v>118</v>
      </c>
      <c r="H170">
        <f t="shared" ref="H170" si="660">AVERAGE(G170:G172)</f>
        <v>113</v>
      </c>
      <c r="I170">
        <f t="shared" ref="I170" si="661">_xlfn.STDEV.P(G170:G172)</f>
        <v>5.0990195135927845</v>
      </c>
      <c r="J170">
        <v>3</v>
      </c>
      <c r="K170">
        <f t="shared" ref="K170" si="662">AVERAGE(J170:J172)</f>
        <v>2.3333333333333335</v>
      </c>
      <c r="L170">
        <f t="shared" ref="L170" si="663">_xlfn.STDEV.P(J170:J172)</f>
        <v>0.47140452079103168</v>
      </c>
      <c r="M170">
        <v>110</v>
      </c>
      <c r="N170">
        <f t="shared" ref="N170" si="664">AVERAGE(M170:M172)</f>
        <v>110.66666666666667</v>
      </c>
      <c r="O170">
        <f t="shared" ref="O170" si="665">_xlfn.STDEV.P(M170:M172)</f>
        <v>5.7348835113617511</v>
      </c>
      <c r="P170">
        <v>186</v>
      </c>
      <c r="Q170">
        <v>0.36</v>
      </c>
      <c r="R170">
        <v>66.959999999999994</v>
      </c>
      <c r="S170">
        <v>0.3</v>
      </c>
      <c r="T170">
        <v>55.8</v>
      </c>
      <c r="U170" t="s">
        <v>20</v>
      </c>
    </row>
    <row r="171" spans="1:21" x14ac:dyDescent="0.25">
      <c r="A171" t="s">
        <v>375</v>
      </c>
      <c r="B171" s="4" t="s">
        <v>94</v>
      </c>
      <c r="C171" s="1">
        <v>5</v>
      </c>
      <c r="D171">
        <v>40</v>
      </c>
      <c r="E171">
        <v>2</v>
      </c>
      <c r="F171">
        <v>36</v>
      </c>
      <c r="G171">
        <v>106</v>
      </c>
      <c r="H171">
        <f t="shared" ref="H171:I171" si="666">H170</f>
        <v>113</v>
      </c>
      <c r="I171">
        <f t="shared" si="666"/>
        <v>5.0990195135927845</v>
      </c>
      <c r="J171">
        <v>2</v>
      </c>
      <c r="K171">
        <f t="shared" ref="K171:L171" si="667">K170</f>
        <v>2.3333333333333335</v>
      </c>
      <c r="L171">
        <f t="shared" si="667"/>
        <v>0.47140452079103168</v>
      </c>
      <c r="M171">
        <v>118</v>
      </c>
      <c r="N171">
        <f t="shared" ref="N171:O171" si="668">N170</f>
        <v>110.66666666666667</v>
      </c>
      <c r="O171">
        <f t="shared" si="668"/>
        <v>5.7348835113617511</v>
      </c>
      <c r="P171">
        <v>168</v>
      </c>
      <c r="Q171">
        <v>0.67</v>
      </c>
      <c r="R171">
        <v>112.56</v>
      </c>
      <c r="S171">
        <v>0.75</v>
      </c>
      <c r="T171">
        <v>126</v>
      </c>
      <c r="U171" t="s">
        <v>20</v>
      </c>
    </row>
    <row r="172" spans="1:21" x14ac:dyDescent="0.25">
      <c r="A172" t="s">
        <v>375</v>
      </c>
      <c r="B172" s="4" t="s">
        <v>94</v>
      </c>
      <c r="C172" s="1">
        <v>5</v>
      </c>
      <c r="D172">
        <v>40</v>
      </c>
      <c r="E172">
        <v>3</v>
      </c>
      <c r="F172">
        <v>34</v>
      </c>
      <c r="G172">
        <v>115</v>
      </c>
      <c r="H172">
        <f t="shared" ref="H172:I172" si="669">H170</f>
        <v>113</v>
      </c>
      <c r="I172">
        <f t="shared" si="669"/>
        <v>5.0990195135927845</v>
      </c>
      <c r="J172">
        <v>2</v>
      </c>
      <c r="K172">
        <f t="shared" ref="K172:L172" si="670">K170</f>
        <v>2.3333333333333335</v>
      </c>
      <c r="L172">
        <f t="shared" si="670"/>
        <v>0.47140452079103168</v>
      </c>
      <c r="M172">
        <v>104</v>
      </c>
      <c r="N172">
        <f t="shared" ref="N172:O172" si="671">N170</f>
        <v>110.66666666666667</v>
      </c>
      <c r="O172">
        <f t="shared" si="671"/>
        <v>5.7348835113617511</v>
      </c>
      <c r="P172">
        <v>181</v>
      </c>
      <c r="Q172">
        <v>0.4</v>
      </c>
      <c r="R172">
        <v>72.400000000000006</v>
      </c>
      <c r="S172">
        <v>0.35</v>
      </c>
      <c r="T172">
        <v>63.349999999999994</v>
      </c>
      <c r="U172" t="s">
        <v>20</v>
      </c>
    </row>
    <row r="173" spans="1:21" x14ac:dyDescent="0.25">
      <c r="A173" t="s">
        <v>376</v>
      </c>
      <c r="B173" s="4" t="s">
        <v>94</v>
      </c>
      <c r="C173" s="1">
        <v>5</v>
      </c>
      <c r="D173">
        <v>40</v>
      </c>
      <c r="E173">
        <v>1</v>
      </c>
      <c r="F173">
        <v>24</v>
      </c>
      <c r="G173">
        <v>112</v>
      </c>
      <c r="H173">
        <f t="shared" ref="H173" si="672">AVERAGE(G173:G175)</f>
        <v>111.33333333333333</v>
      </c>
      <c r="I173">
        <f t="shared" ref="I173" si="673">_xlfn.STDEV.P(G173:G175)</f>
        <v>0.94280904158206336</v>
      </c>
      <c r="J173">
        <v>5</v>
      </c>
      <c r="K173">
        <f t="shared" ref="K173" si="674">AVERAGE(J173:J175)</f>
        <v>3.6666666666666665</v>
      </c>
      <c r="L173">
        <f t="shared" ref="L173" si="675">_xlfn.STDEV.P(J173:J175)</f>
        <v>1.247219128924647</v>
      </c>
      <c r="M173">
        <v>85</v>
      </c>
      <c r="N173">
        <f t="shared" ref="N173" si="676">AVERAGE(M173:M175)</f>
        <v>90</v>
      </c>
      <c r="O173">
        <f t="shared" ref="O173" si="677">_xlfn.STDEV.P(M173:M175)</f>
        <v>4.0824829046386304</v>
      </c>
      <c r="P173">
        <v>168</v>
      </c>
      <c r="Q173">
        <v>0.67</v>
      </c>
      <c r="R173">
        <v>112.56</v>
      </c>
      <c r="S173">
        <v>0.64</v>
      </c>
      <c r="T173">
        <v>107.52</v>
      </c>
      <c r="U173">
        <v>17.48</v>
      </c>
    </row>
    <row r="174" spans="1:21" x14ac:dyDescent="0.25">
      <c r="A174" t="s">
        <v>376</v>
      </c>
      <c r="B174" s="4" t="s">
        <v>94</v>
      </c>
      <c r="C174" s="1">
        <v>5</v>
      </c>
      <c r="D174">
        <v>40</v>
      </c>
      <c r="E174">
        <v>2</v>
      </c>
      <c r="F174">
        <v>24</v>
      </c>
      <c r="G174">
        <v>112</v>
      </c>
      <c r="H174">
        <f t="shared" ref="H174:I174" si="678">H173</f>
        <v>111.33333333333333</v>
      </c>
      <c r="I174">
        <f t="shared" si="678"/>
        <v>0.94280904158206336</v>
      </c>
      <c r="J174">
        <v>4</v>
      </c>
      <c r="K174">
        <f t="shared" ref="K174:L174" si="679">K173</f>
        <v>3.6666666666666665</v>
      </c>
      <c r="L174">
        <f t="shared" si="679"/>
        <v>1.247219128924647</v>
      </c>
      <c r="M174">
        <v>90</v>
      </c>
      <c r="N174">
        <f t="shared" ref="N174:O174" si="680">N173</f>
        <v>90</v>
      </c>
      <c r="O174">
        <f t="shared" si="680"/>
        <v>4.0824829046386304</v>
      </c>
      <c r="P174">
        <v>167</v>
      </c>
      <c r="Q174">
        <v>0.64</v>
      </c>
      <c r="R174">
        <v>106.88</v>
      </c>
      <c r="S174">
        <v>0.64</v>
      </c>
      <c r="T174">
        <v>106.88</v>
      </c>
      <c r="U174">
        <v>15.78</v>
      </c>
    </row>
    <row r="175" spans="1:21" x14ac:dyDescent="0.25">
      <c r="A175" t="s">
        <v>376</v>
      </c>
      <c r="B175" s="4" t="s">
        <v>94</v>
      </c>
      <c r="C175" s="1">
        <v>5</v>
      </c>
      <c r="D175">
        <v>40</v>
      </c>
      <c r="E175">
        <v>3</v>
      </c>
      <c r="F175">
        <v>26</v>
      </c>
      <c r="G175">
        <v>110</v>
      </c>
      <c r="H175">
        <f t="shared" ref="H175:I175" si="681">H173</f>
        <v>111.33333333333333</v>
      </c>
      <c r="I175">
        <f t="shared" si="681"/>
        <v>0.94280904158206336</v>
      </c>
      <c r="J175">
        <v>2</v>
      </c>
      <c r="K175">
        <f t="shared" ref="K175:L175" si="682">K173</f>
        <v>3.6666666666666665</v>
      </c>
      <c r="L175">
        <f t="shared" si="682"/>
        <v>1.247219128924647</v>
      </c>
      <c r="M175">
        <v>95</v>
      </c>
      <c r="N175">
        <f t="shared" ref="N175:O175" si="683">N173</f>
        <v>90</v>
      </c>
      <c r="O175">
        <f t="shared" si="683"/>
        <v>4.0824829046386304</v>
      </c>
      <c r="P175">
        <v>167</v>
      </c>
      <c r="Q175">
        <v>0.62</v>
      </c>
      <c r="R175">
        <v>103.54</v>
      </c>
      <c r="S175">
        <v>0.65</v>
      </c>
      <c r="T175">
        <v>108.55</v>
      </c>
      <c r="U175" t="s">
        <v>20</v>
      </c>
    </row>
    <row r="176" spans="1:21" x14ac:dyDescent="0.25">
      <c r="A176" t="s">
        <v>377</v>
      </c>
      <c r="B176" s="4" t="s">
        <v>94</v>
      </c>
      <c r="C176" s="1">
        <v>5</v>
      </c>
      <c r="D176">
        <v>40</v>
      </c>
      <c r="E176">
        <v>1</v>
      </c>
      <c r="F176">
        <v>88</v>
      </c>
      <c r="G176">
        <v>106</v>
      </c>
      <c r="H176">
        <f t="shared" ref="H176" si="684">AVERAGE(G176:G178)</f>
        <v>106</v>
      </c>
      <c r="I176">
        <f t="shared" ref="I176" si="685">_xlfn.STDEV.P(G176:G178)</f>
        <v>0</v>
      </c>
      <c r="J176">
        <v>4</v>
      </c>
      <c r="K176">
        <f t="shared" ref="K176" si="686">AVERAGE(J176:J178)</f>
        <v>3.3333333333333335</v>
      </c>
      <c r="L176">
        <f t="shared" ref="L176" si="687">_xlfn.STDEV.P(J176:J178)</f>
        <v>0.94280904158206336</v>
      </c>
      <c r="M176">
        <v>110</v>
      </c>
      <c r="N176">
        <f t="shared" ref="N176" si="688">AVERAGE(M176:M178)</f>
        <v>113.33333333333333</v>
      </c>
      <c r="O176">
        <f t="shared" ref="O176" si="689">_xlfn.STDEV.P(M176:M178)</f>
        <v>4.7140452079103161</v>
      </c>
      <c r="P176">
        <v>156</v>
      </c>
      <c r="Q176">
        <v>0.65</v>
      </c>
      <c r="R176">
        <v>101.4</v>
      </c>
      <c r="S176">
        <v>0.54</v>
      </c>
      <c r="T176">
        <v>84.240000000000009</v>
      </c>
      <c r="U176">
        <v>15.35</v>
      </c>
    </row>
    <row r="177" spans="1:21" x14ac:dyDescent="0.25">
      <c r="A177" t="s">
        <v>377</v>
      </c>
      <c r="B177" s="4" t="s">
        <v>94</v>
      </c>
      <c r="C177" s="1">
        <v>5</v>
      </c>
      <c r="D177">
        <v>40</v>
      </c>
      <c r="E177">
        <v>2</v>
      </c>
      <c r="F177">
        <v>86</v>
      </c>
      <c r="G177">
        <v>106</v>
      </c>
      <c r="H177">
        <f t="shared" ref="H177:I177" si="690">H176</f>
        <v>106</v>
      </c>
      <c r="I177">
        <f t="shared" si="690"/>
        <v>0</v>
      </c>
      <c r="J177">
        <v>2</v>
      </c>
      <c r="K177">
        <f t="shared" ref="K177:L177" si="691">K176</f>
        <v>3.3333333333333335</v>
      </c>
      <c r="L177">
        <f t="shared" si="691"/>
        <v>0.94280904158206336</v>
      </c>
      <c r="M177">
        <v>110</v>
      </c>
      <c r="N177">
        <f t="shared" ref="N177:O177" si="692">N176</f>
        <v>113.33333333333333</v>
      </c>
      <c r="O177">
        <f t="shared" si="692"/>
        <v>4.7140452079103161</v>
      </c>
      <c r="P177">
        <v>156</v>
      </c>
      <c r="Q177">
        <v>0.65</v>
      </c>
      <c r="R177">
        <v>101.4</v>
      </c>
      <c r="S177">
        <v>0.7</v>
      </c>
      <c r="T177">
        <v>109.19999999999999</v>
      </c>
      <c r="U177">
        <v>16.5</v>
      </c>
    </row>
    <row r="178" spans="1:21" x14ac:dyDescent="0.25">
      <c r="A178" t="s">
        <v>377</v>
      </c>
      <c r="B178" s="4" t="s">
        <v>94</v>
      </c>
      <c r="C178" s="1">
        <v>5</v>
      </c>
      <c r="D178">
        <v>40</v>
      </c>
      <c r="E178">
        <v>3</v>
      </c>
      <c r="F178">
        <v>82</v>
      </c>
      <c r="G178">
        <v>106</v>
      </c>
      <c r="H178">
        <f t="shared" ref="H178:I178" si="693">H176</f>
        <v>106</v>
      </c>
      <c r="I178">
        <f t="shared" si="693"/>
        <v>0</v>
      </c>
      <c r="J178">
        <v>4</v>
      </c>
      <c r="K178">
        <f t="shared" ref="K178:L178" si="694">K176</f>
        <v>3.3333333333333335</v>
      </c>
      <c r="L178">
        <f t="shared" si="694"/>
        <v>0.94280904158206336</v>
      </c>
      <c r="M178">
        <v>120</v>
      </c>
      <c r="N178">
        <f t="shared" ref="N178:O178" si="695">N176</f>
        <v>113.33333333333333</v>
      </c>
      <c r="O178">
        <f t="shared" si="695"/>
        <v>4.7140452079103161</v>
      </c>
      <c r="P178">
        <v>156</v>
      </c>
      <c r="Q178">
        <v>0.61</v>
      </c>
      <c r="R178">
        <v>95.16</v>
      </c>
      <c r="S178">
        <v>0.62</v>
      </c>
      <c r="T178">
        <v>96.72</v>
      </c>
      <c r="U178" t="s">
        <v>20</v>
      </c>
    </row>
    <row r="179" spans="1:21" x14ac:dyDescent="0.25">
      <c r="A179" t="s">
        <v>378</v>
      </c>
      <c r="B179" s="4" t="s">
        <v>94</v>
      </c>
      <c r="C179" s="1">
        <v>5</v>
      </c>
      <c r="D179">
        <v>40</v>
      </c>
      <c r="E179">
        <v>1</v>
      </c>
      <c r="F179">
        <v>38</v>
      </c>
      <c r="G179">
        <v>103</v>
      </c>
      <c r="H179">
        <f t="shared" ref="H179" si="696">AVERAGE(G179:G181)</f>
        <v>103.66666666666667</v>
      </c>
      <c r="I179">
        <f t="shared" ref="I179" si="697">_xlfn.STDEV.P(G179:G181)</f>
        <v>0.47140452079103168</v>
      </c>
      <c r="J179">
        <v>1</v>
      </c>
      <c r="K179">
        <f t="shared" ref="K179" si="698">AVERAGE(J179:J181)</f>
        <v>1.3333333333333333</v>
      </c>
      <c r="L179">
        <f t="shared" ref="L179" si="699">_xlfn.STDEV.P(J179:J181)</f>
        <v>0.47140452079103168</v>
      </c>
      <c r="M179">
        <v>110</v>
      </c>
      <c r="N179">
        <f t="shared" ref="N179" si="700">AVERAGE(M179:M181)</f>
        <v>106.66666666666667</v>
      </c>
      <c r="O179">
        <f t="shared" ref="O179" si="701">_xlfn.STDEV.P(M179:M181)</f>
        <v>2.3570226039551581</v>
      </c>
      <c r="P179">
        <v>155</v>
      </c>
      <c r="Q179">
        <v>0.64</v>
      </c>
      <c r="R179">
        <v>99.2</v>
      </c>
      <c r="S179">
        <v>0.55000000000000004</v>
      </c>
      <c r="T179">
        <v>85.25</v>
      </c>
      <c r="U179">
        <v>15.79</v>
      </c>
    </row>
    <row r="180" spans="1:21" x14ac:dyDescent="0.25">
      <c r="A180" t="s">
        <v>378</v>
      </c>
      <c r="B180" s="4" t="s">
        <v>94</v>
      </c>
      <c r="C180" s="1">
        <v>5</v>
      </c>
      <c r="D180">
        <v>40</v>
      </c>
      <c r="E180">
        <v>2</v>
      </c>
      <c r="F180">
        <v>30</v>
      </c>
      <c r="G180">
        <v>104</v>
      </c>
      <c r="H180">
        <f t="shared" ref="H180:I180" si="702">H179</f>
        <v>103.66666666666667</v>
      </c>
      <c r="I180">
        <f t="shared" si="702"/>
        <v>0.47140452079103168</v>
      </c>
      <c r="J180">
        <v>1</v>
      </c>
      <c r="K180">
        <f t="shared" ref="K180:L180" si="703">K179</f>
        <v>1.3333333333333333</v>
      </c>
      <c r="L180">
        <f t="shared" si="703"/>
        <v>0.47140452079103168</v>
      </c>
      <c r="M180">
        <v>105</v>
      </c>
      <c r="N180">
        <f t="shared" ref="N180:O180" si="704">N179</f>
        <v>106.66666666666667</v>
      </c>
      <c r="O180">
        <f t="shared" si="704"/>
        <v>2.3570226039551581</v>
      </c>
      <c r="P180">
        <v>167</v>
      </c>
      <c r="Q180">
        <v>0.54</v>
      </c>
      <c r="R180">
        <v>90.18</v>
      </c>
      <c r="S180">
        <v>0.52</v>
      </c>
      <c r="T180">
        <v>86.84</v>
      </c>
      <c r="U180">
        <v>15.43</v>
      </c>
    </row>
    <row r="181" spans="1:21" x14ac:dyDescent="0.25">
      <c r="A181" t="s">
        <v>378</v>
      </c>
      <c r="B181" s="4" t="s">
        <v>94</v>
      </c>
      <c r="C181" s="1">
        <v>5</v>
      </c>
      <c r="D181">
        <v>40</v>
      </c>
      <c r="E181">
        <v>3</v>
      </c>
      <c r="F181">
        <v>44</v>
      </c>
      <c r="G181">
        <v>104</v>
      </c>
      <c r="H181">
        <f t="shared" ref="H181:I181" si="705">H179</f>
        <v>103.66666666666667</v>
      </c>
      <c r="I181">
        <f t="shared" si="705"/>
        <v>0.47140452079103168</v>
      </c>
      <c r="J181">
        <v>2</v>
      </c>
      <c r="K181">
        <f t="shared" ref="K181:L181" si="706">K179</f>
        <v>1.3333333333333333</v>
      </c>
      <c r="L181">
        <f t="shared" si="706"/>
        <v>0.47140452079103168</v>
      </c>
      <c r="M181">
        <v>105</v>
      </c>
      <c r="N181">
        <f t="shared" ref="N181:O181" si="707">N179</f>
        <v>106.66666666666667</v>
      </c>
      <c r="O181">
        <f t="shared" si="707"/>
        <v>2.3570226039551581</v>
      </c>
      <c r="P181">
        <v>156</v>
      </c>
      <c r="Q181">
        <v>0.64</v>
      </c>
      <c r="R181">
        <v>99.84</v>
      </c>
      <c r="S181">
        <v>0.52</v>
      </c>
      <c r="T181">
        <v>81.12</v>
      </c>
      <c r="U181" t="s">
        <v>20</v>
      </c>
    </row>
    <row r="182" spans="1:21" x14ac:dyDescent="0.25">
      <c r="A182" t="s">
        <v>379</v>
      </c>
      <c r="B182" s="4" t="s">
        <v>94</v>
      </c>
      <c r="C182" s="1">
        <v>5</v>
      </c>
      <c r="D182">
        <v>40</v>
      </c>
      <c r="E182">
        <v>1</v>
      </c>
      <c r="F182">
        <v>78</v>
      </c>
      <c r="G182">
        <v>104</v>
      </c>
      <c r="H182">
        <f t="shared" ref="H182" si="708">AVERAGE(G182:G184)</f>
        <v>107</v>
      </c>
      <c r="I182">
        <f t="shared" ref="I182" si="709">_xlfn.STDEV.P(G182:G184)</f>
        <v>2.9439202887759488</v>
      </c>
      <c r="J182">
        <v>2</v>
      </c>
      <c r="K182">
        <f t="shared" ref="K182" si="710">AVERAGE(J182:J184)</f>
        <v>1.3333333333333333</v>
      </c>
      <c r="L182">
        <f t="shared" ref="L182" si="711">_xlfn.STDEV.P(J182:J184)</f>
        <v>0.47140452079103168</v>
      </c>
      <c r="M182">
        <v>109</v>
      </c>
      <c r="N182">
        <f t="shared" ref="N182" si="712">AVERAGE(M182:M184)</f>
        <v>100.66666666666667</v>
      </c>
      <c r="O182">
        <f t="shared" ref="O182" si="713">_xlfn.STDEV.P(M182:M184)</f>
        <v>7.9302515022468798</v>
      </c>
      <c r="P182">
        <v>168</v>
      </c>
      <c r="Q182">
        <v>0.61</v>
      </c>
      <c r="R182">
        <v>102.48</v>
      </c>
      <c r="S182">
        <v>0.66</v>
      </c>
      <c r="T182">
        <v>110.88000000000001</v>
      </c>
      <c r="U182">
        <v>16.91</v>
      </c>
    </row>
    <row r="183" spans="1:21" x14ac:dyDescent="0.25">
      <c r="A183" t="s">
        <v>379</v>
      </c>
      <c r="B183" s="4" t="s">
        <v>94</v>
      </c>
      <c r="C183" s="1">
        <v>5</v>
      </c>
      <c r="D183">
        <v>40</v>
      </c>
      <c r="E183">
        <v>2</v>
      </c>
      <c r="F183">
        <v>78</v>
      </c>
      <c r="G183">
        <v>111</v>
      </c>
      <c r="H183">
        <f t="shared" ref="H183:I183" si="714">H182</f>
        <v>107</v>
      </c>
      <c r="I183">
        <f t="shared" si="714"/>
        <v>2.9439202887759488</v>
      </c>
      <c r="J183">
        <v>1</v>
      </c>
      <c r="K183">
        <f t="shared" ref="K183:L183" si="715">K182</f>
        <v>1.3333333333333333</v>
      </c>
      <c r="L183">
        <f t="shared" si="715"/>
        <v>0.47140452079103168</v>
      </c>
      <c r="M183">
        <v>103</v>
      </c>
      <c r="N183">
        <f t="shared" ref="N183:O183" si="716">N182</f>
        <v>100.66666666666667</v>
      </c>
      <c r="O183">
        <f t="shared" si="716"/>
        <v>7.9302515022468798</v>
      </c>
      <c r="P183">
        <v>166</v>
      </c>
      <c r="Q183">
        <v>0.73</v>
      </c>
      <c r="R183">
        <v>121.17999999999999</v>
      </c>
      <c r="S183">
        <v>0.76</v>
      </c>
      <c r="T183">
        <v>126.16</v>
      </c>
      <c r="U183" t="s">
        <v>20</v>
      </c>
    </row>
    <row r="184" spans="1:21" x14ac:dyDescent="0.25">
      <c r="A184" t="s">
        <v>379</v>
      </c>
      <c r="B184" s="4" t="s">
        <v>94</v>
      </c>
      <c r="C184" s="1">
        <v>5</v>
      </c>
      <c r="D184">
        <v>40</v>
      </c>
      <c r="E184">
        <v>3</v>
      </c>
      <c r="F184">
        <v>76</v>
      </c>
      <c r="G184">
        <v>106</v>
      </c>
      <c r="H184">
        <f t="shared" ref="H184:I184" si="717">H182</f>
        <v>107</v>
      </c>
      <c r="I184">
        <f t="shared" si="717"/>
        <v>2.9439202887759488</v>
      </c>
      <c r="J184">
        <v>1</v>
      </c>
      <c r="K184">
        <f t="shared" ref="K184:L184" si="718">K182</f>
        <v>1.3333333333333333</v>
      </c>
      <c r="L184">
        <f t="shared" si="718"/>
        <v>0.47140452079103168</v>
      </c>
      <c r="M184">
        <v>90</v>
      </c>
      <c r="N184">
        <f t="shared" ref="N184:O184" si="719">N182</f>
        <v>100.66666666666667</v>
      </c>
      <c r="O184">
        <f t="shared" si="719"/>
        <v>7.9302515022468798</v>
      </c>
      <c r="P184">
        <v>162</v>
      </c>
      <c r="Q184">
        <v>0.69</v>
      </c>
      <c r="R184">
        <v>111.77999999999999</v>
      </c>
      <c r="S184">
        <v>0.74</v>
      </c>
      <c r="T184">
        <v>119.88</v>
      </c>
      <c r="U184" t="s">
        <v>20</v>
      </c>
    </row>
    <row r="185" spans="1:21" x14ac:dyDescent="0.25">
      <c r="A185" t="s">
        <v>380</v>
      </c>
      <c r="B185" s="4" t="s">
        <v>94</v>
      </c>
      <c r="C185" s="1">
        <v>5</v>
      </c>
      <c r="D185">
        <v>40</v>
      </c>
      <c r="E185">
        <v>1</v>
      </c>
      <c r="F185">
        <v>16</v>
      </c>
      <c r="G185">
        <v>100</v>
      </c>
      <c r="H185">
        <f t="shared" ref="H185" si="720">AVERAGE(G185:G187)</f>
        <v>97.666666666666671</v>
      </c>
      <c r="I185">
        <f t="shared" ref="I185" si="721">_xlfn.STDEV.P(G185:G187)</f>
        <v>2.6246692913372702</v>
      </c>
      <c r="J185">
        <v>1</v>
      </c>
      <c r="K185">
        <f t="shared" ref="K185" si="722">AVERAGE(J185:J187)</f>
        <v>2</v>
      </c>
      <c r="L185">
        <f t="shared" ref="L185" si="723">_xlfn.STDEV.P(J185:J187)</f>
        <v>0.81649658092772603</v>
      </c>
      <c r="M185">
        <v>114</v>
      </c>
      <c r="N185">
        <f t="shared" ref="N185" si="724">AVERAGE(M185:M187)</f>
        <v>112</v>
      </c>
      <c r="O185">
        <f t="shared" ref="O185" si="725">_xlfn.STDEV.P(M185:M187)</f>
        <v>1.6329931618554521</v>
      </c>
      <c r="P185">
        <v>155</v>
      </c>
      <c r="Q185">
        <v>0.56999999999999995</v>
      </c>
      <c r="R185">
        <v>88.35</v>
      </c>
      <c r="S185">
        <v>0.52</v>
      </c>
      <c r="T185">
        <v>80.600000000000009</v>
      </c>
      <c r="U185">
        <v>19.53</v>
      </c>
    </row>
    <row r="186" spans="1:21" x14ac:dyDescent="0.25">
      <c r="A186" t="s">
        <v>380</v>
      </c>
      <c r="B186" s="4" t="s">
        <v>94</v>
      </c>
      <c r="C186" s="1">
        <v>5</v>
      </c>
      <c r="D186">
        <v>40</v>
      </c>
      <c r="E186">
        <v>2</v>
      </c>
      <c r="F186">
        <v>26</v>
      </c>
      <c r="G186">
        <v>94</v>
      </c>
      <c r="H186">
        <f t="shared" ref="H186:I186" si="726">H185</f>
        <v>97.666666666666671</v>
      </c>
      <c r="I186">
        <f t="shared" si="726"/>
        <v>2.6246692913372702</v>
      </c>
      <c r="J186">
        <v>3</v>
      </c>
      <c r="K186">
        <f t="shared" ref="K186:L186" si="727">K185</f>
        <v>2</v>
      </c>
      <c r="L186">
        <f t="shared" si="727"/>
        <v>0.81649658092772603</v>
      </c>
      <c r="M186">
        <v>110</v>
      </c>
      <c r="N186">
        <f t="shared" ref="N186:O186" si="728">N185</f>
        <v>112</v>
      </c>
      <c r="O186">
        <f t="shared" si="728"/>
        <v>1.6329931618554521</v>
      </c>
      <c r="P186">
        <v>147</v>
      </c>
      <c r="Q186">
        <v>0.72</v>
      </c>
      <c r="R186">
        <v>105.83999999999999</v>
      </c>
      <c r="S186">
        <v>0.68</v>
      </c>
      <c r="T186">
        <v>99.960000000000008</v>
      </c>
      <c r="U186" t="s">
        <v>20</v>
      </c>
    </row>
    <row r="187" spans="1:21" x14ac:dyDescent="0.25">
      <c r="A187" t="s">
        <v>380</v>
      </c>
      <c r="B187" s="4" t="s">
        <v>94</v>
      </c>
      <c r="C187" s="1">
        <v>5</v>
      </c>
      <c r="D187">
        <v>40</v>
      </c>
      <c r="E187">
        <v>3</v>
      </c>
      <c r="F187">
        <v>22</v>
      </c>
      <c r="G187">
        <v>99</v>
      </c>
      <c r="H187">
        <f t="shared" ref="H187:I187" si="729">H185</f>
        <v>97.666666666666671</v>
      </c>
      <c r="I187">
        <f t="shared" si="729"/>
        <v>2.6246692913372702</v>
      </c>
      <c r="J187">
        <v>2</v>
      </c>
      <c r="K187">
        <f t="shared" ref="K187:L187" si="730">K185</f>
        <v>2</v>
      </c>
      <c r="L187">
        <f t="shared" si="730"/>
        <v>0.81649658092772603</v>
      </c>
      <c r="M187">
        <v>112</v>
      </c>
      <c r="N187">
        <f t="shared" ref="N187:O187" si="731">N185</f>
        <v>112</v>
      </c>
      <c r="O187">
        <f t="shared" si="731"/>
        <v>1.6329931618554521</v>
      </c>
      <c r="P187">
        <v>162</v>
      </c>
      <c r="Q187">
        <v>0.62</v>
      </c>
      <c r="R187">
        <v>100.44</v>
      </c>
      <c r="S187">
        <v>0.65</v>
      </c>
      <c r="T187">
        <v>105.3</v>
      </c>
      <c r="U187" t="s">
        <v>20</v>
      </c>
    </row>
    <row r="188" spans="1:21" x14ac:dyDescent="0.25">
      <c r="A188" t="s">
        <v>381</v>
      </c>
      <c r="B188" s="4" t="s">
        <v>94</v>
      </c>
      <c r="C188" s="1">
        <v>5</v>
      </c>
      <c r="D188">
        <v>40</v>
      </c>
      <c r="E188">
        <v>1</v>
      </c>
      <c r="F188" t="s">
        <v>20</v>
      </c>
      <c r="G188">
        <v>103</v>
      </c>
      <c r="H188">
        <f t="shared" ref="H188" si="732">AVERAGE(G188:G190)</f>
        <v>104</v>
      </c>
      <c r="I188">
        <f t="shared" ref="I188" si="733">_xlfn.STDEV.P(G188:G190)</f>
        <v>0.81649658092772603</v>
      </c>
      <c r="J188">
        <v>6</v>
      </c>
      <c r="K188">
        <f t="shared" ref="K188" si="734">AVERAGE(J188:J190)</f>
        <v>4.666666666666667</v>
      </c>
      <c r="L188">
        <f t="shared" ref="L188" si="735">_xlfn.STDEV.P(J188:J190)</f>
        <v>1.247219128924647</v>
      </c>
      <c r="M188">
        <v>95</v>
      </c>
      <c r="N188">
        <f t="shared" ref="N188" si="736">AVERAGE(M188:M190)</f>
        <v>98.333333333333329</v>
      </c>
      <c r="O188">
        <f t="shared" ref="O188" si="737">_xlfn.STDEV.P(M188:M190)</f>
        <v>2.3570226039551581</v>
      </c>
      <c r="P188">
        <v>159</v>
      </c>
      <c r="Q188">
        <v>0.75</v>
      </c>
      <c r="R188" t="s">
        <v>20</v>
      </c>
      <c r="S188">
        <v>0.53</v>
      </c>
      <c r="T188" t="s">
        <v>20</v>
      </c>
      <c r="U188">
        <v>15</v>
      </c>
    </row>
    <row r="189" spans="1:21" x14ac:dyDescent="0.25">
      <c r="A189" t="s">
        <v>381</v>
      </c>
      <c r="B189" s="4" t="s">
        <v>94</v>
      </c>
      <c r="C189" s="1">
        <v>5</v>
      </c>
      <c r="D189">
        <v>40</v>
      </c>
      <c r="E189">
        <v>2</v>
      </c>
      <c r="F189">
        <v>30</v>
      </c>
      <c r="G189">
        <v>105</v>
      </c>
      <c r="H189">
        <f t="shared" ref="H189:I189" si="738">H188</f>
        <v>104</v>
      </c>
      <c r="I189">
        <f t="shared" si="738"/>
        <v>0.81649658092772603</v>
      </c>
      <c r="J189">
        <v>3</v>
      </c>
      <c r="K189">
        <f t="shared" ref="K189:L189" si="739">K188</f>
        <v>4.666666666666667</v>
      </c>
      <c r="L189">
        <f t="shared" si="739"/>
        <v>1.247219128924647</v>
      </c>
      <c r="M189">
        <v>100</v>
      </c>
      <c r="N189">
        <f t="shared" ref="N189:O189" si="740">N188</f>
        <v>98.333333333333329</v>
      </c>
      <c r="O189">
        <f t="shared" si="740"/>
        <v>2.3570226039551581</v>
      </c>
      <c r="Q189">
        <v>0.71</v>
      </c>
      <c r="R189" t="s">
        <v>20</v>
      </c>
      <c r="S189">
        <v>0.69</v>
      </c>
      <c r="T189" t="s">
        <v>20</v>
      </c>
      <c r="U189">
        <v>16.329999999999998</v>
      </c>
    </row>
    <row r="190" spans="1:21" x14ac:dyDescent="0.25">
      <c r="A190" t="s">
        <v>381</v>
      </c>
      <c r="B190" s="4" t="s">
        <v>94</v>
      </c>
      <c r="C190" s="1">
        <v>5</v>
      </c>
      <c r="D190">
        <v>40</v>
      </c>
      <c r="E190">
        <v>3</v>
      </c>
      <c r="F190">
        <v>30</v>
      </c>
      <c r="G190">
        <v>104</v>
      </c>
      <c r="H190">
        <f t="shared" ref="H190:I190" si="741">H188</f>
        <v>104</v>
      </c>
      <c r="I190">
        <f t="shared" si="741"/>
        <v>0.81649658092772603</v>
      </c>
      <c r="J190">
        <v>5</v>
      </c>
      <c r="K190">
        <f t="shared" ref="K190:L190" si="742">K188</f>
        <v>4.666666666666667</v>
      </c>
      <c r="L190">
        <f t="shared" si="742"/>
        <v>1.247219128924647</v>
      </c>
      <c r="M190">
        <v>100</v>
      </c>
      <c r="N190">
        <f t="shared" ref="N190:O190" si="743">N188</f>
        <v>98.333333333333329</v>
      </c>
      <c r="O190">
        <f t="shared" si="743"/>
        <v>2.3570226039551581</v>
      </c>
      <c r="P190">
        <v>156</v>
      </c>
      <c r="Q190">
        <v>0.67</v>
      </c>
      <c r="R190" t="s">
        <v>20</v>
      </c>
      <c r="S190">
        <v>0.69</v>
      </c>
      <c r="T190" t="s">
        <v>20</v>
      </c>
      <c r="U190" t="s">
        <v>20</v>
      </c>
    </row>
    <row r="191" spans="1:21" x14ac:dyDescent="0.25">
      <c r="A191" t="s">
        <v>382</v>
      </c>
      <c r="B191" s="4" t="s">
        <v>94</v>
      </c>
      <c r="C191" s="1">
        <v>5</v>
      </c>
      <c r="D191">
        <v>40</v>
      </c>
      <c r="E191">
        <v>1</v>
      </c>
      <c r="F191">
        <v>36</v>
      </c>
      <c r="G191">
        <v>104</v>
      </c>
      <c r="H191">
        <f t="shared" ref="H191" si="744">AVERAGE(G191:G193)</f>
        <v>106.66666666666667</v>
      </c>
      <c r="I191">
        <f t="shared" ref="I191" si="745">_xlfn.STDEV.P(G191:G193)</f>
        <v>2.4944382578492941</v>
      </c>
      <c r="J191">
        <v>2</v>
      </c>
      <c r="K191">
        <f t="shared" ref="K191" si="746">AVERAGE(J191:J193)</f>
        <v>1.3333333333333333</v>
      </c>
      <c r="L191">
        <f t="shared" ref="L191" si="747">_xlfn.STDEV.P(J191:J193)</f>
        <v>0.47140452079103168</v>
      </c>
      <c r="M191">
        <v>101</v>
      </c>
      <c r="N191">
        <f t="shared" ref="N191" si="748">AVERAGE(M191:M193)</f>
        <v>100.33333333333333</v>
      </c>
      <c r="O191">
        <f t="shared" ref="O191" si="749">_xlfn.STDEV.P(M191:M193)</f>
        <v>4.1096093353126513</v>
      </c>
      <c r="P191">
        <v>159</v>
      </c>
      <c r="Q191">
        <v>0.65</v>
      </c>
      <c r="R191">
        <v>103.35000000000001</v>
      </c>
      <c r="S191">
        <v>0.57999999999999996</v>
      </c>
      <c r="T191">
        <v>92.22</v>
      </c>
      <c r="U191">
        <v>15.62</v>
      </c>
    </row>
    <row r="192" spans="1:21" x14ac:dyDescent="0.25">
      <c r="A192" t="s">
        <v>382</v>
      </c>
      <c r="B192" s="4" t="s">
        <v>94</v>
      </c>
      <c r="C192" s="1">
        <v>5</v>
      </c>
      <c r="D192">
        <v>40</v>
      </c>
      <c r="E192">
        <v>2</v>
      </c>
      <c r="F192">
        <v>28</v>
      </c>
      <c r="G192">
        <v>110</v>
      </c>
      <c r="H192">
        <f t="shared" ref="H192:I192" si="750">H191</f>
        <v>106.66666666666667</v>
      </c>
      <c r="I192">
        <f t="shared" si="750"/>
        <v>2.4944382578492941</v>
      </c>
      <c r="J192">
        <v>1</v>
      </c>
      <c r="K192">
        <f t="shared" ref="K192:L192" si="751">K191</f>
        <v>1.3333333333333333</v>
      </c>
      <c r="L192">
        <f t="shared" si="751"/>
        <v>0.47140452079103168</v>
      </c>
      <c r="M192">
        <v>95</v>
      </c>
      <c r="N192">
        <f t="shared" ref="N192:O192" si="752">N191</f>
        <v>100.33333333333333</v>
      </c>
      <c r="O192">
        <f t="shared" si="752"/>
        <v>4.1096093353126513</v>
      </c>
      <c r="P192">
        <v>187</v>
      </c>
      <c r="Q192">
        <v>0.45</v>
      </c>
      <c r="R192">
        <v>84.15</v>
      </c>
      <c r="S192">
        <v>0.51</v>
      </c>
      <c r="T192">
        <v>95.37</v>
      </c>
      <c r="U192">
        <v>15.53</v>
      </c>
    </row>
    <row r="193" spans="1:21" x14ac:dyDescent="0.25">
      <c r="A193" t="s">
        <v>382</v>
      </c>
      <c r="B193" s="4" t="s">
        <v>94</v>
      </c>
      <c r="C193" s="1">
        <v>5</v>
      </c>
      <c r="D193">
        <v>40</v>
      </c>
      <c r="E193">
        <v>3</v>
      </c>
      <c r="F193">
        <v>26</v>
      </c>
      <c r="G193">
        <v>106</v>
      </c>
      <c r="H193">
        <f t="shared" ref="H193:I193" si="753">H191</f>
        <v>106.66666666666667</v>
      </c>
      <c r="I193">
        <f t="shared" si="753"/>
        <v>2.4944382578492941</v>
      </c>
      <c r="J193">
        <v>1</v>
      </c>
      <c r="K193">
        <f t="shared" ref="K193:L193" si="754">K191</f>
        <v>1.3333333333333333</v>
      </c>
      <c r="L193">
        <f t="shared" si="754"/>
        <v>0.47140452079103168</v>
      </c>
      <c r="M193">
        <v>105</v>
      </c>
      <c r="N193">
        <f t="shared" ref="N193:O193" si="755">N191</f>
        <v>100.33333333333333</v>
      </c>
      <c r="O193">
        <f t="shared" si="755"/>
        <v>4.1096093353126513</v>
      </c>
      <c r="P193">
        <v>162</v>
      </c>
      <c r="Q193">
        <v>0.67</v>
      </c>
      <c r="R193">
        <v>108.54</v>
      </c>
      <c r="S193">
        <v>0.68</v>
      </c>
      <c r="T193">
        <v>110.16000000000001</v>
      </c>
      <c r="U193" t="s">
        <v>20</v>
      </c>
    </row>
    <row r="194" spans="1:21" x14ac:dyDescent="0.25">
      <c r="A194" t="s">
        <v>383</v>
      </c>
      <c r="B194" s="4" t="s">
        <v>94</v>
      </c>
      <c r="C194" s="1">
        <v>5</v>
      </c>
      <c r="D194">
        <v>40</v>
      </c>
      <c r="E194">
        <v>1</v>
      </c>
      <c r="F194">
        <v>52</v>
      </c>
      <c r="G194">
        <v>104</v>
      </c>
      <c r="H194">
        <f t="shared" ref="H194" si="756">AVERAGE(G194:G196)</f>
        <v>103.66666666666667</v>
      </c>
      <c r="I194">
        <f t="shared" ref="I194" si="757">_xlfn.STDEV.P(G194:G196)</f>
        <v>0.47140452079103168</v>
      </c>
      <c r="J194">
        <v>1</v>
      </c>
      <c r="K194">
        <f t="shared" ref="K194" si="758">AVERAGE(J194:J196)</f>
        <v>1</v>
      </c>
      <c r="L194">
        <f t="shared" ref="L194" si="759">_xlfn.STDEV.P(J194:J196)</f>
        <v>0.81649658092772603</v>
      </c>
      <c r="M194">
        <v>110</v>
      </c>
      <c r="N194">
        <f t="shared" ref="N194" si="760">AVERAGE(M194:M196)</f>
        <v>109</v>
      </c>
      <c r="O194">
        <f t="shared" ref="O194" si="761">_xlfn.STDEV.P(M194:M196)</f>
        <v>2.9439202887759488</v>
      </c>
      <c r="P194">
        <v>159</v>
      </c>
      <c r="Q194">
        <v>0.67</v>
      </c>
      <c r="R194">
        <v>106.53</v>
      </c>
      <c r="S194">
        <v>0.63</v>
      </c>
      <c r="T194">
        <v>100.17</v>
      </c>
      <c r="U194">
        <v>14.66</v>
      </c>
    </row>
    <row r="195" spans="1:21" x14ac:dyDescent="0.25">
      <c r="A195" t="s">
        <v>383</v>
      </c>
      <c r="B195" s="4" t="s">
        <v>94</v>
      </c>
      <c r="C195" s="1">
        <v>5</v>
      </c>
      <c r="D195">
        <v>40</v>
      </c>
      <c r="E195">
        <v>2</v>
      </c>
      <c r="F195">
        <v>50</v>
      </c>
      <c r="G195">
        <v>103</v>
      </c>
      <c r="H195">
        <f t="shared" ref="H195:I195" si="762">H194</f>
        <v>103.66666666666667</v>
      </c>
      <c r="I195">
        <f t="shared" si="762"/>
        <v>0.47140452079103168</v>
      </c>
      <c r="J195">
        <v>2</v>
      </c>
      <c r="K195">
        <f t="shared" ref="K195:L195" si="763">K194</f>
        <v>1</v>
      </c>
      <c r="L195">
        <f t="shared" si="763"/>
        <v>0.81649658092772603</v>
      </c>
      <c r="M195">
        <v>105</v>
      </c>
      <c r="N195">
        <f t="shared" ref="N195:O195" si="764">N194</f>
        <v>109</v>
      </c>
      <c r="O195">
        <f t="shared" si="764"/>
        <v>2.9439202887759488</v>
      </c>
      <c r="P195">
        <v>159</v>
      </c>
      <c r="Q195">
        <v>0.65</v>
      </c>
      <c r="R195">
        <v>103.35000000000001</v>
      </c>
      <c r="S195">
        <v>0.45</v>
      </c>
      <c r="T195">
        <v>71.55</v>
      </c>
      <c r="U195" t="s">
        <v>20</v>
      </c>
    </row>
    <row r="196" spans="1:21" x14ac:dyDescent="0.25">
      <c r="A196" t="s">
        <v>383</v>
      </c>
      <c r="B196" s="4" t="s">
        <v>94</v>
      </c>
      <c r="C196" s="1">
        <v>5</v>
      </c>
      <c r="D196">
        <v>40</v>
      </c>
      <c r="E196">
        <v>3</v>
      </c>
      <c r="F196">
        <v>64</v>
      </c>
      <c r="G196">
        <v>104</v>
      </c>
      <c r="H196">
        <f t="shared" ref="H196:I196" si="765">H194</f>
        <v>103.66666666666667</v>
      </c>
      <c r="I196">
        <f t="shared" si="765"/>
        <v>0.47140452079103168</v>
      </c>
      <c r="J196">
        <v>0</v>
      </c>
      <c r="K196">
        <f t="shared" ref="K196:L196" si="766">K194</f>
        <v>1</v>
      </c>
      <c r="L196">
        <f t="shared" si="766"/>
        <v>0.81649658092772603</v>
      </c>
      <c r="M196">
        <v>112</v>
      </c>
      <c r="N196">
        <f t="shared" ref="N196:O196" si="767">N194</f>
        <v>109</v>
      </c>
      <c r="O196">
        <f t="shared" si="767"/>
        <v>2.9439202887759488</v>
      </c>
      <c r="P196">
        <v>167</v>
      </c>
      <c r="Q196">
        <v>0.64</v>
      </c>
      <c r="R196">
        <v>106.88</v>
      </c>
      <c r="S196">
        <v>0.6</v>
      </c>
      <c r="T196">
        <v>100.2</v>
      </c>
      <c r="U196" t="s">
        <v>20</v>
      </c>
    </row>
    <row r="197" spans="1:21" x14ac:dyDescent="0.25">
      <c r="A197" t="s">
        <v>384</v>
      </c>
      <c r="B197" s="4" t="s">
        <v>94</v>
      </c>
      <c r="C197" s="1">
        <v>5</v>
      </c>
      <c r="D197">
        <v>40</v>
      </c>
      <c r="E197">
        <v>1</v>
      </c>
      <c r="F197">
        <v>10</v>
      </c>
      <c r="G197">
        <v>103</v>
      </c>
      <c r="H197">
        <f t="shared" ref="H197" si="768">AVERAGE(G197:G199)</f>
        <v>102.33333333333333</v>
      </c>
      <c r="I197">
        <f t="shared" ref="I197" si="769">_xlfn.STDEV.P(G197:G199)</f>
        <v>0.94280904158206336</v>
      </c>
      <c r="J197">
        <v>8</v>
      </c>
      <c r="K197">
        <f t="shared" ref="K197" si="770">AVERAGE(J197:J199)</f>
        <v>6.666666666666667</v>
      </c>
      <c r="L197">
        <f t="shared" ref="L197" si="771">_xlfn.STDEV.P(J197:J199)</f>
        <v>1.247219128924647</v>
      </c>
      <c r="M197">
        <v>84</v>
      </c>
      <c r="N197">
        <f t="shared" ref="N197" si="772">AVERAGE(M197:M199)</f>
        <v>88.333333333333329</v>
      </c>
      <c r="O197">
        <f t="shared" ref="O197" si="773">_xlfn.STDEV.P(M197:M199)</f>
        <v>4.7842333648024411</v>
      </c>
      <c r="P197">
        <v>155</v>
      </c>
      <c r="Q197">
        <v>0.61</v>
      </c>
      <c r="R197">
        <v>94.55</v>
      </c>
      <c r="S197">
        <v>0.6</v>
      </c>
      <c r="T197">
        <v>93</v>
      </c>
      <c r="U197">
        <v>14.54</v>
      </c>
    </row>
    <row r="198" spans="1:21" x14ac:dyDescent="0.25">
      <c r="A198" t="s">
        <v>384</v>
      </c>
      <c r="B198" s="4" t="s">
        <v>94</v>
      </c>
      <c r="C198" s="1">
        <v>5</v>
      </c>
      <c r="D198">
        <v>40</v>
      </c>
      <c r="E198">
        <v>2</v>
      </c>
      <c r="F198">
        <v>18</v>
      </c>
      <c r="G198">
        <v>103</v>
      </c>
      <c r="H198">
        <f t="shared" ref="H198:I198" si="774">H197</f>
        <v>102.33333333333333</v>
      </c>
      <c r="I198">
        <f t="shared" si="774"/>
        <v>0.94280904158206336</v>
      </c>
      <c r="J198">
        <v>7</v>
      </c>
      <c r="K198">
        <f t="shared" ref="K198:L198" si="775">K197</f>
        <v>6.666666666666667</v>
      </c>
      <c r="L198">
        <f t="shared" si="775"/>
        <v>1.247219128924647</v>
      </c>
      <c r="M198">
        <v>95</v>
      </c>
      <c r="N198">
        <f t="shared" ref="N198:O198" si="776">N197</f>
        <v>88.333333333333329</v>
      </c>
      <c r="O198">
        <f t="shared" si="776"/>
        <v>4.7842333648024411</v>
      </c>
      <c r="P198">
        <v>155</v>
      </c>
      <c r="Q198">
        <v>0.68</v>
      </c>
      <c r="R198">
        <v>105.4</v>
      </c>
      <c r="S198">
        <v>0.7</v>
      </c>
      <c r="T198">
        <v>108.5</v>
      </c>
      <c r="U198">
        <v>12.49</v>
      </c>
    </row>
    <row r="199" spans="1:21" x14ac:dyDescent="0.25">
      <c r="A199" t="s">
        <v>384</v>
      </c>
      <c r="B199" s="4" t="s">
        <v>94</v>
      </c>
      <c r="C199" s="1">
        <v>5</v>
      </c>
      <c r="D199">
        <v>40</v>
      </c>
      <c r="E199">
        <v>3</v>
      </c>
      <c r="F199">
        <v>6</v>
      </c>
      <c r="G199">
        <v>101</v>
      </c>
      <c r="H199">
        <f t="shared" ref="H199:I199" si="777">H197</f>
        <v>102.33333333333333</v>
      </c>
      <c r="I199">
        <f t="shared" si="777"/>
        <v>0.94280904158206336</v>
      </c>
      <c r="J199">
        <v>5</v>
      </c>
      <c r="K199">
        <f t="shared" ref="K199:L199" si="778">K197</f>
        <v>6.666666666666667</v>
      </c>
      <c r="L199">
        <f t="shared" si="778"/>
        <v>1.247219128924647</v>
      </c>
      <c r="M199">
        <v>86</v>
      </c>
      <c r="N199">
        <f t="shared" ref="N199:O199" si="779">N197</f>
        <v>88.333333333333329</v>
      </c>
      <c r="O199">
        <f t="shared" si="779"/>
        <v>4.7842333648024411</v>
      </c>
      <c r="P199">
        <v>153</v>
      </c>
      <c r="Q199">
        <v>0.68</v>
      </c>
      <c r="R199">
        <v>104.04</v>
      </c>
      <c r="S199">
        <v>0.68</v>
      </c>
      <c r="T199">
        <v>104.04</v>
      </c>
      <c r="U199" t="s">
        <v>20</v>
      </c>
    </row>
    <row r="200" spans="1:21" x14ac:dyDescent="0.25">
      <c r="A200" t="s">
        <v>385</v>
      </c>
      <c r="B200" s="4" t="s">
        <v>94</v>
      </c>
      <c r="C200" s="1">
        <v>5</v>
      </c>
      <c r="D200">
        <v>40</v>
      </c>
      <c r="E200">
        <v>1</v>
      </c>
      <c r="F200">
        <v>30</v>
      </c>
      <c r="G200">
        <v>117</v>
      </c>
      <c r="H200">
        <f t="shared" ref="H200" si="780">AVERAGE(G200:G202)</f>
        <v>118.33333333333333</v>
      </c>
      <c r="I200">
        <f t="shared" ref="I200" si="781">_xlfn.STDEV.P(G200:G202)</f>
        <v>1.247219128924647</v>
      </c>
      <c r="J200">
        <v>0</v>
      </c>
      <c r="K200">
        <f t="shared" ref="K200" si="782">AVERAGE(J200:J202)</f>
        <v>1</v>
      </c>
      <c r="L200">
        <f t="shared" ref="L200" si="783">_xlfn.STDEV.P(J200:J202)</f>
        <v>0.81649658092772603</v>
      </c>
      <c r="M200">
        <v>89</v>
      </c>
      <c r="N200">
        <f t="shared" ref="N200" si="784">AVERAGE(M200:M202)</f>
        <v>82.666666666666671</v>
      </c>
      <c r="O200">
        <f t="shared" ref="O200" si="785">_xlfn.STDEV.P(M200:M202)</f>
        <v>5.7927157323275882</v>
      </c>
      <c r="P200">
        <v>183</v>
      </c>
      <c r="Q200">
        <v>0.54</v>
      </c>
      <c r="R200">
        <v>98.820000000000007</v>
      </c>
      <c r="S200">
        <v>0.6</v>
      </c>
      <c r="T200">
        <v>109.8</v>
      </c>
      <c r="U200">
        <v>18.850000000000001</v>
      </c>
    </row>
    <row r="201" spans="1:21" x14ac:dyDescent="0.25">
      <c r="A201" t="s">
        <v>385</v>
      </c>
      <c r="B201" s="4" t="s">
        <v>94</v>
      </c>
      <c r="C201" s="1">
        <v>5</v>
      </c>
      <c r="D201">
        <v>40</v>
      </c>
      <c r="E201">
        <v>2</v>
      </c>
      <c r="F201">
        <v>18</v>
      </c>
      <c r="G201">
        <v>118</v>
      </c>
      <c r="H201">
        <f t="shared" ref="H201:I201" si="786">H200</f>
        <v>118.33333333333333</v>
      </c>
      <c r="I201">
        <f t="shared" si="786"/>
        <v>1.247219128924647</v>
      </c>
      <c r="J201">
        <v>1</v>
      </c>
      <c r="K201">
        <f t="shared" ref="K201:L201" si="787">K200</f>
        <v>1</v>
      </c>
      <c r="L201">
        <f t="shared" si="787"/>
        <v>0.81649658092772603</v>
      </c>
      <c r="M201">
        <v>84</v>
      </c>
      <c r="N201">
        <f t="shared" ref="N201:O201" si="788">N200</f>
        <v>82.666666666666671</v>
      </c>
      <c r="O201">
        <f t="shared" si="788"/>
        <v>5.7927157323275882</v>
      </c>
      <c r="P201">
        <v>187</v>
      </c>
      <c r="Q201">
        <v>0.56999999999999995</v>
      </c>
      <c r="R201">
        <v>106.58999999999999</v>
      </c>
      <c r="S201">
        <v>0.3</v>
      </c>
      <c r="T201">
        <v>56.1</v>
      </c>
      <c r="U201" t="s">
        <v>20</v>
      </c>
    </row>
    <row r="202" spans="1:21" x14ac:dyDescent="0.25">
      <c r="A202" t="s">
        <v>385</v>
      </c>
      <c r="B202" s="4" t="s">
        <v>94</v>
      </c>
      <c r="C202" s="1">
        <v>5</v>
      </c>
      <c r="D202">
        <v>40</v>
      </c>
      <c r="E202">
        <v>3</v>
      </c>
      <c r="F202">
        <v>20</v>
      </c>
      <c r="G202">
        <v>120</v>
      </c>
      <c r="H202">
        <f t="shared" ref="H202:I202" si="789">H200</f>
        <v>118.33333333333333</v>
      </c>
      <c r="I202">
        <f t="shared" si="789"/>
        <v>1.247219128924647</v>
      </c>
      <c r="J202">
        <v>2</v>
      </c>
      <c r="K202">
        <f t="shared" ref="K202:L202" si="790">K200</f>
        <v>1</v>
      </c>
      <c r="L202">
        <f t="shared" si="790"/>
        <v>0.81649658092772603</v>
      </c>
      <c r="M202">
        <v>75</v>
      </c>
      <c r="N202">
        <f t="shared" ref="N202:O202" si="791">N200</f>
        <v>82.666666666666671</v>
      </c>
      <c r="O202">
        <f t="shared" si="791"/>
        <v>5.7927157323275882</v>
      </c>
      <c r="P202">
        <v>186</v>
      </c>
      <c r="Q202">
        <v>0.51</v>
      </c>
      <c r="R202">
        <v>94.86</v>
      </c>
      <c r="S202">
        <v>0.55000000000000004</v>
      </c>
      <c r="T202">
        <v>102.30000000000001</v>
      </c>
      <c r="U202" t="s">
        <v>20</v>
      </c>
    </row>
    <row r="203" spans="1:21" x14ac:dyDescent="0.25">
      <c r="A203" t="s">
        <v>386</v>
      </c>
      <c r="B203" s="4" t="s">
        <v>94</v>
      </c>
      <c r="C203" s="1" t="s">
        <v>20</v>
      </c>
      <c r="D203">
        <v>40</v>
      </c>
      <c r="E203">
        <v>1</v>
      </c>
      <c r="F203">
        <v>46</v>
      </c>
      <c r="G203">
        <v>124</v>
      </c>
      <c r="H203">
        <f t="shared" ref="H203" si="792">AVERAGE(G203:G205)</f>
        <v>123</v>
      </c>
      <c r="I203">
        <f t="shared" ref="I203" si="793">_xlfn.STDEV.P(G203:G205)</f>
        <v>2.1602468994692869</v>
      </c>
      <c r="J203">
        <v>2</v>
      </c>
      <c r="K203">
        <f t="shared" ref="K203" si="794">AVERAGE(J203:J205)</f>
        <v>1.3333333333333333</v>
      </c>
      <c r="L203">
        <f t="shared" ref="L203" si="795">_xlfn.STDEV.P(J203:J205)</f>
        <v>0.47140452079103168</v>
      </c>
      <c r="M203">
        <v>93</v>
      </c>
      <c r="N203">
        <f t="shared" ref="N203" si="796">AVERAGE(M203:M205)</f>
        <v>103.33333333333333</v>
      </c>
      <c r="O203">
        <f t="shared" ref="O203" si="797">_xlfn.STDEV.P(M203:M205)</f>
        <v>7.8457348639598807</v>
      </c>
      <c r="P203">
        <v>183</v>
      </c>
      <c r="Q203">
        <v>0.64</v>
      </c>
      <c r="R203">
        <v>117.12</v>
      </c>
      <c r="S203">
        <v>0.7</v>
      </c>
      <c r="T203">
        <v>128.1</v>
      </c>
      <c r="U203" t="s">
        <v>20</v>
      </c>
    </row>
    <row r="204" spans="1:21" x14ac:dyDescent="0.25">
      <c r="A204" t="s">
        <v>386</v>
      </c>
      <c r="B204" s="4" t="s">
        <v>94</v>
      </c>
      <c r="C204" s="1" t="s">
        <v>20</v>
      </c>
      <c r="D204">
        <v>40</v>
      </c>
      <c r="E204">
        <v>2</v>
      </c>
      <c r="F204">
        <v>44</v>
      </c>
      <c r="G204">
        <v>120</v>
      </c>
      <c r="H204">
        <f t="shared" ref="H204:I204" si="798">H203</f>
        <v>123</v>
      </c>
      <c r="I204">
        <f t="shared" si="798"/>
        <v>2.1602468994692869</v>
      </c>
      <c r="J204">
        <v>1</v>
      </c>
      <c r="K204">
        <f t="shared" ref="K204:L204" si="799">K203</f>
        <v>1.3333333333333333</v>
      </c>
      <c r="L204">
        <f t="shared" si="799"/>
        <v>0.47140452079103168</v>
      </c>
      <c r="M204">
        <v>112</v>
      </c>
      <c r="N204">
        <f t="shared" ref="N204:O204" si="800">N203</f>
        <v>103.33333333333333</v>
      </c>
      <c r="O204">
        <f t="shared" si="800"/>
        <v>7.8457348639598807</v>
      </c>
      <c r="P204">
        <v>181</v>
      </c>
      <c r="Q204">
        <v>0.56999999999999995</v>
      </c>
      <c r="R204">
        <v>103.16999999999999</v>
      </c>
      <c r="S204">
        <v>0.67</v>
      </c>
      <c r="T204">
        <v>121.27000000000001</v>
      </c>
      <c r="U204" t="s">
        <v>20</v>
      </c>
    </row>
    <row r="205" spans="1:21" x14ac:dyDescent="0.25">
      <c r="A205" t="s">
        <v>386</v>
      </c>
      <c r="B205" s="4" t="s">
        <v>94</v>
      </c>
      <c r="C205" s="1" t="s">
        <v>20</v>
      </c>
      <c r="D205">
        <v>40</v>
      </c>
      <c r="E205">
        <v>3</v>
      </c>
      <c r="F205">
        <v>56</v>
      </c>
      <c r="G205">
        <v>125</v>
      </c>
      <c r="H205">
        <f t="shared" ref="H205:I205" si="801">H203</f>
        <v>123</v>
      </c>
      <c r="I205">
        <f t="shared" si="801"/>
        <v>2.1602468994692869</v>
      </c>
      <c r="J205">
        <v>1</v>
      </c>
      <c r="K205">
        <f t="shared" ref="K205:L205" si="802">K203</f>
        <v>1.3333333333333333</v>
      </c>
      <c r="L205">
        <f t="shared" si="802"/>
        <v>0.47140452079103168</v>
      </c>
      <c r="M205">
        <v>105</v>
      </c>
      <c r="N205">
        <f t="shared" ref="N205:O205" si="803">N203</f>
        <v>103.33333333333333</v>
      </c>
      <c r="O205">
        <f t="shared" si="803"/>
        <v>7.8457348639598807</v>
      </c>
      <c r="P205">
        <v>186</v>
      </c>
      <c r="Q205">
        <v>0.6</v>
      </c>
      <c r="R205">
        <v>111.6</v>
      </c>
      <c r="S205">
        <v>0.64</v>
      </c>
      <c r="T205">
        <v>119.04</v>
      </c>
      <c r="U205" t="s">
        <v>20</v>
      </c>
    </row>
    <row r="206" spans="1:21" x14ac:dyDescent="0.25">
      <c r="A206" t="s">
        <v>387</v>
      </c>
      <c r="B206" s="4" t="s">
        <v>94</v>
      </c>
      <c r="C206" s="1">
        <v>5</v>
      </c>
      <c r="D206">
        <v>40</v>
      </c>
      <c r="E206">
        <v>1</v>
      </c>
      <c r="F206">
        <v>8</v>
      </c>
      <c r="G206">
        <v>111</v>
      </c>
      <c r="H206">
        <f t="shared" ref="H206" si="804">AVERAGE(G206:G208)</f>
        <v>106.66666666666667</v>
      </c>
      <c r="I206">
        <f t="shared" ref="I206" si="805">_xlfn.STDEV.P(G206:G208)</f>
        <v>3.2998316455372216</v>
      </c>
      <c r="J206">
        <v>5</v>
      </c>
      <c r="K206">
        <f t="shared" ref="K206" si="806">AVERAGE(J206:J208)</f>
        <v>3.6666666666666665</v>
      </c>
      <c r="L206">
        <f t="shared" ref="L206" si="807">_xlfn.STDEV.P(J206:J208)</f>
        <v>1.247219128924647</v>
      </c>
      <c r="M206">
        <v>96</v>
      </c>
      <c r="N206">
        <f t="shared" ref="N206" si="808">AVERAGE(M206:M208)</f>
        <v>104.33333333333333</v>
      </c>
      <c r="O206">
        <f t="shared" ref="O206" si="809">_xlfn.STDEV.P(M206:M208)</f>
        <v>7.9302515022468798</v>
      </c>
      <c r="P206">
        <v>186</v>
      </c>
      <c r="Q206">
        <v>0.52</v>
      </c>
      <c r="R206">
        <v>96.72</v>
      </c>
      <c r="S206">
        <v>0.56999999999999995</v>
      </c>
      <c r="T206">
        <v>106.02</v>
      </c>
      <c r="U206">
        <v>15.67</v>
      </c>
    </row>
    <row r="207" spans="1:21" x14ac:dyDescent="0.25">
      <c r="A207" t="s">
        <v>387</v>
      </c>
      <c r="B207" s="4" t="s">
        <v>94</v>
      </c>
      <c r="C207" s="1">
        <v>5</v>
      </c>
      <c r="D207">
        <v>40</v>
      </c>
      <c r="E207">
        <v>2</v>
      </c>
      <c r="F207">
        <v>4</v>
      </c>
      <c r="G207">
        <v>103</v>
      </c>
      <c r="H207">
        <f t="shared" ref="H207:I207" si="810">H206</f>
        <v>106.66666666666667</v>
      </c>
      <c r="I207">
        <f t="shared" si="810"/>
        <v>3.2998316455372216</v>
      </c>
      <c r="J207">
        <v>2</v>
      </c>
      <c r="K207">
        <f t="shared" ref="K207:L207" si="811">K206</f>
        <v>3.6666666666666665</v>
      </c>
      <c r="L207">
        <f t="shared" si="811"/>
        <v>1.247219128924647</v>
      </c>
      <c r="M207">
        <v>115</v>
      </c>
      <c r="N207">
        <f t="shared" ref="N207:O207" si="812">N206</f>
        <v>104.33333333333333</v>
      </c>
      <c r="O207">
        <f t="shared" si="812"/>
        <v>7.9302515022468798</v>
      </c>
      <c r="P207">
        <v>167</v>
      </c>
      <c r="Q207">
        <v>0.55000000000000004</v>
      </c>
      <c r="R207">
        <v>91.850000000000009</v>
      </c>
      <c r="S207">
        <v>0.57999999999999996</v>
      </c>
      <c r="T207">
        <v>96.86</v>
      </c>
      <c r="U207">
        <v>15.04</v>
      </c>
    </row>
    <row r="208" spans="1:21" x14ac:dyDescent="0.25">
      <c r="A208" t="s">
        <v>387</v>
      </c>
      <c r="B208" s="4" t="s">
        <v>94</v>
      </c>
      <c r="C208" s="1">
        <v>5</v>
      </c>
      <c r="D208">
        <v>40</v>
      </c>
      <c r="E208">
        <v>3</v>
      </c>
      <c r="F208">
        <v>20</v>
      </c>
      <c r="G208">
        <v>106</v>
      </c>
      <c r="H208">
        <f t="shared" ref="H208:I208" si="813">H206</f>
        <v>106.66666666666667</v>
      </c>
      <c r="I208">
        <f t="shared" si="813"/>
        <v>3.2998316455372216</v>
      </c>
      <c r="J208">
        <v>4</v>
      </c>
      <c r="K208">
        <f t="shared" ref="K208:L208" si="814">K206</f>
        <v>3.6666666666666665</v>
      </c>
      <c r="L208">
        <f t="shared" si="814"/>
        <v>1.247219128924647</v>
      </c>
      <c r="M208">
        <v>102</v>
      </c>
      <c r="N208">
        <f t="shared" ref="N208:O208" si="815">N206</f>
        <v>104.33333333333333</v>
      </c>
      <c r="O208">
        <f t="shared" si="815"/>
        <v>7.9302515022468798</v>
      </c>
      <c r="P208">
        <v>159</v>
      </c>
      <c r="Q208">
        <v>0.61</v>
      </c>
      <c r="R208">
        <v>96.99</v>
      </c>
      <c r="S208">
        <v>0.5</v>
      </c>
      <c r="T208">
        <v>79.5</v>
      </c>
      <c r="U208" t="s">
        <v>20</v>
      </c>
    </row>
    <row r="209" spans="1:21" x14ac:dyDescent="0.25">
      <c r="A209" t="s">
        <v>388</v>
      </c>
      <c r="B209" s="4" t="s">
        <v>94</v>
      </c>
      <c r="C209" s="1">
        <v>5</v>
      </c>
      <c r="D209">
        <v>40</v>
      </c>
      <c r="E209">
        <v>1</v>
      </c>
      <c r="F209">
        <v>22</v>
      </c>
      <c r="G209">
        <v>123</v>
      </c>
      <c r="H209">
        <f t="shared" ref="H209" si="816">AVERAGE(G209:G211)</f>
        <v>119.66666666666667</v>
      </c>
      <c r="I209">
        <f t="shared" ref="I209" si="817">_xlfn.STDEV.P(G209:G211)</f>
        <v>2.3570226039551581</v>
      </c>
      <c r="J209">
        <v>0</v>
      </c>
      <c r="K209">
        <f t="shared" ref="K209" si="818">AVERAGE(J209:J211)</f>
        <v>0.66666666666666663</v>
      </c>
      <c r="L209">
        <f t="shared" ref="L209" si="819">_xlfn.STDEV.P(J209:J211)</f>
        <v>0.47140452079103168</v>
      </c>
      <c r="M209">
        <v>70</v>
      </c>
      <c r="N209">
        <f t="shared" ref="N209" si="820">AVERAGE(M209:M211)</f>
        <v>80</v>
      </c>
      <c r="O209">
        <f t="shared" ref="O209" si="821">_xlfn.STDEV.P(M209:M211)</f>
        <v>7.4833147735478827</v>
      </c>
      <c r="P209">
        <v>177</v>
      </c>
      <c r="Q209">
        <v>0.51</v>
      </c>
      <c r="R209">
        <v>90.27</v>
      </c>
      <c r="S209">
        <v>0.45</v>
      </c>
      <c r="T209">
        <v>79.650000000000006</v>
      </c>
      <c r="U209">
        <v>15.57</v>
      </c>
    </row>
    <row r="210" spans="1:21" x14ac:dyDescent="0.25">
      <c r="A210" t="s">
        <v>388</v>
      </c>
      <c r="B210" s="4" t="s">
        <v>94</v>
      </c>
      <c r="C210" s="1">
        <v>5</v>
      </c>
      <c r="D210">
        <v>40</v>
      </c>
      <c r="E210">
        <v>2</v>
      </c>
      <c r="F210">
        <v>28</v>
      </c>
      <c r="G210">
        <v>118</v>
      </c>
      <c r="H210">
        <f t="shared" ref="H210:I210" si="822">H209</f>
        <v>119.66666666666667</v>
      </c>
      <c r="I210">
        <f t="shared" si="822"/>
        <v>2.3570226039551581</v>
      </c>
      <c r="J210">
        <v>1</v>
      </c>
      <c r="K210">
        <f t="shared" ref="K210:L210" si="823">K209</f>
        <v>0.66666666666666663</v>
      </c>
      <c r="L210">
        <f t="shared" si="823"/>
        <v>0.47140452079103168</v>
      </c>
      <c r="M210">
        <v>82</v>
      </c>
      <c r="N210">
        <f t="shared" ref="N210:O210" si="824">N209</f>
        <v>80</v>
      </c>
      <c r="O210">
        <f t="shared" si="824"/>
        <v>7.4833147735478827</v>
      </c>
      <c r="P210">
        <v>186</v>
      </c>
      <c r="Q210">
        <v>0.49</v>
      </c>
      <c r="R210">
        <v>91.14</v>
      </c>
      <c r="S210">
        <v>0.63</v>
      </c>
      <c r="T210">
        <v>117.18</v>
      </c>
      <c r="U210" t="s">
        <v>20</v>
      </c>
    </row>
    <row r="211" spans="1:21" x14ac:dyDescent="0.25">
      <c r="A211" t="s">
        <v>388</v>
      </c>
      <c r="B211" s="4" t="s">
        <v>94</v>
      </c>
      <c r="C211" s="1">
        <v>5</v>
      </c>
      <c r="D211">
        <v>40</v>
      </c>
      <c r="E211">
        <v>3</v>
      </c>
      <c r="F211">
        <v>28</v>
      </c>
      <c r="G211">
        <v>118</v>
      </c>
      <c r="H211">
        <f t="shared" ref="H211:I211" si="825">H209</f>
        <v>119.66666666666667</v>
      </c>
      <c r="I211">
        <f t="shared" si="825"/>
        <v>2.3570226039551581</v>
      </c>
      <c r="J211">
        <v>1</v>
      </c>
      <c r="K211">
        <f t="shared" ref="K211:L211" si="826">K209</f>
        <v>0.66666666666666663</v>
      </c>
      <c r="L211">
        <f t="shared" si="826"/>
        <v>0.47140452079103168</v>
      </c>
      <c r="M211">
        <v>88</v>
      </c>
      <c r="N211">
        <f t="shared" ref="N211:O211" si="827">N209</f>
        <v>80</v>
      </c>
      <c r="O211">
        <f t="shared" si="827"/>
        <v>7.4833147735478827</v>
      </c>
      <c r="P211">
        <v>181</v>
      </c>
      <c r="Q211">
        <v>0.51</v>
      </c>
      <c r="R211">
        <v>92.31</v>
      </c>
      <c r="S211">
        <v>0.41</v>
      </c>
      <c r="T211">
        <v>74.209999999999994</v>
      </c>
      <c r="U211" t="s">
        <v>20</v>
      </c>
    </row>
    <row r="212" spans="1:21" x14ac:dyDescent="0.25">
      <c r="A212" t="s">
        <v>389</v>
      </c>
      <c r="B212" s="4" t="s">
        <v>94</v>
      </c>
      <c r="C212" s="1">
        <v>5</v>
      </c>
      <c r="D212">
        <v>40</v>
      </c>
      <c r="E212">
        <v>1</v>
      </c>
      <c r="F212">
        <v>10</v>
      </c>
      <c r="G212">
        <v>104</v>
      </c>
      <c r="H212">
        <f t="shared" ref="H212" si="828">AVERAGE(G212:G214)</f>
        <v>102.66666666666667</v>
      </c>
      <c r="I212">
        <f t="shared" ref="I212" si="829">_xlfn.STDEV.P(G212:G214)</f>
        <v>1.8856180831641267</v>
      </c>
      <c r="J212">
        <v>1</v>
      </c>
      <c r="K212">
        <f t="shared" ref="K212" si="830">AVERAGE(J212:J214)</f>
        <v>1.6666666666666667</v>
      </c>
      <c r="L212">
        <f t="shared" ref="L212" si="831">_xlfn.STDEV.P(J212:J214)</f>
        <v>0.47140452079103168</v>
      </c>
      <c r="M212">
        <v>100</v>
      </c>
      <c r="N212">
        <f t="shared" ref="N212" si="832">AVERAGE(M212:M214)</f>
        <v>98</v>
      </c>
      <c r="O212">
        <f t="shared" ref="O212" si="833">_xlfn.STDEV.P(M212:M214)</f>
        <v>2.8284271247461903</v>
      </c>
      <c r="P212">
        <v>162</v>
      </c>
      <c r="Q212">
        <v>0.71</v>
      </c>
      <c r="R212">
        <v>115.02</v>
      </c>
      <c r="S212">
        <v>0.72</v>
      </c>
      <c r="T212">
        <v>116.64</v>
      </c>
      <c r="U212">
        <v>16.09</v>
      </c>
    </row>
    <row r="213" spans="1:21" x14ac:dyDescent="0.25">
      <c r="A213" t="s">
        <v>389</v>
      </c>
      <c r="B213" s="4" t="s">
        <v>94</v>
      </c>
      <c r="C213" s="1">
        <v>5</v>
      </c>
      <c r="D213">
        <v>40</v>
      </c>
      <c r="E213">
        <v>2</v>
      </c>
      <c r="F213">
        <v>10</v>
      </c>
      <c r="G213">
        <v>104</v>
      </c>
      <c r="H213">
        <f t="shared" ref="H213:I213" si="834">H212</f>
        <v>102.66666666666667</v>
      </c>
      <c r="I213">
        <f t="shared" si="834"/>
        <v>1.8856180831641267</v>
      </c>
      <c r="J213">
        <v>2</v>
      </c>
      <c r="K213">
        <f t="shared" ref="K213:L213" si="835">K212</f>
        <v>1.6666666666666667</v>
      </c>
      <c r="L213">
        <f t="shared" si="835"/>
        <v>0.47140452079103168</v>
      </c>
      <c r="M213">
        <v>100</v>
      </c>
      <c r="N213">
        <f t="shared" ref="N213:O213" si="836">N212</f>
        <v>98</v>
      </c>
      <c r="O213">
        <f t="shared" si="836"/>
        <v>2.8284271247461903</v>
      </c>
      <c r="P213">
        <v>159</v>
      </c>
      <c r="Q213">
        <v>0.64</v>
      </c>
      <c r="R213">
        <v>101.76</v>
      </c>
      <c r="S213">
        <v>0.53</v>
      </c>
      <c r="T213">
        <v>84.27000000000001</v>
      </c>
      <c r="U213">
        <v>21.19</v>
      </c>
    </row>
    <row r="214" spans="1:21" x14ac:dyDescent="0.25">
      <c r="A214" t="s">
        <v>389</v>
      </c>
      <c r="B214" s="4" t="s">
        <v>94</v>
      </c>
      <c r="C214" s="1">
        <v>5</v>
      </c>
      <c r="D214">
        <v>40</v>
      </c>
      <c r="E214">
        <v>3</v>
      </c>
      <c r="F214">
        <v>4</v>
      </c>
      <c r="G214">
        <v>100</v>
      </c>
      <c r="H214">
        <f t="shared" ref="H214:I214" si="837">H212</f>
        <v>102.66666666666667</v>
      </c>
      <c r="I214">
        <f t="shared" si="837"/>
        <v>1.8856180831641267</v>
      </c>
      <c r="J214">
        <v>2</v>
      </c>
      <c r="K214">
        <f t="shared" ref="K214:L214" si="838">K212</f>
        <v>1.6666666666666667</v>
      </c>
      <c r="L214">
        <f t="shared" si="838"/>
        <v>0.47140452079103168</v>
      </c>
      <c r="M214">
        <v>94</v>
      </c>
      <c r="N214">
        <f t="shared" ref="N214:O214" si="839">N212</f>
        <v>98</v>
      </c>
      <c r="O214">
        <f t="shared" si="839"/>
        <v>2.8284271247461903</v>
      </c>
      <c r="P214">
        <v>155</v>
      </c>
      <c r="Q214">
        <v>0.54</v>
      </c>
      <c r="R214">
        <v>83.7</v>
      </c>
      <c r="S214">
        <v>0.68</v>
      </c>
      <c r="T214">
        <v>105.4</v>
      </c>
      <c r="U214">
        <v>14.14</v>
      </c>
    </row>
    <row r="215" spans="1:21" x14ac:dyDescent="0.25">
      <c r="A215" t="s">
        <v>390</v>
      </c>
      <c r="B215" s="4" t="s">
        <v>94</v>
      </c>
      <c r="C215" s="1">
        <v>5</v>
      </c>
      <c r="D215">
        <v>40</v>
      </c>
      <c r="E215">
        <v>1</v>
      </c>
      <c r="F215">
        <v>36</v>
      </c>
      <c r="G215">
        <v>93</v>
      </c>
      <c r="H215">
        <f t="shared" ref="H215" si="840">AVERAGE(G215:G217)</f>
        <v>92.333333333333329</v>
      </c>
      <c r="I215">
        <f t="shared" ref="I215" si="841">_xlfn.STDEV.P(G215:G217)</f>
        <v>0.94280904158206336</v>
      </c>
      <c r="J215">
        <v>3</v>
      </c>
      <c r="K215">
        <f t="shared" ref="K215" si="842">AVERAGE(J215:J217)</f>
        <v>3.6666666666666665</v>
      </c>
      <c r="L215">
        <f t="shared" ref="L215" si="843">_xlfn.STDEV.P(J215:J217)</f>
        <v>0.94280904158206336</v>
      </c>
      <c r="M215">
        <v>101</v>
      </c>
      <c r="N215">
        <f t="shared" ref="N215" si="844">AVERAGE(M215:M217)</f>
        <v>98.666666666666671</v>
      </c>
      <c r="O215">
        <f t="shared" ref="O215" si="845">_xlfn.STDEV.P(M215:M217)</f>
        <v>2.0548046676563256</v>
      </c>
      <c r="P215">
        <v>139</v>
      </c>
      <c r="Q215">
        <v>0.71</v>
      </c>
      <c r="R215">
        <v>98.69</v>
      </c>
      <c r="S215">
        <v>0.77</v>
      </c>
      <c r="T215">
        <v>107.03</v>
      </c>
      <c r="U215">
        <v>12.69</v>
      </c>
    </row>
    <row r="216" spans="1:21" x14ac:dyDescent="0.25">
      <c r="A216" t="s">
        <v>390</v>
      </c>
      <c r="B216" s="4" t="s">
        <v>94</v>
      </c>
      <c r="C216" s="1">
        <v>5</v>
      </c>
      <c r="D216">
        <v>40</v>
      </c>
      <c r="E216">
        <v>2</v>
      </c>
      <c r="F216">
        <v>36</v>
      </c>
      <c r="G216">
        <v>91</v>
      </c>
      <c r="H216">
        <f t="shared" ref="H216:I216" si="846">H215</f>
        <v>92.333333333333329</v>
      </c>
      <c r="I216">
        <f t="shared" si="846"/>
        <v>0.94280904158206336</v>
      </c>
      <c r="J216">
        <v>5</v>
      </c>
      <c r="K216">
        <f t="shared" ref="K216:L216" si="847">K215</f>
        <v>3.6666666666666665</v>
      </c>
      <c r="L216">
        <f t="shared" si="847"/>
        <v>0.94280904158206336</v>
      </c>
      <c r="M216">
        <v>96</v>
      </c>
      <c r="N216">
        <f t="shared" ref="N216:O216" si="848">N215</f>
        <v>98.666666666666671</v>
      </c>
      <c r="O216">
        <f t="shared" si="848"/>
        <v>2.0548046676563256</v>
      </c>
      <c r="P216">
        <v>138</v>
      </c>
      <c r="Q216">
        <v>0.7</v>
      </c>
      <c r="R216">
        <v>96.6</v>
      </c>
      <c r="S216">
        <v>0.8</v>
      </c>
      <c r="T216">
        <v>110.4</v>
      </c>
      <c r="U216">
        <v>13.55</v>
      </c>
    </row>
    <row r="217" spans="1:21" x14ac:dyDescent="0.25">
      <c r="A217" t="s">
        <v>390</v>
      </c>
      <c r="B217" s="4" t="s">
        <v>94</v>
      </c>
      <c r="C217" s="1">
        <v>5</v>
      </c>
      <c r="D217">
        <v>40</v>
      </c>
      <c r="E217">
        <v>3</v>
      </c>
      <c r="F217">
        <v>16</v>
      </c>
      <c r="G217">
        <v>93</v>
      </c>
      <c r="H217">
        <f t="shared" ref="H217:I217" si="849">H215</f>
        <v>92.333333333333329</v>
      </c>
      <c r="I217">
        <f t="shared" si="849"/>
        <v>0.94280904158206336</v>
      </c>
      <c r="J217">
        <v>3</v>
      </c>
      <c r="K217">
        <f t="shared" ref="K217:L217" si="850">K215</f>
        <v>3.6666666666666665</v>
      </c>
      <c r="L217">
        <f t="shared" si="850"/>
        <v>0.94280904158206336</v>
      </c>
      <c r="M217">
        <v>99</v>
      </c>
      <c r="N217">
        <f t="shared" ref="N217:O217" si="851">N215</f>
        <v>98.666666666666671</v>
      </c>
      <c r="O217">
        <f t="shared" si="851"/>
        <v>2.0548046676563256</v>
      </c>
      <c r="P217">
        <v>139</v>
      </c>
      <c r="Q217">
        <v>0.65</v>
      </c>
      <c r="R217">
        <v>90.350000000000009</v>
      </c>
      <c r="S217">
        <v>0.76</v>
      </c>
      <c r="T217">
        <v>105.64</v>
      </c>
      <c r="U217">
        <v>12.83</v>
      </c>
    </row>
    <row r="218" spans="1:21" x14ac:dyDescent="0.25">
      <c r="A218" t="s">
        <v>391</v>
      </c>
      <c r="B218" s="4" t="s">
        <v>94</v>
      </c>
      <c r="C218" s="1">
        <v>5</v>
      </c>
      <c r="D218">
        <v>40</v>
      </c>
      <c r="E218">
        <v>1</v>
      </c>
      <c r="F218">
        <v>12</v>
      </c>
      <c r="G218">
        <v>100</v>
      </c>
      <c r="H218">
        <f t="shared" ref="H218" si="852">AVERAGE(G218:G220)</f>
        <v>100.33333333333333</v>
      </c>
      <c r="I218">
        <f t="shared" ref="I218" si="853">_xlfn.STDEV.P(G218:G220)</f>
        <v>4.4969125210773466</v>
      </c>
      <c r="J218">
        <v>7</v>
      </c>
      <c r="K218">
        <f t="shared" ref="K218" si="854">AVERAGE(J218:J220)</f>
        <v>4.333333333333333</v>
      </c>
      <c r="L218">
        <f t="shared" ref="L218" si="855">_xlfn.STDEV.P(J218:J220)</f>
        <v>2.0548046676563256</v>
      </c>
      <c r="M218">
        <v>100</v>
      </c>
      <c r="N218">
        <f t="shared" ref="N218" si="856">AVERAGE(M218:M220)</f>
        <v>91</v>
      </c>
      <c r="O218">
        <f t="shared" ref="O218" si="857">_xlfn.STDEV.P(M218:M220)</f>
        <v>7.3484692283495345</v>
      </c>
      <c r="Q218">
        <v>0.55000000000000004</v>
      </c>
      <c r="R218" t="s">
        <v>20</v>
      </c>
      <c r="S218">
        <v>0.65</v>
      </c>
      <c r="T218" t="s">
        <v>20</v>
      </c>
      <c r="U218">
        <v>19.309999999999999</v>
      </c>
    </row>
    <row r="219" spans="1:21" x14ac:dyDescent="0.25">
      <c r="A219" t="s">
        <v>391</v>
      </c>
      <c r="B219" s="4" t="s">
        <v>94</v>
      </c>
      <c r="C219" s="1">
        <v>5</v>
      </c>
      <c r="D219">
        <v>40</v>
      </c>
      <c r="E219">
        <v>2</v>
      </c>
      <c r="F219">
        <v>16</v>
      </c>
      <c r="G219">
        <v>95</v>
      </c>
      <c r="H219">
        <f t="shared" ref="H219:I219" si="858">H218</f>
        <v>100.33333333333333</v>
      </c>
      <c r="I219">
        <f t="shared" si="858"/>
        <v>4.4969125210773466</v>
      </c>
      <c r="J219">
        <v>4</v>
      </c>
      <c r="K219">
        <f t="shared" ref="K219:L219" si="859">K218</f>
        <v>4.333333333333333</v>
      </c>
      <c r="L219">
        <f t="shared" si="859"/>
        <v>2.0548046676563256</v>
      </c>
      <c r="M219">
        <v>91</v>
      </c>
      <c r="N219">
        <f t="shared" ref="N219:O219" si="860">N218</f>
        <v>91</v>
      </c>
      <c r="O219">
        <f t="shared" si="860"/>
        <v>7.3484692283495345</v>
      </c>
      <c r="P219">
        <v>147</v>
      </c>
      <c r="Q219">
        <v>0.67</v>
      </c>
      <c r="R219" t="s">
        <v>20</v>
      </c>
      <c r="S219">
        <v>0.72</v>
      </c>
      <c r="T219" t="s">
        <v>20</v>
      </c>
      <c r="U219">
        <v>16.510000000000002</v>
      </c>
    </row>
    <row r="220" spans="1:21" x14ac:dyDescent="0.25">
      <c r="A220" t="s">
        <v>391</v>
      </c>
      <c r="B220" s="4" t="s">
        <v>94</v>
      </c>
      <c r="C220" s="1">
        <v>5</v>
      </c>
      <c r="D220">
        <v>40</v>
      </c>
      <c r="E220">
        <v>3</v>
      </c>
      <c r="F220">
        <v>6</v>
      </c>
      <c r="G220">
        <v>106</v>
      </c>
      <c r="H220">
        <f t="shared" ref="H220:I220" si="861">H218</f>
        <v>100.33333333333333</v>
      </c>
      <c r="I220">
        <f t="shared" si="861"/>
        <v>4.4969125210773466</v>
      </c>
      <c r="J220">
        <v>2</v>
      </c>
      <c r="K220">
        <f t="shared" ref="K220:L220" si="862">K218</f>
        <v>4.333333333333333</v>
      </c>
      <c r="L220">
        <f t="shared" si="862"/>
        <v>2.0548046676563256</v>
      </c>
      <c r="M220">
        <v>82</v>
      </c>
      <c r="N220">
        <f t="shared" ref="N220:O220" si="863">N218</f>
        <v>91</v>
      </c>
      <c r="O220">
        <f t="shared" si="863"/>
        <v>7.3484692283495345</v>
      </c>
      <c r="P220">
        <v>186</v>
      </c>
      <c r="Q220">
        <v>0.47</v>
      </c>
      <c r="R220" t="s">
        <v>20</v>
      </c>
      <c r="T220" t="s">
        <v>20</v>
      </c>
      <c r="U220" t="s">
        <v>20</v>
      </c>
    </row>
    <row r="221" spans="1:21" x14ac:dyDescent="0.25">
      <c r="A221" t="s">
        <v>392</v>
      </c>
      <c r="B221" s="4" t="s">
        <v>94</v>
      </c>
      <c r="C221" s="1">
        <v>5</v>
      </c>
      <c r="D221">
        <v>40</v>
      </c>
      <c r="E221">
        <v>1</v>
      </c>
      <c r="F221">
        <v>12</v>
      </c>
      <c r="G221">
        <v>109</v>
      </c>
      <c r="H221">
        <f t="shared" ref="H221" si="864">AVERAGE(G221:G223)</f>
        <v>110</v>
      </c>
      <c r="I221">
        <f t="shared" ref="I221" si="865">_xlfn.STDEV.P(G221:G223)</f>
        <v>3.7416573867739413</v>
      </c>
      <c r="J221">
        <v>3</v>
      </c>
      <c r="K221">
        <f t="shared" ref="K221" si="866">AVERAGE(J221:J223)</f>
        <v>2</v>
      </c>
      <c r="L221">
        <f t="shared" ref="L221" si="867">_xlfn.STDEV.P(J221:J223)</f>
        <v>1.4142135623730951</v>
      </c>
      <c r="M221">
        <v>113</v>
      </c>
      <c r="N221">
        <f t="shared" ref="N221" si="868">AVERAGE(M221:M223)</f>
        <v>110.33333333333333</v>
      </c>
      <c r="O221">
        <f t="shared" ref="O221" si="869">_xlfn.STDEV.P(M221:M223)</f>
        <v>5.2493385826745405</v>
      </c>
      <c r="P221">
        <v>166</v>
      </c>
      <c r="Q221">
        <v>0.69</v>
      </c>
      <c r="R221">
        <v>114.53999999999999</v>
      </c>
      <c r="S221">
        <v>0.68</v>
      </c>
      <c r="T221">
        <v>112.88000000000001</v>
      </c>
      <c r="U221">
        <v>15.33</v>
      </c>
    </row>
    <row r="222" spans="1:21" x14ac:dyDescent="0.25">
      <c r="A222" t="s">
        <v>392</v>
      </c>
      <c r="B222" s="4" t="s">
        <v>94</v>
      </c>
      <c r="C222" s="1">
        <v>5</v>
      </c>
      <c r="D222">
        <v>40</v>
      </c>
      <c r="E222">
        <v>2</v>
      </c>
      <c r="F222">
        <v>20</v>
      </c>
      <c r="G222">
        <v>106</v>
      </c>
      <c r="H222">
        <f t="shared" ref="H222:I222" si="870">H221</f>
        <v>110</v>
      </c>
      <c r="I222">
        <f t="shared" si="870"/>
        <v>3.7416573867739413</v>
      </c>
      <c r="J222">
        <v>0</v>
      </c>
      <c r="K222">
        <f t="shared" ref="K222:L222" si="871">K221</f>
        <v>2</v>
      </c>
      <c r="L222">
        <f t="shared" si="871"/>
        <v>1.4142135623730951</v>
      </c>
      <c r="M222">
        <v>103</v>
      </c>
      <c r="N222">
        <f t="shared" ref="N222:O222" si="872">N221</f>
        <v>110.33333333333333</v>
      </c>
      <c r="O222">
        <f t="shared" si="872"/>
        <v>5.2493385826745405</v>
      </c>
      <c r="P222">
        <v>168</v>
      </c>
      <c r="Q222">
        <v>0.68</v>
      </c>
      <c r="R222">
        <v>114.24000000000001</v>
      </c>
      <c r="S222">
        <v>0.68</v>
      </c>
      <c r="T222">
        <v>114.24000000000001</v>
      </c>
      <c r="U222" t="s">
        <v>20</v>
      </c>
    </row>
    <row r="223" spans="1:21" x14ac:dyDescent="0.25">
      <c r="A223" t="s">
        <v>392</v>
      </c>
      <c r="B223" s="4" t="s">
        <v>94</v>
      </c>
      <c r="C223" s="1">
        <v>5</v>
      </c>
      <c r="D223">
        <v>40</v>
      </c>
      <c r="E223">
        <v>3</v>
      </c>
      <c r="F223">
        <v>16</v>
      </c>
      <c r="G223">
        <v>115</v>
      </c>
      <c r="H223">
        <f t="shared" ref="H223:I223" si="873">H221</f>
        <v>110</v>
      </c>
      <c r="I223">
        <f t="shared" si="873"/>
        <v>3.7416573867739413</v>
      </c>
      <c r="J223">
        <v>3</v>
      </c>
      <c r="K223">
        <f t="shared" ref="K223:L223" si="874">K221</f>
        <v>2</v>
      </c>
      <c r="L223">
        <f t="shared" si="874"/>
        <v>1.4142135623730951</v>
      </c>
      <c r="M223">
        <v>115</v>
      </c>
      <c r="N223">
        <f t="shared" ref="N223:O223" si="875">N221</f>
        <v>110.33333333333333</v>
      </c>
      <c r="O223">
        <f t="shared" si="875"/>
        <v>5.2493385826745405</v>
      </c>
      <c r="P223">
        <v>167</v>
      </c>
      <c r="Q223">
        <v>0.65</v>
      </c>
      <c r="R223">
        <v>108.55</v>
      </c>
      <c r="S223">
        <v>0.56000000000000005</v>
      </c>
      <c r="T223">
        <v>93.52000000000001</v>
      </c>
      <c r="U223" t="s">
        <v>20</v>
      </c>
    </row>
    <row r="224" spans="1:21" x14ac:dyDescent="0.25">
      <c r="A224" t="s">
        <v>393</v>
      </c>
      <c r="B224" s="4" t="s">
        <v>94</v>
      </c>
      <c r="C224" s="1">
        <v>5</v>
      </c>
      <c r="D224">
        <v>40</v>
      </c>
      <c r="E224">
        <v>1</v>
      </c>
      <c r="F224">
        <v>6</v>
      </c>
      <c r="G224">
        <v>116</v>
      </c>
      <c r="H224">
        <f t="shared" ref="H224" si="876">AVERAGE(G224:G226)</f>
        <v>113</v>
      </c>
      <c r="I224">
        <f t="shared" ref="I224" si="877">_xlfn.STDEV.P(G224:G226)</f>
        <v>2.9439202887759488</v>
      </c>
      <c r="J224">
        <v>5</v>
      </c>
      <c r="K224">
        <f t="shared" ref="K224" si="878">AVERAGE(J224:J226)</f>
        <v>4.333333333333333</v>
      </c>
      <c r="L224">
        <f t="shared" ref="L224" si="879">_xlfn.STDEV.P(J224:J226)</f>
        <v>1.699673171197595</v>
      </c>
      <c r="M224">
        <v>98</v>
      </c>
      <c r="N224">
        <f t="shared" ref="N224" si="880">AVERAGE(M224:M226)</f>
        <v>91</v>
      </c>
      <c r="O224">
        <f t="shared" ref="O224" si="881">_xlfn.STDEV.P(M224:M226)</f>
        <v>6.6833125519211407</v>
      </c>
      <c r="P224">
        <v>180</v>
      </c>
      <c r="Q224">
        <v>0.46</v>
      </c>
      <c r="R224">
        <v>82.8</v>
      </c>
      <c r="S224">
        <v>0.5</v>
      </c>
      <c r="T224">
        <v>90</v>
      </c>
      <c r="U224" t="s">
        <v>20</v>
      </c>
    </row>
    <row r="225" spans="1:21" x14ac:dyDescent="0.25">
      <c r="A225" t="s">
        <v>393</v>
      </c>
      <c r="B225" s="4" t="s">
        <v>94</v>
      </c>
      <c r="C225" s="1">
        <v>5</v>
      </c>
      <c r="D225">
        <v>40</v>
      </c>
      <c r="E225">
        <v>2</v>
      </c>
      <c r="F225">
        <v>10</v>
      </c>
      <c r="G225">
        <v>109</v>
      </c>
      <c r="H225">
        <f t="shared" ref="H225:I225" si="882">H224</f>
        <v>113</v>
      </c>
      <c r="I225">
        <f t="shared" si="882"/>
        <v>2.9439202887759488</v>
      </c>
      <c r="J225">
        <v>2</v>
      </c>
      <c r="K225">
        <f t="shared" ref="K225:L225" si="883">K224</f>
        <v>4.333333333333333</v>
      </c>
      <c r="L225">
        <f t="shared" si="883"/>
        <v>1.699673171197595</v>
      </c>
      <c r="M225">
        <v>93</v>
      </c>
      <c r="N225">
        <f t="shared" ref="N225:O225" si="884">N224</f>
        <v>91</v>
      </c>
      <c r="O225">
        <f t="shared" si="884"/>
        <v>6.6833125519211407</v>
      </c>
      <c r="P225">
        <v>177</v>
      </c>
      <c r="Q225">
        <v>0.73</v>
      </c>
      <c r="R225">
        <v>129.21</v>
      </c>
      <c r="S225">
        <v>0.79</v>
      </c>
      <c r="T225">
        <v>139.83000000000001</v>
      </c>
      <c r="U225" t="s">
        <v>20</v>
      </c>
    </row>
    <row r="226" spans="1:21" x14ac:dyDescent="0.25">
      <c r="A226" t="s">
        <v>393</v>
      </c>
      <c r="B226" s="4" t="s">
        <v>94</v>
      </c>
      <c r="C226" s="1">
        <v>5</v>
      </c>
      <c r="D226">
        <v>40</v>
      </c>
      <c r="E226">
        <v>3</v>
      </c>
      <c r="F226">
        <v>4</v>
      </c>
      <c r="G226">
        <v>114</v>
      </c>
      <c r="H226">
        <f t="shared" ref="H226:I226" si="885">H224</f>
        <v>113</v>
      </c>
      <c r="I226">
        <f t="shared" si="885"/>
        <v>2.9439202887759488</v>
      </c>
      <c r="J226">
        <v>6</v>
      </c>
      <c r="K226">
        <f t="shared" ref="K226:L226" si="886">K224</f>
        <v>4.333333333333333</v>
      </c>
      <c r="L226">
        <f t="shared" si="886"/>
        <v>1.699673171197595</v>
      </c>
      <c r="M226">
        <v>82</v>
      </c>
      <c r="N226">
        <f t="shared" ref="N226:O226" si="887">N224</f>
        <v>91</v>
      </c>
      <c r="O226">
        <f t="shared" si="887"/>
        <v>6.6833125519211407</v>
      </c>
      <c r="P226">
        <v>162</v>
      </c>
      <c r="Q226">
        <v>0.57999999999999996</v>
      </c>
      <c r="R226">
        <v>93.96</v>
      </c>
      <c r="S226">
        <v>0.67</v>
      </c>
      <c r="T226">
        <v>108.54</v>
      </c>
      <c r="U226" t="s">
        <v>20</v>
      </c>
    </row>
    <row r="227" spans="1:21" x14ac:dyDescent="0.25">
      <c r="A227" t="s">
        <v>394</v>
      </c>
      <c r="B227" s="4" t="s">
        <v>94</v>
      </c>
      <c r="C227" s="1">
        <v>5</v>
      </c>
      <c r="D227">
        <v>40</v>
      </c>
      <c r="E227">
        <v>1</v>
      </c>
      <c r="F227">
        <v>6</v>
      </c>
      <c r="G227">
        <v>103</v>
      </c>
      <c r="H227">
        <f t="shared" ref="H227" si="888">AVERAGE(G227:G229)</f>
        <v>104.5</v>
      </c>
      <c r="I227">
        <f t="shared" ref="I227" si="889">_xlfn.STDEV.P(G227:G229)</f>
        <v>1.5</v>
      </c>
      <c r="J227">
        <v>3</v>
      </c>
      <c r="K227">
        <f t="shared" ref="K227" si="890">AVERAGE(J227:J229)</f>
        <v>2</v>
      </c>
      <c r="L227">
        <f t="shared" ref="L227" si="891">_xlfn.STDEV.P(J227:J229)</f>
        <v>0.81649658092772603</v>
      </c>
      <c r="M227">
        <v>90</v>
      </c>
      <c r="N227">
        <f t="shared" ref="N227" si="892">AVERAGE(M227:M229)</f>
        <v>92.5</v>
      </c>
      <c r="O227">
        <f t="shared" ref="O227" si="893">_xlfn.STDEV.P(M227:M229)</f>
        <v>2.5</v>
      </c>
      <c r="P227">
        <v>155</v>
      </c>
      <c r="Q227">
        <v>0.59</v>
      </c>
      <c r="R227" t="s">
        <v>20</v>
      </c>
      <c r="S227">
        <v>0.65</v>
      </c>
      <c r="T227" t="s">
        <v>20</v>
      </c>
      <c r="U227">
        <v>16.309999999999999</v>
      </c>
    </row>
    <row r="228" spans="1:21" x14ac:dyDescent="0.25">
      <c r="A228" t="s">
        <v>394</v>
      </c>
      <c r="B228" s="4" t="s">
        <v>94</v>
      </c>
      <c r="C228" s="1">
        <v>5</v>
      </c>
      <c r="D228">
        <v>40</v>
      </c>
      <c r="E228">
        <v>2</v>
      </c>
      <c r="F228">
        <v>8</v>
      </c>
      <c r="G228">
        <v>106</v>
      </c>
      <c r="H228">
        <f t="shared" ref="H228:I228" si="894">H227</f>
        <v>104.5</v>
      </c>
      <c r="I228">
        <f t="shared" si="894"/>
        <v>1.5</v>
      </c>
      <c r="J228">
        <v>1</v>
      </c>
      <c r="K228">
        <f t="shared" ref="K228:L228" si="895">K227</f>
        <v>2</v>
      </c>
      <c r="L228">
        <f t="shared" si="895"/>
        <v>0.81649658092772603</v>
      </c>
      <c r="M228">
        <v>95</v>
      </c>
      <c r="N228">
        <f t="shared" ref="N228:O228" si="896">N227</f>
        <v>92.5</v>
      </c>
      <c r="O228">
        <f t="shared" si="896"/>
        <v>2.5</v>
      </c>
      <c r="P228">
        <v>159</v>
      </c>
      <c r="Q228">
        <v>0.63</v>
      </c>
      <c r="R228" t="s">
        <v>20</v>
      </c>
      <c r="S228">
        <v>0.56000000000000005</v>
      </c>
      <c r="T228" t="s">
        <v>20</v>
      </c>
      <c r="U228">
        <v>14.4</v>
      </c>
    </row>
    <row r="229" spans="1:21" x14ac:dyDescent="0.25">
      <c r="A229" t="s">
        <v>394</v>
      </c>
      <c r="B229" s="4" t="s">
        <v>94</v>
      </c>
      <c r="C229" s="1">
        <v>5</v>
      </c>
      <c r="D229">
        <v>40</v>
      </c>
      <c r="E229">
        <v>3</v>
      </c>
      <c r="F229">
        <v>4</v>
      </c>
      <c r="H229">
        <f t="shared" ref="H229:I229" si="897">H227</f>
        <v>104.5</v>
      </c>
      <c r="I229">
        <f t="shared" si="897"/>
        <v>1.5</v>
      </c>
      <c r="J229">
        <v>2</v>
      </c>
      <c r="K229">
        <f t="shared" ref="K229:L229" si="898">K227</f>
        <v>2</v>
      </c>
      <c r="L229">
        <f t="shared" si="898"/>
        <v>0.81649658092772603</v>
      </c>
      <c r="N229">
        <f t="shared" ref="N229:O229" si="899">N227</f>
        <v>92.5</v>
      </c>
      <c r="O229">
        <f t="shared" si="899"/>
        <v>2.5</v>
      </c>
      <c r="R229" t="s">
        <v>20</v>
      </c>
      <c r="T229" t="s">
        <v>20</v>
      </c>
      <c r="U229" t="s">
        <v>20</v>
      </c>
    </row>
    <row r="230" spans="1:21" x14ac:dyDescent="0.25">
      <c r="A230" t="s">
        <v>395</v>
      </c>
      <c r="B230" s="4" t="s">
        <v>94</v>
      </c>
      <c r="C230" s="1">
        <v>5</v>
      </c>
      <c r="D230">
        <v>40</v>
      </c>
      <c r="E230">
        <v>1</v>
      </c>
      <c r="F230">
        <v>20</v>
      </c>
      <c r="G230">
        <v>112</v>
      </c>
      <c r="H230">
        <f t="shared" ref="H230" si="900">AVERAGE(G230:G232)</f>
        <v>107.33333333333333</v>
      </c>
      <c r="I230">
        <f t="shared" ref="I230" si="901">_xlfn.STDEV.P(G230:G232)</f>
        <v>3.39934634239519</v>
      </c>
      <c r="J230">
        <v>2</v>
      </c>
      <c r="K230">
        <f t="shared" ref="K230" si="902">AVERAGE(J230:J232)</f>
        <v>2</v>
      </c>
      <c r="L230">
        <f t="shared" ref="L230" si="903">_xlfn.STDEV.P(J230:J232)</f>
        <v>0.81649658092772603</v>
      </c>
      <c r="M230">
        <v>101</v>
      </c>
      <c r="N230">
        <f t="shared" ref="N230" si="904">AVERAGE(M230:M232)</f>
        <v>98.666666666666671</v>
      </c>
      <c r="O230">
        <f t="shared" ref="O230" si="905">_xlfn.STDEV.P(M230:M232)</f>
        <v>2.6246692913372702</v>
      </c>
      <c r="P230">
        <v>168</v>
      </c>
      <c r="Q230">
        <v>0.74</v>
      </c>
      <c r="R230">
        <v>124.32</v>
      </c>
      <c r="S230">
        <v>0.7</v>
      </c>
      <c r="T230">
        <v>117.6</v>
      </c>
      <c r="U230">
        <v>14.01</v>
      </c>
    </row>
    <row r="231" spans="1:21" x14ac:dyDescent="0.25">
      <c r="A231" t="s">
        <v>395</v>
      </c>
      <c r="B231" s="4" t="s">
        <v>94</v>
      </c>
      <c r="C231" s="1">
        <v>5</v>
      </c>
      <c r="D231">
        <v>40</v>
      </c>
      <c r="E231">
        <v>2</v>
      </c>
      <c r="F231">
        <v>24</v>
      </c>
      <c r="G231">
        <v>104</v>
      </c>
      <c r="H231">
        <f t="shared" ref="H231:I231" si="906">H230</f>
        <v>107.33333333333333</v>
      </c>
      <c r="I231">
        <f t="shared" si="906"/>
        <v>3.39934634239519</v>
      </c>
      <c r="J231">
        <v>3</v>
      </c>
      <c r="K231">
        <f t="shared" ref="K231:L231" si="907">K230</f>
        <v>2</v>
      </c>
      <c r="L231">
        <f t="shared" si="907"/>
        <v>0.81649658092772603</v>
      </c>
      <c r="M231">
        <v>100</v>
      </c>
      <c r="N231">
        <f t="shared" ref="N231:O231" si="908">N230</f>
        <v>98.666666666666671</v>
      </c>
      <c r="O231">
        <f t="shared" si="908"/>
        <v>2.6246692913372702</v>
      </c>
      <c r="P231">
        <v>162</v>
      </c>
      <c r="Q231">
        <v>0.7</v>
      </c>
      <c r="R231">
        <v>113.39999999999999</v>
      </c>
      <c r="S231">
        <v>0.77</v>
      </c>
      <c r="T231">
        <v>124.74000000000001</v>
      </c>
      <c r="U231">
        <v>14.77</v>
      </c>
    </row>
    <row r="232" spans="1:21" x14ac:dyDescent="0.25">
      <c r="A232" t="s">
        <v>395</v>
      </c>
      <c r="B232" s="4" t="s">
        <v>94</v>
      </c>
      <c r="C232" s="1">
        <v>5</v>
      </c>
      <c r="D232">
        <v>40</v>
      </c>
      <c r="E232">
        <v>3</v>
      </c>
      <c r="F232">
        <v>22</v>
      </c>
      <c r="G232">
        <v>106</v>
      </c>
      <c r="H232">
        <f t="shared" ref="H232:I232" si="909">H230</f>
        <v>107.33333333333333</v>
      </c>
      <c r="I232">
        <f t="shared" si="909"/>
        <v>3.39934634239519</v>
      </c>
      <c r="J232">
        <v>1</v>
      </c>
      <c r="K232">
        <f t="shared" ref="K232:L232" si="910">K230</f>
        <v>2</v>
      </c>
      <c r="L232">
        <f t="shared" si="910"/>
        <v>0.81649658092772603</v>
      </c>
      <c r="M232">
        <v>95</v>
      </c>
      <c r="N232">
        <f t="shared" ref="N232:O232" si="911">N230</f>
        <v>98.666666666666671</v>
      </c>
      <c r="O232">
        <f t="shared" si="911"/>
        <v>2.6246692913372702</v>
      </c>
      <c r="P232">
        <v>165</v>
      </c>
      <c r="Q232">
        <v>0.68</v>
      </c>
      <c r="R232">
        <v>112.2</v>
      </c>
      <c r="S232">
        <v>0.76</v>
      </c>
      <c r="T232">
        <v>125.4</v>
      </c>
      <c r="U232" t="s">
        <v>20</v>
      </c>
    </row>
    <row r="233" spans="1:21" x14ac:dyDescent="0.25">
      <c r="A233" t="s">
        <v>396</v>
      </c>
      <c r="B233" s="4" t="s">
        <v>94</v>
      </c>
      <c r="C233" s="1">
        <v>5</v>
      </c>
      <c r="D233">
        <v>40</v>
      </c>
      <c r="E233">
        <v>1</v>
      </c>
      <c r="F233" t="s">
        <v>20</v>
      </c>
      <c r="G233">
        <v>100</v>
      </c>
      <c r="H233">
        <f t="shared" ref="H233" si="912">AVERAGE(G233:G235)</f>
        <v>99.666666666666671</v>
      </c>
      <c r="I233">
        <f t="shared" ref="I233" si="913">_xlfn.STDEV.P(G233:G235)</f>
        <v>0.47140452079103168</v>
      </c>
      <c r="J233">
        <v>1</v>
      </c>
      <c r="K233">
        <f t="shared" ref="K233" si="914">AVERAGE(J233:J235)</f>
        <v>1</v>
      </c>
      <c r="L233">
        <f t="shared" ref="L233" si="915">_xlfn.STDEV.P(J233:J235)</f>
        <v>0</v>
      </c>
      <c r="M233">
        <v>88</v>
      </c>
      <c r="N233">
        <f t="shared" ref="N233" si="916">AVERAGE(M233:M235)</f>
        <v>89.666666666666671</v>
      </c>
      <c r="O233">
        <f t="shared" ref="O233" si="917">_xlfn.STDEV.P(M233:M235)</f>
        <v>1.247219128924647</v>
      </c>
      <c r="P233">
        <v>159</v>
      </c>
      <c r="Q233">
        <v>0.66</v>
      </c>
      <c r="R233">
        <v>104.94000000000001</v>
      </c>
      <c r="S233">
        <v>0.71</v>
      </c>
      <c r="T233">
        <v>112.89</v>
      </c>
      <c r="U233">
        <v>16.54</v>
      </c>
    </row>
    <row r="234" spans="1:21" x14ac:dyDescent="0.25">
      <c r="A234" t="s">
        <v>396</v>
      </c>
      <c r="B234" s="4" t="s">
        <v>94</v>
      </c>
      <c r="C234" s="1">
        <v>5</v>
      </c>
      <c r="D234">
        <v>40</v>
      </c>
      <c r="E234">
        <v>2</v>
      </c>
      <c r="F234">
        <v>48</v>
      </c>
      <c r="G234">
        <v>99</v>
      </c>
      <c r="H234">
        <f t="shared" ref="H234:I234" si="918">H233</f>
        <v>99.666666666666671</v>
      </c>
      <c r="I234">
        <f t="shared" si="918"/>
        <v>0.47140452079103168</v>
      </c>
      <c r="J234">
        <v>1</v>
      </c>
      <c r="K234">
        <f t="shared" ref="K234:L234" si="919">K233</f>
        <v>1</v>
      </c>
      <c r="L234">
        <f t="shared" si="919"/>
        <v>0</v>
      </c>
      <c r="M234">
        <v>91</v>
      </c>
      <c r="N234">
        <f t="shared" ref="N234:O234" si="920">N233</f>
        <v>89.666666666666671</v>
      </c>
      <c r="O234">
        <f t="shared" si="920"/>
        <v>1.247219128924647</v>
      </c>
      <c r="P234">
        <v>155</v>
      </c>
      <c r="Q234">
        <v>0.61</v>
      </c>
      <c r="R234">
        <v>94.55</v>
      </c>
      <c r="S234">
        <v>0.77</v>
      </c>
      <c r="T234">
        <v>119.35000000000001</v>
      </c>
      <c r="U234">
        <v>16.309999999999999</v>
      </c>
    </row>
    <row r="235" spans="1:21" x14ac:dyDescent="0.25">
      <c r="A235" t="s">
        <v>396</v>
      </c>
      <c r="B235" s="4" t="s">
        <v>94</v>
      </c>
      <c r="C235" s="1">
        <v>5</v>
      </c>
      <c r="D235">
        <v>40</v>
      </c>
      <c r="E235">
        <v>3</v>
      </c>
      <c r="F235">
        <v>54</v>
      </c>
      <c r="G235">
        <v>100</v>
      </c>
      <c r="H235">
        <f t="shared" ref="H235:I235" si="921">H233</f>
        <v>99.666666666666671</v>
      </c>
      <c r="I235">
        <f t="shared" si="921"/>
        <v>0.47140452079103168</v>
      </c>
      <c r="J235">
        <v>1</v>
      </c>
      <c r="K235">
        <f t="shared" ref="K235:L235" si="922">K233</f>
        <v>1</v>
      </c>
      <c r="L235">
        <f t="shared" si="922"/>
        <v>0</v>
      </c>
      <c r="M235">
        <v>90</v>
      </c>
      <c r="N235">
        <f t="shared" ref="N235:O235" si="923">N233</f>
        <v>89.666666666666671</v>
      </c>
      <c r="O235">
        <f t="shared" si="923"/>
        <v>1.247219128924647</v>
      </c>
      <c r="P235">
        <v>153</v>
      </c>
      <c r="Q235">
        <v>0.62</v>
      </c>
      <c r="R235">
        <v>94.86</v>
      </c>
      <c r="S235">
        <v>0.66</v>
      </c>
      <c r="T235">
        <v>100.98</v>
      </c>
      <c r="U235">
        <v>16.96</v>
      </c>
    </row>
    <row r="236" spans="1:21" x14ac:dyDescent="0.25">
      <c r="A236" t="s">
        <v>397</v>
      </c>
      <c r="B236" s="4" t="s">
        <v>94</v>
      </c>
      <c r="C236" s="1">
        <v>5</v>
      </c>
      <c r="D236">
        <v>40</v>
      </c>
      <c r="E236">
        <v>1</v>
      </c>
      <c r="F236">
        <v>58</v>
      </c>
      <c r="G236">
        <v>95</v>
      </c>
      <c r="H236">
        <f t="shared" ref="H236" si="924">AVERAGE(G236:G238)</f>
        <v>98.333333333333329</v>
      </c>
      <c r="I236">
        <f t="shared" ref="I236" si="925">_xlfn.STDEV.P(G236:G238)</f>
        <v>2.3570226039551581</v>
      </c>
      <c r="J236">
        <v>1</v>
      </c>
      <c r="K236">
        <f t="shared" ref="K236" si="926">AVERAGE(J236:J238)</f>
        <v>2.3333333333333335</v>
      </c>
      <c r="L236">
        <f t="shared" ref="L236" si="927">_xlfn.STDEV.P(J236:J238)</f>
        <v>1.247219128924647</v>
      </c>
      <c r="M236">
        <v>99</v>
      </c>
      <c r="N236">
        <f t="shared" ref="N236" si="928">AVERAGE(M236:M238)</f>
        <v>102.33333333333333</v>
      </c>
      <c r="O236">
        <f t="shared" ref="O236" si="929">_xlfn.STDEV.P(M236:M238)</f>
        <v>4.0276819911981905</v>
      </c>
      <c r="P236">
        <v>147</v>
      </c>
      <c r="Q236">
        <v>0.72</v>
      </c>
      <c r="R236">
        <v>105.83999999999999</v>
      </c>
      <c r="S236">
        <v>0.75</v>
      </c>
      <c r="T236">
        <v>110.25</v>
      </c>
      <c r="U236">
        <v>13.95</v>
      </c>
    </row>
    <row r="237" spans="1:21" x14ac:dyDescent="0.25">
      <c r="A237" t="s">
        <v>397</v>
      </c>
      <c r="B237" s="4" t="s">
        <v>94</v>
      </c>
      <c r="C237" s="1">
        <v>5</v>
      </c>
      <c r="D237">
        <v>40</v>
      </c>
      <c r="E237">
        <v>2</v>
      </c>
      <c r="F237">
        <v>58</v>
      </c>
      <c r="G237">
        <v>100</v>
      </c>
      <c r="H237">
        <f t="shared" ref="H237:I237" si="930">H236</f>
        <v>98.333333333333329</v>
      </c>
      <c r="I237">
        <f t="shared" si="930"/>
        <v>2.3570226039551581</v>
      </c>
      <c r="J237">
        <v>4</v>
      </c>
      <c r="K237">
        <f t="shared" ref="K237:L237" si="931">K236</f>
        <v>2.3333333333333335</v>
      </c>
      <c r="L237">
        <f t="shared" si="931"/>
        <v>1.247219128924647</v>
      </c>
      <c r="M237">
        <v>108</v>
      </c>
      <c r="N237">
        <f t="shared" ref="N237:O237" si="932">N236</f>
        <v>102.33333333333333</v>
      </c>
      <c r="O237">
        <f t="shared" si="932"/>
        <v>4.0276819911981905</v>
      </c>
      <c r="P237">
        <v>152</v>
      </c>
      <c r="Q237">
        <v>0.65</v>
      </c>
      <c r="R237">
        <v>98.8</v>
      </c>
      <c r="S237">
        <v>0.76</v>
      </c>
      <c r="T237">
        <v>115.52</v>
      </c>
      <c r="U237">
        <v>14.39</v>
      </c>
    </row>
    <row r="238" spans="1:21" x14ac:dyDescent="0.25">
      <c r="A238" t="s">
        <v>397</v>
      </c>
      <c r="B238" s="4" t="s">
        <v>94</v>
      </c>
      <c r="C238" s="1">
        <v>5</v>
      </c>
      <c r="D238">
        <v>40</v>
      </c>
      <c r="E238">
        <v>3</v>
      </c>
      <c r="F238">
        <v>60</v>
      </c>
      <c r="G238">
        <v>100</v>
      </c>
      <c r="H238">
        <f t="shared" ref="H238:I238" si="933">H236</f>
        <v>98.333333333333329</v>
      </c>
      <c r="I238">
        <f t="shared" si="933"/>
        <v>2.3570226039551581</v>
      </c>
      <c r="J238">
        <v>2</v>
      </c>
      <c r="K238">
        <f t="shared" ref="K238:L238" si="934">K236</f>
        <v>2.3333333333333335</v>
      </c>
      <c r="L238">
        <f t="shared" si="934"/>
        <v>1.247219128924647</v>
      </c>
      <c r="M238">
        <v>100</v>
      </c>
      <c r="N238">
        <f t="shared" ref="N238:O238" si="935">N236</f>
        <v>102.33333333333333</v>
      </c>
      <c r="O238">
        <f t="shared" si="935"/>
        <v>4.0276819911981905</v>
      </c>
      <c r="P238">
        <v>150</v>
      </c>
      <c r="Q238">
        <v>0.67</v>
      </c>
      <c r="R238">
        <v>100.5</v>
      </c>
      <c r="S238">
        <v>0.77</v>
      </c>
      <c r="T238">
        <v>115.5</v>
      </c>
      <c r="U238" t="s">
        <v>20</v>
      </c>
    </row>
    <row r="239" spans="1:21" x14ac:dyDescent="0.25">
      <c r="A239" t="s">
        <v>398</v>
      </c>
      <c r="B239" s="4" t="s">
        <v>94</v>
      </c>
      <c r="C239" s="1">
        <v>4</v>
      </c>
      <c r="D239">
        <v>40</v>
      </c>
      <c r="E239">
        <v>1</v>
      </c>
      <c r="F239">
        <v>80</v>
      </c>
      <c r="G239">
        <v>109</v>
      </c>
      <c r="H239">
        <f t="shared" ref="H239" si="936">AVERAGE(G239:G241)</f>
        <v>107</v>
      </c>
      <c r="I239">
        <f t="shared" ref="I239" si="937">_xlfn.STDEV.P(G239:G241)</f>
        <v>1.4142135623730951</v>
      </c>
      <c r="J239">
        <v>2</v>
      </c>
      <c r="K239">
        <f t="shared" ref="K239" si="938">AVERAGE(J239:J241)</f>
        <v>1.3333333333333333</v>
      </c>
      <c r="L239">
        <f t="shared" ref="L239" si="939">_xlfn.STDEV.P(J239:J241)</f>
        <v>0.47140452079103168</v>
      </c>
      <c r="M239">
        <v>96</v>
      </c>
      <c r="N239">
        <f t="shared" ref="N239" si="940">AVERAGE(M239:M241)</f>
        <v>103.66666666666667</v>
      </c>
      <c r="O239">
        <f t="shared" ref="O239" si="941">_xlfn.STDEV.P(M239:M241)</f>
        <v>5.7927157323275882</v>
      </c>
      <c r="P239">
        <v>166</v>
      </c>
      <c r="Q239">
        <v>0.66</v>
      </c>
      <c r="R239">
        <v>109.56</v>
      </c>
      <c r="S239">
        <v>0.71</v>
      </c>
      <c r="T239">
        <v>117.86</v>
      </c>
      <c r="U239">
        <v>14.67</v>
      </c>
    </row>
    <row r="240" spans="1:21" x14ac:dyDescent="0.25">
      <c r="A240" t="s">
        <v>398</v>
      </c>
      <c r="B240" s="4" t="s">
        <v>94</v>
      </c>
      <c r="C240" s="1">
        <v>4</v>
      </c>
      <c r="D240">
        <v>40</v>
      </c>
      <c r="E240">
        <v>2</v>
      </c>
      <c r="F240">
        <v>78</v>
      </c>
      <c r="G240">
        <v>106</v>
      </c>
      <c r="H240">
        <f t="shared" ref="H240:I240" si="942">H239</f>
        <v>107</v>
      </c>
      <c r="I240">
        <f t="shared" si="942"/>
        <v>1.4142135623730951</v>
      </c>
      <c r="J240">
        <v>1</v>
      </c>
      <c r="K240">
        <f t="shared" ref="K240:L240" si="943">K239</f>
        <v>1.3333333333333333</v>
      </c>
      <c r="L240">
        <f t="shared" si="943"/>
        <v>0.47140452079103168</v>
      </c>
      <c r="M240">
        <v>105</v>
      </c>
      <c r="N240">
        <f t="shared" ref="N240:O240" si="944">N239</f>
        <v>103.66666666666667</v>
      </c>
      <c r="O240">
        <f t="shared" si="944"/>
        <v>5.7927157323275882</v>
      </c>
      <c r="P240">
        <v>167</v>
      </c>
      <c r="Q240">
        <v>0.64</v>
      </c>
      <c r="R240">
        <v>106.88</v>
      </c>
      <c r="S240">
        <v>0.59</v>
      </c>
      <c r="T240">
        <v>98.53</v>
      </c>
      <c r="U240" t="s">
        <v>20</v>
      </c>
    </row>
    <row r="241" spans="1:21" x14ac:dyDescent="0.25">
      <c r="A241" t="s">
        <v>398</v>
      </c>
      <c r="B241" s="4" t="s">
        <v>94</v>
      </c>
      <c r="C241" s="1">
        <v>4</v>
      </c>
      <c r="D241">
        <v>40</v>
      </c>
      <c r="E241">
        <v>3</v>
      </c>
      <c r="F241">
        <v>106</v>
      </c>
      <c r="G241">
        <v>106</v>
      </c>
      <c r="H241">
        <f t="shared" ref="H241:I241" si="945">H239</f>
        <v>107</v>
      </c>
      <c r="I241">
        <f t="shared" si="945"/>
        <v>1.4142135623730951</v>
      </c>
      <c r="J241">
        <v>1</v>
      </c>
      <c r="K241">
        <f t="shared" ref="K241:L241" si="946">K239</f>
        <v>1.3333333333333333</v>
      </c>
      <c r="L241">
        <f t="shared" si="946"/>
        <v>0.47140452079103168</v>
      </c>
      <c r="M241">
        <v>110</v>
      </c>
      <c r="N241">
        <f t="shared" ref="N241:O241" si="947">N239</f>
        <v>103.66666666666667</v>
      </c>
      <c r="O241">
        <f t="shared" si="947"/>
        <v>5.7927157323275882</v>
      </c>
      <c r="P241">
        <v>167</v>
      </c>
      <c r="Q241">
        <v>0.6</v>
      </c>
      <c r="R241">
        <v>100.2</v>
      </c>
      <c r="S241">
        <v>0.65</v>
      </c>
      <c r="T241">
        <v>108.55</v>
      </c>
      <c r="U241" t="s">
        <v>20</v>
      </c>
    </row>
    <row r="242" spans="1:21" x14ac:dyDescent="0.25">
      <c r="A242" t="s">
        <v>399</v>
      </c>
      <c r="B242" s="4" t="s">
        <v>94</v>
      </c>
      <c r="C242" s="1">
        <v>5</v>
      </c>
      <c r="D242">
        <v>40</v>
      </c>
      <c r="E242">
        <v>1</v>
      </c>
      <c r="F242">
        <v>68</v>
      </c>
      <c r="G242">
        <v>109</v>
      </c>
      <c r="H242">
        <f t="shared" ref="H242" si="948">AVERAGE(G242:G244)</f>
        <v>108</v>
      </c>
      <c r="I242">
        <f t="shared" ref="I242" si="949">_xlfn.STDEV.P(G242:G244)</f>
        <v>1.4142135623730951</v>
      </c>
      <c r="J242">
        <v>3</v>
      </c>
      <c r="K242">
        <f t="shared" ref="K242" si="950">AVERAGE(J242:J244)</f>
        <v>2.6666666666666665</v>
      </c>
      <c r="L242">
        <f t="shared" ref="L242" si="951">_xlfn.STDEV.P(J242:J244)</f>
        <v>0.47140452079103168</v>
      </c>
      <c r="M242">
        <v>110</v>
      </c>
      <c r="N242">
        <f t="shared" ref="N242" si="952">AVERAGE(M242:M244)</f>
        <v>113.66666666666667</v>
      </c>
      <c r="O242">
        <f t="shared" ref="O242" si="953">_xlfn.STDEV.P(M242:M244)</f>
        <v>5.9066817155564504</v>
      </c>
      <c r="P242">
        <v>166</v>
      </c>
      <c r="Q242">
        <v>0.63</v>
      </c>
      <c r="R242">
        <v>104.58</v>
      </c>
      <c r="S242">
        <v>0.67</v>
      </c>
      <c r="T242">
        <v>111.22000000000001</v>
      </c>
      <c r="U242">
        <v>17.87</v>
      </c>
    </row>
    <row r="243" spans="1:21" x14ac:dyDescent="0.25">
      <c r="A243" t="s">
        <v>399</v>
      </c>
      <c r="B243" s="4" t="s">
        <v>94</v>
      </c>
      <c r="C243" s="1">
        <v>5</v>
      </c>
      <c r="D243">
        <v>40</v>
      </c>
      <c r="E243">
        <v>2</v>
      </c>
      <c r="F243">
        <v>78</v>
      </c>
      <c r="G243">
        <v>109</v>
      </c>
      <c r="H243">
        <f t="shared" ref="H243:I243" si="954">H242</f>
        <v>108</v>
      </c>
      <c r="I243">
        <f t="shared" si="954"/>
        <v>1.4142135623730951</v>
      </c>
      <c r="J243">
        <v>2</v>
      </c>
      <c r="K243">
        <f t="shared" ref="K243:L243" si="955">K242</f>
        <v>2.6666666666666665</v>
      </c>
      <c r="L243">
        <f t="shared" si="955"/>
        <v>0.47140452079103168</v>
      </c>
      <c r="M243">
        <v>109</v>
      </c>
      <c r="N243">
        <f t="shared" ref="N243:O243" si="956">N242</f>
        <v>113.66666666666667</v>
      </c>
      <c r="O243">
        <f t="shared" si="956"/>
        <v>5.9066817155564504</v>
      </c>
      <c r="P243">
        <v>167</v>
      </c>
      <c r="Q243">
        <v>0.66</v>
      </c>
      <c r="R243">
        <v>110.22</v>
      </c>
      <c r="S243">
        <v>0.63</v>
      </c>
      <c r="T243">
        <v>105.21</v>
      </c>
      <c r="U243">
        <v>16.78</v>
      </c>
    </row>
    <row r="244" spans="1:21" x14ac:dyDescent="0.25">
      <c r="A244" t="s">
        <v>399</v>
      </c>
      <c r="B244" s="4" t="s">
        <v>94</v>
      </c>
      <c r="C244" s="1">
        <v>5</v>
      </c>
      <c r="D244">
        <v>40</v>
      </c>
      <c r="E244">
        <v>3</v>
      </c>
      <c r="F244">
        <v>72</v>
      </c>
      <c r="G244">
        <v>106</v>
      </c>
      <c r="H244">
        <f t="shared" ref="H244:I244" si="957">H242</f>
        <v>108</v>
      </c>
      <c r="I244">
        <f t="shared" si="957"/>
        <v>1.4142135623730951</v>
      </c>
      <c r="J244">
        <v>3</v>
      </c>
      <c r="K244">
        <f t="shared" ref="K244:L244" si="958">K242</f>
        <v>2.6666666666666665</v>
      </c>
      <c r="L244">
        <f t="shared" si="958"/>
        <v>0.47140452079103168</v>
      </c>
      <c r="M244">
        <v>122</v>
      </c>
      <c r="N244">
        <f t="shared" ref="N244:O244" si="959">N242</f>
        <v>113.66666666666667</v>
      </c>
      <c r="O244">
        <f t="shared" si="959"/>
        <v>5.9066817155564504</v>
      </c>
      <c r="P244">
        <v>162</v>
      </c>
      <c r="Q244">
        <v>0.64</v>
      </c>
      <c r="R244">
        <v>103.68</v>
      </c>
      <c r="S244">
        <v>0.62</v>
      </c>
      <c r="T244">
        <v>100.44</v>
      </c>
      <c r="U244" t="s">
        <v>20</v>
      </c>
    </row>
    <row r="245" spans="1:21" x14ac:dyDescent="0.25">
      <c r="A245" t="s">
        <v>400</v>
      </c>
      <c r="B245" s="4" t="s">
        <v>94</v>
      </c>
      <c r="C245" s="1">
        <v>5</v>
      </c>
      <c r="D245">
        <v>40</v>
      </c>
      <c r="E245">
        <v>1</v>
      </c>
      <c r="F245">
        <v>14</v>
      </c>
      <c r="G245">
        <v>103</v>
      </c>
      <c r="H245">
        <f t="shared" ref="H245" si="960">AVERAGE(G245:G247)</f>
        <v>102.66666666666667</v>
      </c>
      <c r="I245">
        <f t="shared" ref="I245" si="961">_xlfn.STDEV.P(G245:G247)</f>
        <v>1.247219128924647</v>
      </c>
      <c r="J245">
        <v>0</v>
      </c>
      <c r="K245">
        <f t="shared" ref="K245" si="962">AVERAGE(J245:J247)</f>
        <v>1</v>
      </c>
      <c r="L245">
        <f t="shared" ref="L245" si="963">_xlfn.STDEV.P(J245:J247)</f>
        <v>0.81649658092772603</v>
      </c>
      <c r="M245">
        <v>95</v>
      </c>
      <c r="N245">
        <f t="shared" ref="N245" si="964">AVERAGE(M245:M247)</f>
        <v>93.666666666666671</v>
      </c>
      <c r="O245">
        <f t="shared" ref="O245" si="965">_xlfn.STDEV.P(M245:M247)</f>
        <v>1.8856180831641267</v>
      </c>
      <c r="P245">
        <v>155</v>
      </c>
      <c r="Q245">
        <v>0.62</v>
      </c>
      <c r="R245">
        <v>96.1</v>
      </c>
      <c r="S245">
        <v>0.57999999999999996</v>
      </c>
      <c r="T245">
        <v>89.899999999999991</v>
      </c>
      <c r="U245">
        <v>13.48</v>
      </c>
    </row>
    <row r="246" spans="1:21" x14ac:dyDescent="0.25">
      <c r="A246" t="s">
        <v>400</v>
      </c>
      <c r="B246" s="4" t="s">
        <v>94</v>
      </c>
      <c r="C246" s="1">
        <v>5</v>
      </c>
      <c r="D246">
        <v>40</v>
      </c>
      <c r="E246">
        <v>2</v>
      </c>
      <c r="F246">
        <v>20</v>
      </c>
      <c r="G246">
        <v>104</v>
      </c>
      <c r="H246">
        <f t="shared" ref="H246:I246" si="966">H245</f>
        <v>102.66666666666667</v>
      </c>
      <c r="I246">
        <f t="shared" si="966"/>
        <v>1.247219128924647</v>
      </c>
      <c r="J246">
        <v>2</v>
      </c>
      <c r="K246">
        <f t="shared" ref="K246:L246" si="967">K245</f>
        <v>1</v>
      </c>
      <c r="L246">
        <f t="shared" si="967"/>
        <v>0.81649658092772603</v>
      </c>
      <c r="M246">
        <v>95</v>
      </c>
      <c r="N246">
        <f t="shared" ref="N246:O246" si="968">N245</f>
        <v>93.666666666666671</v>
      </c>
      <c r="O246">
        <f t="shared" si="968"/>
        <v>1.8856180831641267</v>
      </c>
      <c r="P246">
        <v>159</v>
      </c>
      <c r="Q246">
        <v>0.63</v>
      </c>
      <c r="R246">
        <v>100.17</v>
      </c>
      <c r="S246">
        <v>0.67</v>
      </c>
      <c r="T246">
        <v>106.53</v>
      </c>
      <c r="U246">
        <v>16.5</v>
      </c>
    </row>
    <row r="247" spans="1:21" x14ac:dyDescent="0.25">
      <c r="A247" t="s">
        <v>400</v>
      </c>
      <c r="B247" s="4" t="s">
        <v>94</v>
      </c>
      <c r="C247" s="1">
        <v>5</v>
      </c>
      <c r="D247">
        <v>40</v>
      </c>
      <c r="E247">
        <v>3</v>
      </c>
      <c r="F247">
        <v>48</v>
      </c>
      <c r="G247">
        <v>101</v>
      </c>
      <c r="H247">
        <f t="shared" ref="H247:I247" si="969">H245</f>
        <v>102.66666666666667</v>
      </c>
      <c r="I247">
        <f t="shared" si="969"/>
        <v>1.247219128924647</v>
      </c>
      <c r="J247">
        <v>1</v>
      </c>
      <c r="K247">
        <f t="shared" ref="K247:L247" si="970">K245</f>
        <v>1</v>
      </c>
      <c r="L247">
        <f t="shared" si="970"/>
        <v>0.81649658092772603</v>
      </c>
      <c r="M247">
        <v>91</v>
      </c>
      <c r="N247">
        <f t="shared" ref="N247:O247" si="971">N245</f>
        <v>93.666666666666671</v>
      </c>
      <c r="O247">
        <f t="shared" si="971"/>
        <v>1.8856180831641267</v>
      </c>
      <c r="P247">
        <v>155</v>
      </c>
      <c r="Q247">
        <v>0.55000000000000004</v>
      </c>
      <c r="R247">
        <v>85.25</v>
      </c>
      <c r="S247">
        <v>0.65</v>
      </c>
      <c r="T247">
        <v>100.75</v>
      </c>
      <c r="U247" t="s">
        <v>20</v>
      </c>
    </row>
    <row r="248" spans="1:21" x14ac:dyDescent="0.25">
      <c r="A248" t="s">
        <v>401</v>
      </c>
      <c r="B248" s="4" t="s">
        <v>94</v>
      </c>
      <c r="C248" s="1">
        <v>4</v>
      </c>
      <c r="D248">
        <v>40</v>
      </c>
      <c r="E248">
        <v>1</v>
      </c>
      <c r="F248">
        <v>28</v>
      </c>
      <c r="G248">
        <v>101</v>
      </c>
      <c r="H248">
        <f t="shared" ref="H248" si="972">AVERAGE(G248:G250)</f>
        <v>100.66666666666667</v>
      </c>
      <c r="I248">
        <f t="shared" ref="I248" si="973">_xlfn.STDEV.P(G248:G250)</f>
        <v>0.47140452079103168</v>
      </c>
      <c r="J248">
        <v>2</v>
      </c>
      <c r="K248">
        <f t="shared" ref="K248" si="974">AVERAGE(J248:J250)</f>
        <v>0.66666666666666663</v>
      </c>
      <c r="L248">
        <f t="shared" ref="L248" si="975">_xlfn.STDEV.P(J248:J250)</f>
        <v>0.94280904158206336</v>
      </c>
      <c r="M248">
        <v>89</v>
      </c>
      <c r="N248">
        <f t="shared" ref="N248" si="976">AVERAGE(M248:M250)</f>
        <v>100.33333333333333</v>
      </c>
      <c r="O248">
        <f t="shared" ref="O248" si="977">_xlfn.STDEV.P(M248:M250)</f>
        <v>8.6538366571647796</v>
      </c>
      <c r="P248">
        <v>159</v>
      </c>
      <c r="Q248">
        <v>0.67</v>
      </c>
      <c r="R248">
        <v>106.53</v>
      </c>
      <c r="S248">
        <v>0.7</v>
      </c>
      <c r="T248">
        <v>111.3</v>
      </c>
      <c r="U248">
        <v>16.79</v>
      </c>
    </row>
    <row r="249" spans="1:21" x14ac:dyDescent="0.25">
      <c r="A249" t="s">
        <v>401</v>
      </c>
      <c r="B249" s="4" t="s">
        <v>94</v>
      </c>
      <c r="C249" s="1">
        <v>4</v>
      </c>
      <c r="D249">
        <v>40</v>
      </c>
      <c r="E249">
        <v>2</v>
      </c>
      <c r="F249">
        <v>32</v>
      </c>
      <c r="G249">
        <v>101</v>
      </c>
      <c r="H249">
        <f t="shared" ref="H249:I249" si="978">H248</f>
        <v>100.66666666666667</v>
      </c>
      <c r="I249">
        <f t="shared" si="978"/>
        <v>0.47140452079103168</v>
      </c>
      <c r="J249">
        <v>0</v>
      </c>
      <c r="K249">
        <f t="shared" ref="K249:L249" si="979">K248</f>
        <v>0.66666666666666663</v>
      </c>
      <c r="L249">
        <f t="shared" si="979"/>
        <v>0.94280904158206336</v>
      </c>
      <c r="M249">
        <v>110</v>
      </c>
      <c r="N249">
        <f t="shared" ref="N249:O249" si="980">N248</f>
        <v>100.33333333333333</v>
      </c>
      <c r="O249">
        <f t="shared" si="980"/>
        <v>8.6538366571647796</v>
      </c>
      <c r="P249">
        <v>167</v>
      </c>
      <c r="Q249">
        <v>0.54</v>
      </c>
      <c r="R249">
        <v>90.18</v>
      </c>
      <c r="S249">
        <v>0.71</v>
      </c>
      <c r="T249">
        <v>118.57</v>
      </c>
      <c r="U249">
        <v>15.08</v>
      </c>
    </row>
    <row r="250" spans="1:21" x14ac:dyDescent="0.25">
      <c r="A250" t="s">
        <v>401</v>
      </c>
      <c r="B250" s="4" t="s">
        <v>94</v>
      </c>
      <c r="C250" s="1">
        <v>4</v>
      </c>
      <c r="D250">
        <v>40</v>
      </c>
      <c r="E250">
        <v>3</v>
      </c>
      <c r="F250">
        <v>16</v>
      </c>
      <c r="G250">
        <v>100</v>
      </c>
      <c r="H250">
        <f t="shared" ref="H250:I250" si="981">H248</f>
        <v>100.66666666666667</v>
      </c>
      <c r="I250">
        <f t="shared" si="981"/>
        <v>0.47140452079103168</v>
      </c>
      <c r="J250">
        <v>0</v>
      </c>
      <c r="K250">
        <f t="shared" ref="K250:L250" si="982">K248</f>
        <v>0.66666666666666663</v>
      </c>
      <c r="L250">
        <f t="shared" si="982"/>
        <v>0.94280904158206336</v>
      </c>
      <c r="M250">
        <v>102</v>
      </c>
      <c r="N250">
        <f t="shared" ref="N250:O250" si="983">N248</f>
        <v>100.33333333333333</v>
      </c>
      <c r="O250">
        <f t="shared" si="983"/>
        <v>8.6538366571647796</v>
      </c>
      <c r="P250">
        <v>155</v>
      </c>
      <c r="Q250">
        <v>0.69</v>
      </c>
      <c r="R250">
        <v>106.94999999999999</v>
      </c>
      <c r="S250">
        <v>0.65</v>
      </c>
      <c r="T250">
        <v>100.75</v>
      </c>
      <c r="U250" t="s">
        <v>20</v>
      </c>
    </row>
    <row r="251" spans="1:21" x14ac:dyDescent="0.25">
      <c r="A251" t="s">
        <v>402</v>
      </c>
      <c r="B251" s="4" t="s">
        <v>14</v>
      </c>
      <c r="C251" s="1">
        <v>1</v>
      </c>
      <c r="D251">
        <v>40</v>
      </c>
      <c r="E251">
        <v>1</v>
      </c>
      <c r="F251">
        <v>74</v>
      </c>
      <c r="G251">
        <v>123</v>
      </c>
      <c r="H251">
        <f t="shared" ref="H251" si="984">AVERAGE(G251:G253)</f>
        <v>122</v>
      </c>
      <c r="I251">
        <f t="shared" ref="I251" si="985">_xlfn.STDEV.P(G251:G253)</f>
        <v>2.1602468994692869</v>
      </c>
      <c r="J251">
        <v>7</v>
      </c>
      <c r="K251">
        <f t="shared" ref="K251" si="986">AVERAGE(J251:J253)</f>
        <v>5</v>
      </c>
      <c r="L251">
        <f t="shared" ref="L251" si="987">_xlfn.STDEV.P(J251:J253)</f>
        <v>1.6329931618554521</v>
      </c>
      <c r="M251">
        <v>109</v>
      </c>
      <c r="N251">
        <f t="shared" ref="N251" si="988">AVERAGE(M251:M253)</f>
        <v>99.333333333333329</v>
      </c>
      <c r="O251">
        <f t="shared" ref="O251" si="989">_xlfn.STDEV.P(M251:M253)</f>
        <v>8.1785627642568652</v>
      </c>
      <c r="P251">
        <v>186</v>
      </c>
      <c r="Q251">
        <v>0.71</v>
      </c>
      <c r="R251">
        <v>132.06</v>
      </c>
      <c r="S251">
        <v>0.68</v>
      </c>
      <c r="T251">
        <v>126.48</v>
      </c>
      <c r="U251">
        <v>13.02</v>
      </c>
    </row>
    <row r="252" spans="1:21" x14ac:dyDescent="0.25">
      <c r="A252" t="s">
        <v>402</v>
      </c>
      <c r="B252" s="4" t="s">
        <v>14</v>
      </c>
      <c r="C252" s="1">
        <v>1</v>
      </c>
      <c r="D252">
        <v>40</v>
      </c>
      <c r="E252">
        <v>2</v>
      </c>
      <c r="F252">
        <v>64</v>
      </c>
      <c r="G252">
        <v>124</v>
      </c>
      <c r="H252">
        <f t="shared" ref="H252:I252" si="990">H251</f>
        <v>122</v>
      </c>
      <c r="I252">
        <f t="shared" si="990"/>
        <v>2.1602468994692869</v>
      </c>
      <c r="J252">
        <v>5</v>
      </c>
      <c r="K252">
        <f t="shared" ref="K252:L252" si="991">K251</f>
        <v>5</v>
      </c>
      <c r="L252">
        <f t="shared" si="991"/>
        <v>1.6329931618554521</v>
      </c>
      <c r="M252">
        <v>89</v>
      </c>
      <c r="N252">
        <f t="shared" ref="N252:O252" si="992">N251</f>
        <v>99.333333333333329</v>
      </c>
      <c r="O252">
        <f t="shared" si="992"/>
        <v>8.1785627642568652</v>
      </c>
      <c r="P252">
        <v>186</v>
      </c>
      <c r="Q252">
        <v>0.69</v>
      </c>
      <c r="R252">
        <v>128.34</v>
      </c>
      <c r="S252">
        <v>0.61</v>
      </c>
      <c r="T252">
        <v>113.46</v>
      </c>
      <c r="U252" t="s">
        <v>20</v>
      </c>
    </row>
    <row r="253" spans="1:21" x14ac:dyDescent="0.25">
      <c r="A253" t="s">
        <v>402</v>
      </c>
      <c r="B253" s="4" t="s">
        <v>14</v>
      </c>
      <c r="C253" s="1">
        <v>1</v>
      </c>
      <c r="D253">
        <v>40</v>
      </c>
      <c r="E253">
        <v>3</v>
      </c>
      <c r="F253">
        <v>60</v>
      </c>
      <c r="G253">
        <v>119</v>
      </c>
      <c r="H253">
        <f t="shared" ref="H253:I253" si="993">H251</f>
        <v>122</v>
      </c>
      <c r="I253">
        <f t="shared" si="993"/>
        <v>2.1602468994692869</v>
      </c>
      <c r="J253">
        <v>3</v>
      </c>
      <c r="K253">
        <f t="shared" ref="K253:L253" si="994">K251</f>
        <v>5</v>
      </c>
      <c r="L253">
        <f t="shared" si="994"/>
        <v>1.6329931618554521</v>
      </c>
      <c r="M253">
        <v>100</v>
      </c>
      <c r="N253">
        <f t="shared" ref="N253:O253" si="995">N251</f>
        <v>99.333333333333329</v>
      </c>
      <c r="O253">
        <f t="shared" si="995"/>
        <v>8.1785627642568652</v>
      </c>
      <c r="P253">
        <v>186</v>
      </c>
      <c r="Q253">
        <v>0.68</v>
      </c>
      <c r="R253">
        <v>126.48</v>
      </c>
      <c r="S253">
        <v>0.66</v>
      </c>
      <c r="T253">
        <v>122.76</v>
      </c>
      <c r="U253" t="s">
        <v>20</v>
      </c>
    </row>
    <row r="254" spans="1:21" x14ac:dyDescent="0.25">
      <c r="A254" t="s">
        <v>403</v>
      </c>
      <c r="B254" s="4" t="s">
        <v>94</v>
      </c>
      <c r="C254" s="1">
        <v>5</v>
      </c>
      <c r="D254">
        <v>40</v>
      </c>
      <c r="E254">
        <v>1</v>
      </c>
      <c r="F254">
        <v>38</v>
      </c>
      <c r="G254">
        <v>112</v>
      </c>
      <c r="H254">
        <f t="shared" ref="H254" si="996">AVERAGE(G254:G256)</f>
        <v>110</v>
      </c>
      <c r="I254">
        <f t="shared" ref="I254" si="997">_xlfn.STDEV.P(G254:G256)</f>
        <v>1.4142135623730951</v>
      </c>
      <c r="J254">
        <v>1</v>
      </c>
      <c r="K254">
        <f t="shared" ref="K254" si="998">AVERAGE(J254:J256)</f>
        <v>1.3333333333333333</v>
      </c>
      <c r="L254">
        <f t="shared" ref="L254" si="999">_xlfn.STDEV.P(J254:J256)</f>
        <v>0.47140452079103168</v>
      </c>
      <c r="M254">
        <v>100</v>
      </c>
      <c r="N254">
        <f t="shared" ref="N254" si="1000">AVERAGE(M254:M256)</f>
        <v>105.66666666666667</v>
      </c>
      <c r="O254">
        <f t="shared" ref="O254" si="1001">_xlfn.STDEV.P(M254:M256)</f>
        <v>4.9216076867444665</v>
      </c>
      <c r="P254">
        <v>162</v>
      </c>
      <c r="Q254">
        <v>0.67</v>
      </c>
      <c r="R254">
        <v>108.54</v>
      </c>
      <c r="S254">
        <v>0.69</v>
      </c>
      <c r="T254">
        <v>111.77999999999999</v>
      </c>
      <c r="U254">
        <v>16.12</v>
      </c>
    </row>
    <row r="255" spans="1:21" x14ac:dyDescent="0.25">
      <c r="A255" t="s">
        <v>403</v>
      </c>
      <c r="B255" s="4" t="s">
        <v>94</v>
      </c>
      <c r="C255" s="1">
        <v>5</v>
      </c>
      <c r="D255">
        <v>40</v>
      </c>
      <c r="E255">
        <v>2</v>
      </c>
      <c r="F255">
        <v>34</v>
      </c>
      <c r="G255">
        <v>109</v>
      </c>
      <c r="H255">
        <f t="shared" ref="H255:I255" si="1002">H254</f>
        <v>110</v>
      </c>
      <c r="I255">
        <f t="shared" si="1002"/>
        <v>1.4142135623730951</v>
      </c>
      <c r="J255">
        <v>1</v>
      </c>
      <c r="K255">
        <f t="shared" ref="K255:L255" si="1003">K254</f>
        <v>1.3333333333333333</v>
      </c>
      <c r="L255">
        <f t="shared" si="1003"/>
        <v>0.47140452079103168</v>
      </c>
      <c r="M255">
        <v>105</v>
      </c>
      <c r="N255">
        <f t="shared" ref="N255:O255" si="1004">N254</f>
        <v>105.66666666666667</v>
      </c>
      <c r="O255">
        <f t="shared" si="1004"/>
        <v>4.9216076867444665</v>
      </c>
      <c r="P255">
        <v>167</v>
      </c>
      <c r="Q255">
        <v>0.64</v>
      </c>
      <c r="R255">
        <v>106.88</v>
      </c>
      <c r="S255">
        <v>0.57999999999999996</v>
      </c>
      <c r="T255">
        <v>96.86</v>
      </c>
      <c r="U255">
        <v>16.059999999999999</v>
      </c>
    </row>
    <row r="256" spans="1:21" x14ac:dyDescent="0.25">
      <c r="A256" t="s">
        <v>403</v>
      </c>
      <c r="B256" s="4" t="s">
        <v>94</v>
      </c>
      <c r="C256" s="1">
        <v>5</v>
      </c>
      <c r="D256">
        <v>40</v>
      </c>
      <c r="E256">
        <v>3</v>
      </c>
      <c r="F256">
        <v>30</v>
      </c>
      <c r="G256">
        <v>109</v>
      </c>
      <c r="H256">
        <f t="shared" ref="H256:I256" si="1005">H254</f>
        <v>110</v>
      </c>
      <c r="I256">
        <f t="shared" si="1005"/>
        <v>1.4142135623730951</v>
      </c>
      <c r="J256">
        <v>2</v>
      </c>
      <c r="K256">
        <f t="shared" ref="K256:L256" si="1006">K254</f>
        <v>1.3333333333333333</v>
      </c>
      <c r="L256">
        <f t="shared" si="1006"/>
        <v>0.47140452079103168</v>
      </c>
      <c r="M256">
        <v>112</v>
      </c>
      <c r="N256">
        <f t="shared" ref="N256:O256" si="1007">N254</f>
        <v>105.66666666666667</v>
      </c>
      <c r="O256">
        <f t="shared" si="1007"/>
        <v>4.9216076867444665</v>
      </c>
      <c r="P256">
        <v>177</v>
      </c>
      <c r="Q256">
        <v>0.71</v>
      </c>
      <c r="R256">
        <v>125.66999999999999</v>
      </c>
      <c r="S256">
        <v>0.61</v>
      </c>
      <c r="T256">
        <v>107.97</v>
      </c>
      <c r="U256" t="s">
        <v>20</v>
      </c>
    </row>
    <row r="257" spans="1:21" x14ac:dyDescent="0.25">
      <c r="A257" t="s">
        <v>404</v>
      </c>
      <c r="B257" s="4" t="s">
        <v>94</v>
      </c>
      <c r="C257" s="1">
        <v>4</v>
      </c>
      <c r="D257">
        <v>40</v>
      </c>
      <c r="E257">
        <v>1</v>
      </c>
      <c r="F257">
        <v>44</v>
      </c>
      <c r="G257">
        <v>104</v>
      </c>
      <c r="H257">
        <f t="shared" ref="H257" si="1008">AVERAGE(G257:G259)</f>
        <v>104.66666666666667</v>
      </c>
      <c r="I257">
        <f t="shared" ref="I257" si="1009">_xlfn.STDEV.P(G257:G259)</f>
        <v>0.94280904158206336</v>
      </c>
      <c r="J257">
        <v>1</v>
      </c>
      <c r="K257">
        <f t="shared" ref="K257" si="1010">AVERAGE(J257:J259)</f>
        <v>1</v>
      </c>
      <c r="L257">
        <f t="shared" ref="L257" si="1011">_xlfn.STDEV.P(J257:J259)</f>
        <v>0</v>
      </c>
      <c r="M257">
        <v>95</v>
      </c>
      <c r="N257">
        <f t="shared" ref="N257" si="1012">AVERAGE(M257:M259)</f>
        <v>93.333333333333329</v>
      </c>
      <c r="O257">
        <f t="shared" ref="O257" si="1013">_xlfn.STDEV.P(M257:M259)</f>
        <v>2.3570226039551581</v>
      </c>
      <c r="P257">
        <v>159</v>
      </c>
      <c r="Q257">
        <v>0.67</v>
      </c>
      <c r="R257">
        <v>106.53</v>
      </c>
      <c r="S257">
        <v>0.6</v>
      </c>
      <c r="T257">
        <v>95.399999999999991</v>
      </c>
      <c r="U257">
        <v>17.329999999999998</v>
      </c>
    </row>
    <row r="258" spans="1:21" x14ac:dyDescent="0.25">
      <c r="A258" t="s">
        <v>404</v>
      </c>
      <c r="B258" s="4" t="s">
        <v>94</v>
      </c>
      <c r="C258" s="1">
        <v>4</v>
      </c>
      <c r="D258">
        <v>40</v>
      </c>
      <c r="E258">
        <v>2</v>
      </c>
      <c r="F258">
        <v>50</v>
      </c>
      <c r="G258">
        <v>106</v>
      </c>
      <c r="H258">
        <f t="shared" ref="H258:I258" si="1014">H257</f>
        <v>104.66666666666667</v>
      </c>
      <c r="I258">
        <f t="shared" si="1014"/>
        <v>0.94280904158206336</v>
      </c>
      <c r="J258">
        <v>1</v>
      </c>
      <c r="K258">
        <f t="shared" ref="K258:L258" si="1015">K257</f>
        <v>1</v>
      </c>
      <c r="L258">
        <f t="shared" si="1015"/>
        <v>0</v>
      </c>
      <c r="M258">
        <v>95</v>
      </c>
      <c r="N258">
        <f t="shared" ref="N258:O258" si="1016">N257</f>
        <v>93.333333333333329</v>
      </c>
      <c r="O258">
        <f t="shared" si="1016"/>
        <v>2.3570226039551581</v>
      </c>
      <c r="P258">
        <v>162</v>
      </c>
      <c r="Q258">
        <v>0.71</v>
      </c>
      <c r="R258">
        <v>115.02</v>
      </c>
      <c r="S258">
        <v>0.57999999999999996</v>
      </c>
      <c r="T258">
        <v>93.96</v>
      </c>
      <c r="U258">
        <v>15.5</v>
      </c>
    </row>
    <row r="259" spans="1:21" x14ac:dyDescent="0.25">
      <c r="A259" t="s">
        <v>404</v>
      </c>
      <c r="B259" s="4" t="s">
        <v>94</v>
      </c>
      <c r="C259" s="1">
        <v>4</v>
      </c>
      <c r="D259">
        <v>40</v>
      </c>
      <c r="E259">
        <v>3</v>
      </c>
      <c r="F259">
        <v>28</v>
      </c>
      <c r="G259">
        <v>104</v>
      </c>
      <c r="H259">
        <f t="shared" ref="H259:I259" si="1017">H257</f>
        <v>104.66666666666667</v>
      </c>
      <c r="I259">
        <f t="shared" si="1017"/>
        <v>0.94280904158206336</v>
      </c>
      <c r="J259">
        <v>1</v>
      </c>
      <c r="K259">
        <f t="shared" ref="K259:L259" si="1018">K257</f>
        <v>1</v>
      </c>
      <c r="L259">
        <f t="shared" si="1018"/>
        <v>0</v>
      </c>
      <c r="M259">
        <v>90</v>
      </c>
      <c r="N259">
        <f t="shared" ref="N259:O259" si="1019">N257</f>
        <v>93.333333333333329</v>
      </c>
      <c r="O259">
        <f t="shared" si="1019"/>
        <v>2.3570226039551581</v>
      </c>
      <c r="P259">
        <v>167</v>
      </c>
      <c r="Q259">
        <v>0.63</v>
      </c>
      <c r="R259">
        <v>105.21</v>
      </c>
      <c r="S259">
        <v>0.56000000000000005</v>
      </c>
      <c r="T259">
        <v>93.52000000000001</v>
      </c>
      <c r="U259" t="s">
        <v>20</v>
      </c>
    </row>
    <row r="260" spans="1:21" x14ac:dyDescent="0.25">
      <c r="A260" t="s">
        <v>405</v>
      </c>
      <c r="B260" s="4" t="s">
        <v>94</v>
      </c>
      <c r="C260" s="1">
        <v>5</v>
      </c>
      <c r="D260">
        <v>40</v>
      </c>
      <c r="E260">
        <v>1</v>
      </c>
      <c r="F260">
        <v>20</v>
      </c>
      <c r="G260">
        <v>103</v>
      </c>
      <c r="H260">
        <f t="shared" ref="H260" si="1020">AVERAGE(G260:G262)</f>
        <v>100.33333333333333</v>
      </c>
      <c r="I260">
        <f t="shared" ref="I260" si="1021">_xlfn.STDEV.P(G260:G262)</f>
        <v>1.8856180831641267</v>
      </c>
      <c r="J260">
        <v>4</v>
      </c>
      <c r="K260">
        <f t="shared" ref="K260" si="1022">AVERAGE(J260:J262)</f>
        <v>5.333333333333333</v>
      </c>
      <c r="L260">
        <f t="shared" ref="L260" si="1023">_xlfn.STDEV.P(J260:J262)</f>
        <v>0.94280904158206336</v>
      </c>
      <c r="M260">
        <v>86</v>
      </c>
      <c r="N260">
        <f t="shared" ref="N260" si="1024">AVERAGE(M260:M262)</f>
        <v>82.666666666666671</v>
      </c>
      <c r="O260">
        <f t="shared" ref="O260" si="1025">_xlfn.STDEV.P(M260:M262)</f>
        <v>7.7172246018601509</v>
      </c>
      <c r="P260">
        <v>155</v>
      </c>
      <c r="Q260">
        <v>0.61</v>
      </c>
      <c r="R260">
        <v>94.55</v>
      </c>
      <c r="S260">
        <v>0.64</v>
      </c>
      <c r="T260">
        <v>99.2</v>
      </c>
      <c r="U260">
        <v>13.39</v>
      </c>
    </row>
    <row r="261" spans="1:21" x14ac:dyDescent="0.25">
      <c r="A261" t="s">
        <v>405</v>
      </c>
      <c r="B261" s="4" t="s">
        <v>94</v>
      </c>
      <c r="C261" s="1">
        <v>5</v>
      </c>
      <c r="D261">
        <v>40</v>
      </c>
      <c r="E261">
        <v>2</v>
      </c>
      <c r="F261">
        <v>36</v>
      </c>
      <c r="G261">
        <v>99</v>
      </c>
      <c r="H261">
        <f t="shared" ref="H261:I261" si="1026">H260</f>
        <v>100.33333333333333</v>
      </c>
      <c r="I261">
        <f t="shared" si="1026"/>
        <v>1.8856180831641267</v>
      </c>
      <c r="J261">
        <v>6</v>
      </c>
      <c r="K261">
        <f t="shared" ref="K261:L261" si="1027">K260</f>
        <v>5.333333333333333</v>
      </c>
      <c r="L261">
        <f t="shared" si="1027"/>
        <v>0.94280904158206336</v>
      </c>
      <c r="M261">
        <v>90</v>
      </c>
      <c r="N261">
        <f t="shared" ref="N261:O261" si="1028">N260</f>
        <v>82.666666666666671</v>
      </c>
      <c r="O261">
        <f t="shared" si="1028"/>
        <v>7.7172246018601509</v>
      </c>
      <c r="P261">
        <v>149</v>
      </c>
      <c r="Q261">
        <v>0.68</v>
      </c>
      <c r="R261">
        <v>101.32000000000001</v>
      </c>
      <c r="S261">
        <v>0.66</v>
      </c>
      <c r="T261">
        <v>98.34</v>
      </c>
      <c r="U261">
        <v>13.63</v>
      </c>
    </row>
    <row r="262" spans="1:21" x14ac:dyDescent="0.25">
      <c r="A262" t="s">
        <v>405</v>
      </c>
      <c r="B262" s="4" t="s">
        <v>94</v>
      </c>
      <c r="C262" s="1">
        <v>5</v>
      </c>
      <c r="D262">
        <v>40</v>
      </c>
      <c r="E262">
        <v>3</v>
      </c>
      <c r="F262">
        <v>30</v>
      </c>
      <c r="G262">
        <v>99</v>
      </c>
      <c r="H262">
        <f t="shared" ref="H262:I262" si="1029">H260</f>
        <v>100.33333333333333</v>
      </c>
      <c r="I262">
        <f t="shared" si="1029"/>
        <v>1.8856180831641267</v>
      </c>
      <c r="J262">
        <v>6</v>
      </c>
      <c r="K262">
        <f t="shared" ref="K262:L262" si="1030">K260</f>
        <v>5.333333333333333</v>
      </c>
      <c r="L262">
        <f t="shared" si="1030"/>
        <v>0.94280904158206336</v>
      </c>
      <c r="M262">
        <v>72</v>
      </c>
      <c r="N262">
        <f t="shared" ref="N262:O262" si="1031">N260</f>
        <v>82.666666666666671</v>
      </c>
      <c r="O262">
        <f t="shared" si="1031"/>
        <v>7.7172246018601509</v>
      </c>
      <c r="P262">
        <v>150</v>
      </c>
      <c r="Q262">
        <v>0.64</v>
      </c>
      <c r="R262">
        <v>96</v>
      </c>
      <c r="S262">
        <v>0.75</v>
      </c>
      <c r="T262">
        <v>112.5</v>
      </c>
      <c r="U262" t="s">
        <v>20</v>
      </c>
    </row>
    <row r="263" spans="1:21" x14ac:dyDescent="0.25">
      <c r="A263" t="s">
        <v>406</v>
      </c>
      <c r="B263" s="4" t="s">
        <v>94</v>
      </c>
      <c r="C263" s="1">
        <v>5</v>
      </c>
      <c r="D263">
        <v>40</v>
      </c>
      <c r="E263">
        <v>1</v>
      </c>
      <c r="F263">
        <v>50</v>
      </c>
      <c r="G263">
        <v>112</v>
      </c>
      <c r="H263">
        <f t="shared" ref="H263" si="1032">AVERAGE(G263:G265)</f>
        <v>108.33333333333333</v>
      </c>
      <c r="I263">
        <f t="shared" ref="I263" si="1033">_xlfn.STDEV.P(G263:G265)</f>
        <v>3.2998316455372216</v>
      </c>
      <c r="J263">
        <v>3</v>
      </c>
      <c r="K263">
        <f t="shared" ref="K263" si="1034">AVERAGE(J263:J265)</f>
        <v>3.6666666666666665</v>
      </c>
      <c r="L263">
        <f t="shared" ref="L263" si="1035">_xlfn.STDEV.P(J263:J265)</f>
        <v>0.94280904158206336</v>
      </c>
      <c r="M263">
        <v>102</v>
      </c>
      <c r="N263">
        <f t="shared" ref="N263" si="1036">AVERAGE(M263:M265)</f>
        <v>99</v>
      </c>
      <c r="O263">
        <f t="shared" ref="O263" si="1037">_xlfn.STDEV.P(M263:M265)</f>
        <v>2.9439202887759488</v>
      </c>
      <c r="P263">
        <v>162</v>
      </c>
      <c r="Q263">
        <v>0.71</v>
      </c>
      <c r="R263">
        <v>115.02</v>
      </c>
      <c r="S263">
        <v>0.68</v>
      </c>
      <c r="T263">
        <v>110.16000000000001</v>
      </c>
      <c r="U263">
        <v>16.61</v>
      </c>
    </row>
    <row r="264" spans="1:21" x14ac:dyDescent="0.25">
      <c r="A264" t="s">
        <v>406</v>
      </c>
      <c r="B264" s="4" t="s">
        <v>94</v>
      </c>
      <c r="C264" s="1">
        <v>5</v>
      </c>
      <c r="D264">
        <v>40</v>
      </c>
      <c r="E264">
        <v>2</v>
      </c>
      <c r="F264">
        <v>40</v>
      </c>
      <c r="G264">
        <v>109</v>
      </c>
      <c r="H264">
        <f t="shared" ref="H264:I264" si="1038">H263</f>
        <v>108.33333333333333</v>
      </c>
      <c r="I264">
        <f t="shared" si="1038"/>
        <v>3.2998316455372216</v>
      </c>
      <c r="J264">
        <v>5</v>
      </c>
      <c r="K264">
        <f t="shared" ref="K264:L264" si="1039">K263</f>
        <v>3.6666666666666665</v>
      </c>
      <c r="L264">
        <f t="shared" si="1039"/>
        <v>0.94280904158206336</v>
      </c>
      <c r="M264">
        <v>100</v>
      </c>
      <c r="N264">
        <f t="shared" ref="N264:O264" si="1040">N263</f>
        <v>99</v>
      </c>
      <c r="O264">
        <f t="shared" si="1040"/>
        <v>2.9439202887759488</v>
      </c>
      <c r="P264">
        <v>167</v>
      </c>
      <c r="Q264">
        <v>0.65</v>
      </c>
      <c r="R264">
        <v>108.55</v>
      </c>
      <c r="S264">
        <v>0.75</v>
      </c>
      <c r="T264">
        <v>125.25</v>
      </c>
      <c r="U264">
        <v>15.58</v>
      </c>
    </row>
    <row r="265" spans="1:21" x14ac:dyDescent="0.25">
      <c r="A265" t="s">
        <v>406</v>
      </c>
      <c r="B265" s="4" t="s">
        <v>94</v>
      </c>
      <c r="C265" s="1">
        <v>5</v>
      </c>
      <c r="D265">
        <v>40</v>
      </c>
      <c r="E265">
        <v>3</v>
      </c>
      <c r="F265">
        <v>26</v>
      </c>
      <c r="G265">
        <v>104</v>
      </c>
      <c r="H265">
        <f t="shared" ref="H265:I265" si="1041">H263</f>
        <v>108.33333333333333</v>
      </c>
      <c r="I265">
        <f t="shared" si="1041"/>
        <v>3.2998316455372216</v>
      </c>
      <c r="J265">
        <v>3</v>
      </c>
      <c r="K265">
        <f t="shared" ref="K265:L265" si="1042">K263</f>
        <v>3.6666666666666665</v>
      </c>
      <c r="L265">
        <f t="shared" si="1042"/>
        <v>0.94280904158206336</v>
      </c>
      <c r="M265">
        <v>95</v>
      </c>
      <c r="N265">
        <f t="shared" ref="N265:O265" si="1043">N263</f>
        <v>99</v>
      </c>
      <c r="O265">
        <f t="shared" si="1043"/>
        <v>2.9439202887759488</v>
      </c>
      <c r="P265">
        <v>156</v>
      </c>
      <c r="Q265">
        <v>0.67</v>
      </c>
      <c r="R265">
        <v>104.52000000000001</v>
      </c>
      <c r="S265">
        <v>0.69</v>
      </c>
      <c r="T265">
        <v>107.63999999999999</v>
      </c>
      <c r="U265" t="s">
        <v>20</v>
      </c>
    </row>
    <row r="266" spans="1:21" x14ac:dyDescent="0.25">
      <c r="A266" t="s">
        <v>407</v>
      </c>
      <c r="B266" s="4" t="s">
        <v>94</v>
      </c>
      <c r="C266" s="1">
        <v>5</v>
      </c>
      <c r="D266">
        <v>40</v>
      </c>
      <c r="E266">
        <v>1</v>
      </c>
      <c r="F266">
        <v>32</v>
      </c>
      <c r="G266">
        <v>95</v>
      </c>
      <c r="H266">
        <f t="shared" ref="H266" si="1044">AVERAGE(G266:G268)</f>
        <v>98.666666666666671</v>
      </c>
      <c r="I266">
        <f t="shared" ref="I266" si="1045">_xlfn.STDEV.P(G266:G268)</f>
        <v>2.6246692913372702</v>
      </c>
      <c r="J266">
        <v>1</v>
      </c>
      <c r="K266">
        <f t="shared" ref="K266" si="1046">AVERAGE(J266:J268)</f>
        <v>0.66666666666666663</v>
      </c>
      <c r="L266">
        <f t="shared" ref="L266" si="1047">_xlfn.STDEV.P(J266:J268)</f>
        <v>0.47140452079103168</v>
      </c>
      <c r="M266">
        <v>114</v>
      </c>
      <c r="N266">
        <f t="shared" ref="N266" si="1048">AVERAGE(M266:M268)</f>
        <v>101.33333333333333</v>
      </c>
      <c r="O266">
        <f t="shared" ref="O266" si="1049">_xlfn.STDEV.P(M266:M268)</f>
        <v>10.208928554075703</v>
      </c>
      <c r="P266">
        <v>147</v>
      </c>
      <c r="Q266">
        <v>0.63</v>
      </c>
      <c r="R266">
        <v>92.61</v>
      </c>
      <c r="S266">
        <v>0.7</v>
      </c>
      <c r="T266">
        <v>102.89999999999999</v>
      </c>
      <c r="U266">
        <v>15.2</v>
      </c>
    </row>
    <row r="267" spans="1:21" x14ac:dyDescent="0.25">
      <c r="A267" t="s">
        <v>407</v>
      </c>
      <c r="B267" s="4" t="s">
        <v>94</v>
      </c>
      <c r="C267" s="1">
        <v>5</v>
      </c>
      <c r="D267">
        <v>40</v>
      </c>
      <c r="E267">
        <v>2</v>
      </c>
      <c r="F267">
        <v>30</v>
      </c>
      <c r="G267">
        <v>100</v>
      </c>
      <c r="H267">
        <f t="shared" ref="H267:I267" si="1050">H266</f>
        <v>98.666666666666671</v>
      </c>
      <c r="I267">
        <f t="shared" si="1050"/>
        <v>2.6246692913372702</v>
      </c>
      <c r="J267">
        <v>0</v>
      </c>
      <c r="K267">
        <f t="shared" ref="K267:L267" si="1051">K266</f>
        <v>0.66666666666666663</v>
      </c>
      <c r="L267">
        <f t="shared" si="1051"/>
        <v>0.47140452079103168</v>
      </c>
      <c r="M267">
        <v>89</v>
      </c>
      <c r="N267">
        <f t="shared" ref="N267:O267" si="1052">N266</f>
        <v>101.33333333333333</v>
      </c>
      <c r="O267">
        <f t="shared" si="1052"/>
        <v>10.208928554075703</v>
      </c>
      <c r="P267">
        <v>152</v>
      </c>
      <c r="Q267">
        <v>0.56000000000000005</v>
      </c>
      <c r="R267">
        <v>85.12</v>
      </c>
      <c r="S267">
        <v>0.66</v>
      </c>
      <c r="T267">
        <v>100.32000000000001</v>
      </c>
      <c r="U267">
        <v>17.12</v>
      </c>
    </row>
    <row r="268" spans="1:21" x14ac:dyDescent="0.25">
      <c r="A268" t="s">
        <v>407</v>
      </c>
      <c r="B268" s="4" t="s">
        <v>94</v>
      </c>
      <c r="C268" s="1">
        <v>5</v>
      </c>
      <c r="D268">
        <v>40</v>
      </c>
      <c r="E268">
        <v>3</v>
      </c>
      <c r="F268">
        <v>16</v>
      </c>
      <c r="G268">
        <v>101</v>
      </c>
      <c r="H268">
        <f t="shared" ref="H268:I268" si="1053">H266</f>
        <v>98.666666666666671</v>
      </c>
      <c r="I268">
        <f t="shared" si="1053"/>
        <v>2.6246692913372702</v>
      </c>
      <c r="J268">
        <v>1</v>
      </c>
      <c r="K268">
        <f t="shared" ref="K268:L268" si="1054">K266</f>
        <v>0.66666666666666663</v>
      </c>
      <c r="L268">
        <f t="shared" si="1054"/>
        <v>0.47140452079103168</v>
      </c>
      <c r="M268">
        <v>101</v>
      </c>
      <c r="N268">
        <f t="shared" ref="N268:O268" si="1055">N266</f>
        <v>101.33333333333333</v>
      </c>
      <c r="O268">
        <f t="shared" si="1055"/>
        <v>10.208928554075703</v>
      </c>
      <c r="P268">
        <v>155</v>
      </c>
      <c r="Q268">
        <v>0.44</v>
      </c>
      <c r="R268">
        <v>68.2</v>
      </c>
      <c r="S268">
        <v>0.56000000000000005</v>
      </c>
      <c r="T268">
        <v>86.800000000000011</v>
      </c>
      <c r="U268" t="s">
        <v>20</v>
      </c>
    </row>
    <row r="269" spans="1:21" x14ac:dyDescent="0.25">
      <c r="A269" t="s">
        <v>408</v>
      </c>
      <c r="B269" s="4" t="s">
        <v>94</v>
      </c>
      <c r="C269" s="1">
        <v>5</v>
      </c>
      <c r="D269">
        <v>40</v>
      </c>
      <c r="E269">
        <v>1</v>
      </c>
      <c r="F269">
        <v>12</v>
      </c>
      <c r="G269">
        <v>92</v>
      </c>
      <c r="H269">
        <f t="shared" ref="H269" si="1056">AVERAGE(G269:G271)</f>
        <v>97.333333333333329</v>
      </c>
      <c r="I269">
        <f t="shared" ref="I269" si="1057">_xlfn.STDEV.P(G269:G271)</f>
        <v>3.7712361663282534</v>
      </c>
      <c r="J269">
        <v>3</v>
      </c>
      <c r="K269">
        <f t="shared" ref="K269" si="1058">AVERAGE(J269:J271)</f>
        <v>3.3333333333333335</v>
      </c>
      <c r="L269">
        <f t="shared" ref="L269" si="1059">_xlfn.STDEV.P(J269:J271)</f>
        <v>0.47140452079103168</v>
      </c>
      <c r="M269">
        <v>99</v>
      </c>
      <c r="N269">
        <f t="shared" ref="N269" si="1060">AVERAGE(M269:M271)</f>
        <v>99.666666666666671</v>
      </c>
      <c r="O269">
        <f t="shared" ref="O269" si="1061">_xlfn.STDEV.P(M269:M271)</f>
        <v>4.1096093353126513</v>
      </c>
      <c r="P269">
        <v>139</v>
      </c>
      <c r="Q269">
        <v>0.64</v>
      </c>
      <c r="R269">
        <v>88.960000000000008</v>
      </c>
      <c r="S269">
        <v>0.74</v>
      </c>
      <c r="T269">
        <v>102.86</v>
      </c>
      <c r="U269">
        <v>15.59</v>
      </c>
    </row>
    <row r="270" spans="1:21" x14ac:dyDescent="0.25">
      <c r="A270" t="s">
        <v>408</v>
      </c>
      <c r="B270" s="4" t="s">
        <v>94</v>
      </c>
      <c r="C270" s="1">
        <v>5</v>
      </c>
      <c r="D270">
        <v>40</v>
      </c>
      <c r="E270">
        <v>2</v>
      </c>
      <c r="F270">
        <v>30</v>
      </c>
      <c r="G270">
        <v>100</v>
      </c>
      <c r="H270">
        <f t="shared" ref="H270:I270" si="1062">H269</f>
        <v>97.333333333333329</v>
      </c>
      <c r="I270">
        <f t="shared" si="1062"/>
        <v>3.7712361663282534</v>
      </c>
      <c r="J270">
        <v>4</v>
      </c>
      <c r="K270">
        <f t="shared" ref="K270:L270" si="1063">K269</f>
        <v>3.3333333333333335</v>
      </c>
      <c r="L270">
        <f t="shared" si="1063"/>
        <v>0.47140452079103168</v>
      </c>
      <c r="M270">
        <v>95</v>
      </c>
      <c r="N270">
        <f t="shared" ref="N270:O270" si="1064">N269</f>
        <v>99.666666666666671</v>
      </c>
      <c r="O270">
        <f t="shared" si="1064"/>
        <v>4.1096093353126513</v>
      </c>
      <c r="P270">
        <v>152</v>
      </c>
      <c r="Q270">
        <v>0.6</v>
      </c>
      <c r="R270">
        <v>91.2</v>
      </c>
      <c r="S270">
        <v>0.68</v>
      </c>
      <c r="T270">
        <v>103.36000000000001</v>
      </c>
      <c r="U270">
        <v>16.93</v>
      </c>
    </row>
    <row r="271" spans="1:21" x14ac:dyDescent="0.25">
      <c r="A271" t="s">
        <v>408</v>
      </c>
      <c r="B271" s="4" t="s">
        <v>94</v>
      </c>
      <c r="C271" s="1">
        <v>5</v>
      </c>
      <c r="D271">
        <v>40</v>
      </c>
      <c r="E271">
        <v>3</v>
      </c>
      <c r="F271">
        <v>22</v>
      </c>
      <c r="G271">
        <v>100</v>
      </c>
      <c r="H271">
        <f t="shared" ref="H271:I271" si="1065">H269</f>
        <v>97.333333333333329</v>
      </c>
      <c r="I271">
        <f t="shared" si="1065"/>
        <v>3.7712361663282534</v>
      </c>
      <c r="J271">
        <v>3</v>
      </c>
      <c r="K271">
        <f t="shared" ref="K271:L271" si="1066">K269</f>
        <v>3.3333333333333335</v>
      </c>
      <c r="L271">
        <f t="shared" si="1066"/>
        <v>0.47140452079103168</v>
      </c>
      <c r="M271">
        <v>105</v>
      </c>
      <c r="N271">
        <f t="shared" ref="N271:O271" si="1067">N269</f>
        <v>99.666666666666671</v>
      </c>
      <c r="O271">
        <f t="shared" si="1067"/>
        <v>4.1096093353126513</v>
      </c>
      <c r="P271">
        <v>153</v>
      </c>
      <c r="Q271">
        <v>0.55000000000000004</v>
      </c>
      <c r="R271">
        <v>84.15</v>
      </c>
      <c r="S271">
        <v>0.72</v>
      </c>
      <c r="T271">
        <v>110.16</v>
      </c>
      <c r="U271" t="s">
        <v>20</v>
      </c>
    </row>
    <row r="272" spans="1:21" x14ac:dyDescent="0.25">
      <c r="A272" t="s">
        <v>409</v>
      </c>
      <c r="B272" s="4" t="s">
        <v>94</v>
      </c>
      <c r="C272" s="1">
        <v>5</v>
      </c>
      <c r="D272">
        <v>40</v>
      </c>
      <c r="E272">
        <v>1</v>
      </c>
      <c r="F272">
        <v>24</v>
      </c>
      <c r="G272">
        <v>106</v>
      </c>
      <c r="H272">
        <f t="shared" ref="H272" si="1068">AVERAGE(G272:G274)</f>
        <v>111</v>
      </c>
      <c r="I272">
        <f t="shared" ref="I272" si="1069">_xlfn.STDEV.P(G272:G274)</f>
        <v>3.7416573867739413</v>
      </c>
      <c r="J272">
        <v>2</v>
      </c>
      <c r="K272">
        <f t="shared" ref="K272" si="1070">AVERAGE(J272:J274)</f>
        <v>2</v>
      </c>
      <c r="L272">
        <f t="shared" ref="L272" si="1071">_xlfn.STDEV.P(J272:J274)</f>
        <v>0.81649658092772603</v>
      </c>
      <c r="M272">
        <v>100</v>
      </c>
      <c r="N272">
        <f t="shared" ref="N272" si="1072">AVERAGE(M272:M274)</f>
        <v>101.33333333333333</v>
      </c>
      <c r="O272">
        <f t="shared" ref="O272" si="1073">_xlfn.STDEV.P(M272:M274)</f>
        <v>5.7927157323275882</v>
      </c>
      <c r="P272">
        <v>159</v>
      </c>
      <c r="Q272">
        <v>0.76</v>
      </c>
      <c r="R272">
        <v>120.84</v>
      </c>
      <c r="S272">
        <v>0.78</v>
      </c>
      <c r="T272">
        <v>124.02000000000001</v>
      </c>
      <c r="U272" t="s">
        <v>20</v>
      </c>
    </row>
    <row r="273" spans="1:21" x14ac:dyDescent="0.25">
      <c r="A273" t="s">
        <v>409</v>
      </c>
      <c r="B273" s="4" t="s">
        <v>94</v>
      </c>
      <c r="C273" s="1">
        <v>5</v>
      </c>
      <c r="D273">
        <v>40</v>
      </c>
      <c r="E273">
        <v>2</v>
      </c>
      <c r="F273">
        <v>26</v>
      </c>
      <c r="G273">
        <v>112</v>
      </c>
      <c r="H273">
        <f t="shared" ref="H273:I273" si="1074">H272</f>
        <v>111</v>
      </c>
      <c r="I273">
        <f t="shared" si="1074"/>
        <v>3.7416573867739413</v>
      </c>
      <c r="J273">
        <v>3</v>
      </c>
      <c r="K273">
        <f t="shared" ref="K273:L273" si="1075">K272</f>
        <v>2</v>
      </c>
      <c r="L273">
        <f t="shared" si="1075"/>
        <v>0.81649658092772603</v>
      </c>
      <c r="M273">
        <v>95</v>
      </c>
      <c r="N273">
        <f t="shared" ref="N273:O273" si="1076">N272</f>
        <v>101.33333333333333</v>
      </c>
      <c r="O273">
        <f t="shared" si="1076"/>
        <v>5.7927157323275882</v>
      </c>
      <c r="P273">
        <v>167</v>
      </c>
      <c r="Q273">
        <v>0.64</v>
      </c>
      <c r="R273">
        <v>106.88</v>
      </c>
      <c r="S273">
        <v>0.5</v>
      </c>
      <c r="T273">
        <v>83.5</v>
      </c>
      <c r="U273" t="s">
        <v>20</v>
      </c>
    </row>
    <row r="274" spans="1:21" x14ac:dyDescent="0.25">
      <c r="A274" t="s">
        <v>409</v>
      </c>
      <c r="B274" s="4" t="s">
        <v>94</v>
      </c>
      <c r="C274" s="1">
        <v>5</v>
      </c>
      <c r="D274">
        <v>40</v>
      </c>
      <c r="E274">
        <v>3</v>
      </c>
      <c r="F274">
        <v>24</v>
      </c>
      <c r="G274">
        <v>115</v>
      </c>
      <c r="H274">
        <f t="shared" ref="H274:I274" si="1077">H272</f>
        <v>111</v>
      </c>
      <c r="I274">
        <f t="shared" si="1077"/>
        <v>3.7416573867739413</v>
      </c>
      <c r="J274">
        <v>1</v>
      </c>
      <c r="K274">
        <f t="shared" ref="K274:L274" si="1078">K272</f>
        <v>2</v>
      </c>
      <c r="L274">
        <f t="shared" si="1078"/>
        <v>0.81649658092772603</v>
      </c>
      <c r="M274">
        <v>109</v>
      </c>
      <c r="N274">
        <f t="shared" ref="N274:O274" si="1079">N272</f>
        <v>101.33333333333333</v>
      </c>
      <c r="O274">
        <f t="shared" si="1079"/>
        <v>5.7927157323275882</v>
      </c>
      <c r="P274">
        <v>186</v>
      </c>
      <c r="Q274">
        <v>0.57999999999999996</v>
      </c>
      <c r="R274">
        <v>107.88</v>
      </c>
      <c r="S274">
        <v>0.31</v>
      </c>
      <c r="T274">
        <v>57.66</v>
      </c>
      <c r="U274" t="s">
        <v>20</v>
      </c>
    </row>
    <row r="275" spans="1:21" x14ac:dyDescent="0.25">
      <c r="A275" t="s">
        <v>410</v>
      </c>
      <c r="B275" s="4" t="s">
        <v>94</v>
      </c>
      <c r="C275" s="1">
        <v>5</v>
      </c>
      <c r="D275">
        <v>40</v>
      </c>
      <c r="E275">
        <v>1</v>
      </c>
      <c r="F275">
        <v>48</v>
      </c>
      <c r="G275">
        <v>124</v>
      </c>
      <c r="H275">
        <f t="shared" ref="H275" si="1080">AVERAGE(G275:G277)</f>
        <v>122.33333333333333</v>
      </c>
      <c r="I275">
        <f t="shared" ref="I275" si="1081">_xlfn.STDEV.P(G275:G277)</f>
        <v>1.247219128924647</v>
      </c>
      <c r="J275">
        <v>3</v>
      </c>
      <c r="K275">
        <f t="shared" ref="K275" si="1082">AVERAGE(J275:J277)</f>
        <v>3</v>
      </c>
      <c r="L275">
        <f t="shared" ref="L275" si="1083">_xlfn.STDEV.P(J275:J277)</f>
        <v>0.81649658092772603</v>
      </c>
      <c r="M275">
        <v>100</v>
      </c>
      <c r="N275">
        <f t="shared" ref="N275" si="1084">AVERAGE(M275:M277)</f>
        <v>104.66666666666667</v>
      </c>
      <c r="O275">
        <f t="shared" ref="O275" si="1085">_xlfn.STDEV.P(M275:M277)</f>
        <v>4.1096093353126513</v>
      </c>
      <c r="P275">
        <v>177</v>
      </c>
      <c r="Q275">
        <v>0.59</v>
      </c>
      <c r="R275">
        <v>104.42999999999999</v>
      </c>
      <c r="S275">
        <v>0.5</v>
      </c>
      <c r="T275">
        <v>88.5</v>
      </c>
      <c r="U275" t="s">
        <v>20</v>
      </c>
    </row>
    <row r="276" spans="1:21" x14ac:dyDescent="0.25">
      <c r="A276" t="s">
        <v>410</v>
      </c>
      <c r="B276" s="4" t="s">
        <v>94</v>
      </c>
      <c r="C276" s="1">
        <v>5</v>
      </c>
      <c r="D276">
        <v>40</v>
      </c>
      <c r="E276">
        <v>2</v>
      </c>
      <c r="F276">
        <v>46</v>
      </c>
      <c r="G276">
        <v>121</v>
      </c>
      <c r="H276">
        <f t="shared" ref="H276:I276" si="1086">H275</f>
        <v>122.33333333333333</v>
      </c>
      <c r="I276">
        <f t="shared" si="1086"/>
        <v>1.247219128924647</v>
      </c>
      <c r="J276">
        <v>2</v>
      </c>
      <c r="K276">
        <f t="shared" ref="K276:L276" si="1087">K275</f>
        <v>3</v>
      </c>
      <c r="L276">
        <f t="shared" si="1087"/>
        <v>0.81649658092772603</v>
      </c>
      <c r="M276">
        <v>110</v>
      </c>
      <c r="N276">
        <f t="shared" ref="N276:O276" si="1088">N275</f>
        <v>104.66666666666667</v>
      </c>
      <c r="O276">
        <f t="shared" si="1088"/>
        <v>4.1096093353126513</v>
      </c>
      <c r="P276">
        <v>187</v>
      </c>
      <c r="Q276">
        <v>0.61</v>
      </c>
      <c r="R276">
        <v>114.07</v>
      </c>
      <c r="S276">
        <v>0.43</v>
      </c>
      <c r="T276">
        <v>80.41</v>
      </c>
      <c r="U276" t="s">
        <v>20</v>
      </c>
    </row>
    <row r="277" spans="1:21" x14ac:dyDescent="0.25">
      <c r="A277" t="s">
        <v>410</v>
      </c>
      <c r="B277" s="4" t="s">
        <v>94</v>
      </c>
      <c r="C277" s="1">
        <v>5</v>
      </c>
      <c r="D277">
        <v>40</v>
      </c>
      <c r="E277">
        <v>3</v>
      </c>
      <c r="F277">
        <v>38</v>
      </c>
      <c r="G277">
        <v>122</v>
      </c>
      <c r="H277">
        <f t="shared" ref="H277:I277" si="1089">H275</f>
        <v>122.33333333333333</v>
      </c>
      <c r="I277">
        <f t="shared" si="1089"/>
        <v>1.247219128924647</v>
      </c>
      <c r="J277">
        <v>4</v>
      </c>
      <c r="K277">
        <f t="shared" ref="K277:L277" si="1090">K275</f>
        <v>3</v>
      </c>
      <c r="L277">
        <f t="shared" si="1090"/>
        <v>0.81649658092772603</v>
      </c>
      <c r="M277">
        <v>104</v>
      </c>
      <c r="N277">
        <f t="shared" ref="N277:O277" si="1091">N275</f>
        <v>104.66666666666667</v>
      </c>
      <c r="O277">
        <f t="shared" si="1091"/>
        <v>4.1096093353126513</v>
      </c>
      <c r="P277">
        <v>192</v>
      </c>
      <c r="Q277">
        <v>0.51</v>
      </c>
      <c r="R277">
        <v>97.92</v>
      </c>
      <c r="S277">
        <v>0.3</v>
      </c>
      <c r="T277">
        <v>57.599999999999994</v>
      </c>
      <c r="U277" t="s">
        <v>20</v>
      </c>
    </row>
    <row r="278" spans="1:21" x14ac:dyDescent="0.25">
      <c r="A278" t="s">
        <v>411</v>
      </c>
      <c r="B278" s="4" t="s">
        <v>94</v>
      </c>
      <c r="C278" s="1">
        <v>5</v>
      </c>
      <c r="D278">
        <v>40</v>
      </c>
      <c r="E278">
        <v>1</v>
      </c>
      <c r="F278">
        <v>62</v>
      </c>
      <c r="G278">
        <v>122</v>
      </c>
      <c r="H278">
        <f t="shared" ref="H278" si="1092">AVERAGE(G278:G280)</f>
        <v>120.66666666666667</v>
      </c>
      <c r="I278">
        <f t="shared" ref="I278" si="1093">_xlfn.STDEV.P(G278:G280)</f>
        <v>0.94280904158206336</v>
      </c>
      <c r="J278">
        <v>1</v>
      </c>
      <c r="K278">
        <f t="shared" ref="K278" si="1094">AVERAGE(J278:J280)</f>
        <v>0.66666666666666663</v>
      </c>
      <c r="L278">
        <f t="shared" ref="L278" si="1095">_xlfn.STDEV.P(J278:J280)</f>
        <v>0.47140452079103168</v>
      </c>
      <c r="M278">
        <v>90</v>
      </c>
      <c r="N278">
        <f t="shared" ref="N278" si="1096">AVERAGE(M278:M280)</f>
        <v>94.333333333333329</v>
      </c>
      <c r="O278">
        <f t="shared" ref="O278" si="1097">_xlfn.STDEV.P(M278:M280)</f>
        <v>6.1282587702834128</v>
      </c>
      <c r="P278">
        <v>186</v>
      </c>
      <c r="Q278">
        <v>0.68</v>
      </c>
      <c r="R278">
        <v>126.48</v>
      </c>
      <c r="S278">
        <v>0.54</v>
      </c>
      <c r="T278">
        <v>100.44000000000001</v>
      </c>
      <c r="U278">
        <v>21.56</v>
      </c>
    </row>
    <row r="279" spans="1:21" x14ac:dyDescent="0.25">
      <c r="A279" t="s">
        <v>411</v>
      </c>
      <c r="B279" s="4" t="s">
        <v>94</v>
      </c>
      <c r="C279" s="1">
        <v>5</v>
      </c>
      <c r="D279">
        <v>40</v>
      </c>
      <c r="E279">
        <v>2</v>
      </c>
      <c r="F279">
        <v>50</v>
      </c>
      <c r="G279">
        <v>120</v>
      </c>
      <c r="H279">
        <f t="shared" ref="H279:I279" si="1098">H278</f>
        <v>120.66666666666667</v>
      </c>
      <c r="I279">
        <f t="shared" si="1098"/>
        <v>0.94280904158206336</v>
      </c>
      <c r="J279">
        <v>0</v>
      </c>
      <c r="K279">
        <f t="shared" ref="K279:L279" si="1099">K278</f>
        <v>0.66666666666666663</v>
      </c>
      <c r="L279">
        <f t="shared" si="1099"/>
        <v>0.47140452079103168</v>
      </c>
      <c r="M279">
        <v>103</v>
      </c>
      <c r="N279">
        <f t="shared" ref="N279:O279" si="1100">N278</f>
        <v>94.333333333333329</v>
      </c>
      <c r="O279">
        <f t="shared" si="1100"/>
        <v>6.1282587702834128</v>
      </c>
      <c r="P279">
        <v>181</v>
      </c>
      <c r="Q279">
        <v>0.59</v>
      </c>
      <c r="R279">
        <v>106.78999999999999</v>
      </c>
      <c r="S279">
        <v>0.65</v>
      </c>
      <c r="T279">
        <v>117.65</v>
      </c>
      <c r="U279">
        <v>23.58</v>
      </c>
    </row>
    <row r="280" spans="1:21" x14ac:dyDescent="0.25">
      <c r="A280" t="s">
        <v>411</v>
      </c>
      <c r="B280" s="4" t="s">
        <v>94</v>
      </c>
      <c r="C280" s="1">
        <v>5</v>
      </c>
      <c r="D280">
        <v>40</v>
      </c>
      <c r="E280">
        <v>3</v>
      </c>
      <c r="F280">
        <v>46</v>
      </c>
      <c r="G280">
        <v>120</v>
      </c>
      <c r="H280">
        <f t="shared" ref="H280:I280" si="1101">H278</f>
        <v>120.66666666666667</v>
      </c>
      <c r="I280">
        <f t="shared" si="1101"/>
        <v>0.94280904158206336</v>
      </c>
      <c r="J280">
        <v>1</v>
      </c>
      <c r="K280">
        <f t="shared" ref="K280:L280" si="1102">K278</f>
        <v>0.66666666666666663</v>
      </c>
      <c r="L280">
        <f t="shared" si="1102"/>
        <v>0.47140452079103168</v>
      </c>
      <c r="M280">
        <v>90</v>
      </c>
      <c r="N280">
        <f t="shared" ref="N280:O280" si="1103">N278</f>
        <v>94.333333333333329</v>
      </c>
      <c r="O280">
        <f t="shared" si="1103"/>
        <v>6.1282587702834128</v>
      </c>
      <c r="P280">
        <v>177</v>
      </c>
      <c r="Q280">
        <v>0.66</v>
      </c>
      <c r="R280">
        <v>116.82000000000001</v>
      </c>
      <c r="S280">
        <v>0.73</v>
      </c>
      <c r="T280">
        <v>129.21</v>
      </c>
      <c r="U280" t="s">
        <v>20</v>
      </c>
    </row>
    <row r="281" spans="1:21" x14ac:dyDescent="0.25">
      <c r="A281" t="s">
        <v>412</v>
      </c>
      <c r="B281" s="4" t="s">
        <v>94</v>
      </c>
      <c r="C281" s="1">
        <v>5</v>
      </c>
      <c r="D281">
        <v>40</v>
      </c>
      <c r="E281">
        <v>1</v>
      </c>
      <c r="F281">
        <v>38</v>
      </c>
      <c r="G281">
        <v>91</v>
      </c>
      <c r="H281">
        <f t="shared" ref="H281" si="1104">AVERAGE(G281:G283)</f>
        <v>92.333333333333329</v>
      </c>
      <c r="I281">
        <f t="shared" ref="I281" si="1105">_xlfn.STDEV.P(G281:G283)</f>
        <v>1.8856180831641267</v>
      </c>
      <c r="J281">
        <v>2</v>
      </c>
      <c r="K281">
        <f t="shared" ref="K281" si="1106">AVERAGE(J281:J283)</f>
        <v>2.3333333333333335</v>
      </c>
      <c r="L281">
        <f t="shared" ref="L281" si="1107">_xlfn.STDEV.P(J281:J283)</f>
        <v>0.47140452079103168</v>
      </c>
      <c r="M281">
        <v>92</v>
      </c>
      <c r="N281">
        <f t="shared" ref="N281" si="1108">AVERAGE(M281:M283)</f>
        <v>99.666666666666671</v>
      </c>
      <c r="O281">
        <f t="shared" ref="O281" si="1109">_xlfn.STDEV.P(M281:M283)</f>
        <v>5.7927157323275891</v>
      </c>
      <c r="P281">
        <v>138</v>
      </c>
      <c r="Q281">
        <v>0.7</v>
      </c>
      <c r="R281">
        <v>96.6</v>
      </c>
      <c r="S281">
        <v>0.78</v>
      </c>
      <c r="T281">
        <v>107.64</v>
      </c>
      <c r="U281">
        <v>13.07</v>
      </c>
    </row>
    <row r="282" spans="1:21" x14ac:dyDescent="0.25">
      <c r="A282" t="s">
        <v>412</v>
      </c>
      <c r="B282" s="4" t="s">
        <v>94</v>
      </c>
      <c r="C282" s="1">
        <v>5</v>
      </c>
      <c r="D282">
        <v>40</v>
      </c>
      <c r="E282">
        <v>2</v>
      </c>
      <c r="F282">
        <v>50</v>
      </c>
      <c r="G282">
        <v>95</v>
      </c>
      <c r="H282">
        <f t="shared" ref="H282:I282" si="1110">H281</f>
        <v>92.333333333333329</v>
      </c>
      <c r="I282">
        <f t="shared" si="1110"/>
        <v>1.8856180831641267</v>
      </c>
      <c r="J282">
        <v>3</v>
      </c>
      <c r="K282">
        <f t="shared" ref="K282:L282" si="1111">K281</f>
        <v>2.3333333333333335</v>
      </c>
      <c r="L282">
        <f t="shared" si="1111"/>
        <v>0.47140452079103168</v>
      </c>
      <c r="M282">
        <v>106</v>
      </c>
      <c r="N282">
        <f t="shared" ref="N282:O282" si="1112">N281</f>
        <v>99.666666666666671</v>
      </c>
      <c r="O282">
        <f t="shared" si="1112"/>
        <v>5.7927157323275891</v>
      </c>
      <c r="P282">
        <v>147</v>
      </c>
      <c r="Q282">
        <v>0.61</v>
      </c>
      <c r="R282">
        <v>89.67</v>
      </c>
      <c r="S282">
        <v>0.62</v>
      </c>
      <c r="T282">
        <v>91.14</v>
      </c>
      <c r="U282">
        <v>12.49</v>
      </c>
    </row>
    <row r="283" spans="1:21" x14ac:dyDescent="0.25">
      <c r="A283" t="s">
        <v>412</v>
      </c>
      <c r="B283" s="4" t="s">
        <v>94</v>
      </c>
      <c r="C283" s="1">
        <v>5</v>
      </c>
      <c r="D283">
        <v>40</v>
      </c>
      <c r="E283">
        <v>3</v>
      </c>
      <c r="F283">
        <v>40</v>
      </c>
      <c r="G283">
        <v>91</v>
      </c>
      <c r="H283">
        <f t="shared" ref="H283:I283" si="1113">H281</f>
        <v>92.333333333333329</v>
      </c>
      <c r="I283">
        <f t="shared" si="1113"/>
        <v>1.8856180831641267</v>
      </c>
      <c r="J283">
        <v>2</v>
      </c>
      <c r="K283">
        <f t="shared" ref="K283:L283" si="1114">K281</f>
        <v>2.3333333333333335</v>
      </c>
      <c r="L283">
        <f t="shared" si="1114"/>
        <v>0.47140452079103168</v>
      </c>
      <c r="M283">
        <v>101</v>
      </c>
      <c r="N283">
        <f t="shared" ref="N283:O283" si="1115">N281</f>
        <v>99.666666666666671</v>
      </c>
      <c r="O283">
        <f t="shared" si="1115"/>
        <v>5.7927157323275891</v>
      </c>
      <c r="P283">
        <v>138</v>
      </c>
      <c r="Q283">
        <v>0.62</v>
      </c>
      <c r="R283">
        <v>85.56</v>
      </c>
      <c r="S283">
        <v>0.74</v>
      </c>
      <c r="T283">
        <v>102.12</v>
      </c>
      <c r="U283">
        <v>13.39</v>
      </c>
    </row>
    <row r="284" spans="1:21" x14ac:dyDescent="0.25">
      <c r="A284" t="s">
        <v>413</v>
      </c>
      <c r="B284" s="4" t="s">
        <v>94</v>
      </c>
      <c r="C284" s="1">
        <v>5</v>
      </c>
      <c r="D284">
        <v>40</v>
      </c>
      <c r="E284">
        <v>1</v>
      </c>
      <c r="F284">
        <v>20</v>
      </c>
      <c r="G284">
        <v>109</v>
      </c>
      <c r="H284">
        <f t="shared" ref="H284" si="1116">AVERAGE(G284:G286)</f>
        <v>105.33333333333333</v>
      </c>
      <c r="I284">
        <f t="shared" ref="I284" si="1117">_xlfn.STDEV.P(G284:G286)</f>
        <v>3.2998316455372216</v>
      </c>
      <c r="J284">
        <v>0</v>
      </c>
      <c r="K284">
        <f t="shared" ref="K284" si="1118">AVERAGE(J284:J286)</f>
        <v>0</v>
      </c>
      <c r="L284">
        <f t="shared" ref="L284" si="1119">_xlfn.STDEV.P(J284:J286)</f>
        <v>0</v>
      </c>
      <c r="M284">
        <v>100</v>
      </c>
      <c r="N284">
        <f t="shared" ref="N284" si="1120">AVERAGE(M284:M286)</f>
        <v>95.333333333333329</v>
      </c>
      <c r="O284">
        <f t="shared" ref="O284" si="1121">_xlfn.STDEV.P(M284:M286)</f>
        <v>7.3181661333667165</v>
      </c>
      <c r="P284">
        <v>166</v>
      </c>
      <c r="Q284">
        <v>0.64</v>
      </c>
      <c r="R284" t="s">
        <v>20</v>
      </c>
      <c r="S284">
        <v>0.7</v>
      </c>
      <c r="T284" t="s">
        <v>20</v>
      </c>
      <c r="U284">
        <v>16.399999999999999</v>
      </c>
    </row>
    <row r="285" spans="1:21" x14ac:dyDescent="0.25">
      <c r="A285" t="s">
        <v>413</v>
      </c>
      <c r="B285" s="4" t="s">
        <v>94</v>
      </c>
      <c r="C285" s="1">
        <v>5</v>
      </c>
      <c r="D285">
        <v>40</v>
      </c>
      <c r="E285">
        <v>2</v>
      </c>
      <c r="F285">
        <v>18</v>
      </c>
      <c r="G285">
        <v>106</v>
      </c>
      <c r="H285">
        <f t="shared" ref="H285:I285" si="1122">H284</f>
        <v>105.33333333333333</v>
      </c>
      <c r="I285">
        <f t="shared" si="1122"/>
        <v>3.2998316455372216</v>
      </c>
      <c r="J285">
        <v>0</v>
      </c>
      <c r="K285">
        <f t="shared" ref="K285:L285" si="1123">K284</f>
        <v>0</v>
      </c>
      <c r="L285">
        <f t="shared" si="1123"/>
        <v>0</v>
      </c>
      <c r="M285">
        <v>101</v>
      </c>
      <c r="N285">
        <f t="shared" ref="N285:O285" si="1124">N284</f>
        <v>95.333333333333329</v>
      </c>
      <c r="O285">
        <f t="shared" si="1124"/>
        <v>7.3181661333667165</v>
      </c>
      <c r="Q285">
        <v>0.62</v>
      </c>
      <c r="R285" t="s">
        <v>20</v>
      </c>
      <c r="S285">
        <v>0.73</v>
      </c>
      <c r="T285" t="s">
        <v>20</v>
      </c>
      <c r="U285" t="s">
        <v>20</v>
      </c>
    </row>
    <row r="286" spans="1:21" x14ac:dyDescent="0.25">
      <c r="A286" t="s">
        <v>413</v>
      </c>
      <c r="B286" s="4" t="s">
        <v>94</v>
      </c>
      <c r="C286" s="1">
        <v>5</v>
      </c>
      <c r="D286">
        <v>40</v>
      </c>
      <c r="E286">
        <v>3</v>
      </c>
      <c r="F286">
        <v>18</v>
      </c>
      <c r="G286">
        <v>101</v>
      </c>
      <c r="H286">
        <f t="shared" ref="H286:I286" si="1125">H284</f>
        <v>105.33333333333333</v>
      </c>
      <c r="I286">
        <f t="shared" si="1125"/>
        <v>3.2998316455372216</v>
      </c>
      <c r="J286">
        <v>0</v>
      </c>
      <c r="K286">
        <f t="shared" ref="K286:L286" si="1126">K284</f>
        <v>0</v>
      </c>
      <c r="L286">
        <f t="shared" si="1126"/>
        <v>0</v>
      </c>
      <c r="M286">
        <v>85</v>
      </c>
      <c r="N286">
        <f t="shared" ref="N286:O286" si="1127">N284</f>
        <v>95.333333333333329</v>
      </c>
      <c r="O286">
        <f t="shared" si="1127"/>
        <v>7.3181661333667165</v>
      </c>
      <c r="P286">
        <v>155</v>
      </c>
      <c r="Q286">
        <v>0.7</v>
      </c>
      <c r="R286" t="s">
        <v>20</v>
      </c>
      <c r="S286">
        <v>0.7</v>
      </c>
      <c r="T286" t="s">
        <v>20</v>
      </c>
      <c r="U286" t="s">
        <v>20</v>
      </c>
    </row>
    <row r="287" spans="1:21" x14ac:dyDescent="0.25">
      <c r="A287" t="s">
        <v>414</v>
      </c>
      <c r="B287" s="4" t="s">
        <v>94</v>
      </c>
      <c r="C287" s="1">
        <v>5</v>
      </c>
      <c r="D287">
        <v>40</v>
      </c>
      <c r="E287">
        <v>1</v>
      </c>
      <c r="F287">
        <v>28</v>
      </c>
      <c r="G287">
        <v>110</v>
      </c>
      <c r="H287">
        <f t="shared" ref="H287" si="1128">AVERAGE(G287:G289)</f>
        <v>114</v>
      </c>
      <c r="I287">
        <f t="shared" ref="I287" si="1129">_xlfn.STDEV.P(G287:G289)</f>
        <v>2.8284271247461903</v>
      </c>
      <c r="J287">
        <v>2</v>
      </c>
      <c r="K287">
        <f t="shared" ref="K287" si="1130">AVERAGE(J287:J289)</f>
        <v>1.6666666666666667</v>
      </c>
      <c r="L287">
        <f t="shared" ref="L287" si="1131">_xlfn.STDEV.P(J287:J289)</f>
        <v>0.47140452079103168</v>
      </c>
      <c r="M287">
        <v>116</v>
      </c>
      <c r="N287">
        <f t="shared" ref="N287" si="1132">AVERAGE(M287:M289)</f>
        <v>114.66666666666667</v>
      </c>
      <c r="O287">
        <f t="shared" ref="O287" si="1133">_xlfn.STDEV.P(M287:M289)</f>
        <v>1.8856180831641267</v>
      </c>
      <c r="P287">
        <v>168</v>
      </c>
      <c r="Q287">
        <v>0.59</v>
      </c>
      <c r="R287">
        <v>99.11999999999999</v>
      </c>
      <c r="S287">
        <v>0.47</v>
      </c>
      <c r="T287">
        <v>78.959999999999994</v>
      </c>
      <c r="U287">
        <v>14.72</v>
      </c>
    </row>
    <row r="288" spans="1:21" x14ac:dyDescent="0.25">
      <c r="A288" t="s">
        <v>414</v>
      </c>
      <c r="B288" s="4" t="s">
        <v>94</v>
      </c>
      <c r="C288" s="1">
        <v>5</v>
      </c>
      <c r="D288">
        <v>40</v>
      </c>
      <c r="E288">
        <v>2</v>
      </c>
      <c r="F288">
        <v>30</v>
      </c>
      <c r="G288">
        <v>116</v>
      </c>
      <c r="H288">
        <f t="shared" ref="H288:I288" si="1134">H287</f>
        <v>114</v>
      </c>
      <c r="I288">
        <f t="shared" si="1134"/>
        <v>2.8284271247461903</v>
      </c>
      <c r="J288">
        <v>1</v>
      </c>
      <c r="K288">
        <f t="shared" ref="K288:L288" si="1135">K287</f>
        <v>1.6666666666666667</v>
      </c>
      <c r="L288">
        <f t="shared" si="1135"/>
        <v>0.47140452079103168</v>
      </c>
      <c r="M288">
        <v>116</v>
      </c>
      <c r="N288">
        <f t="shared" ref="N288:O288" si="1136">N287</f>
        <v>114.66666666666667</v>
      </c>
      <c r="O288">
        <f t="shared" si="1136"/>
        <v>1.8856180831641267</v>
      </c>
      <c r="P288">
        <v>186</v>
      </c>
      <c r="Q288">
        <v>0.45</v>
      </c>
      <c r="R288">
        <v>83.7</v>
      </c>
      <c r="S288">
        <v>0.56999999999999995</v>
      </c>
      <c r="T288">
        <v>106.02</v>
      </c>
      <c r="U288" t="s">
        <v>20</v>
      </c>
    </row>
    <row r="289" spans="1:21" x14ac:dyDescent="0.25">
      <c r="A289" t="s">
        <v>414</v>
      </c>
      <c r="B289" s="4" t="s">
        <v>94</v>
      </c>
      <c r="C289" s="1">
        <v>5</v>
      </c>
      <c r="D289">
        <v>40</v>
      </c>
      <c r="E289">
        <v>3</v>
      </c>
      <c r="F289">
        <v>22</v>
      </c>
      <c r="G289">
        <v>116</v>
      </c>
      <c r="H289">
        <f t="shared" ref="H289:I289" si="1137">H287</f>
        <v>114</v>
      </c>
      <c r="I289">
        <f t="shared" si="1137"/>
        <v>2.8284271247461903</v>
      </c>
      <c r="J289">
        <v>2</v>
      </c>
      <c r="K289">
        <f t="shared" ref="K289:L289" si="1138">K287</f>
        <v>1.6666666666666667</v>
      </c>
      <c r="L289">
        <f t="shared" si="1138"/>
        <v>0.47140452079103168</v>
      </c>
      <c r="M289">
        <v>112</v>
      </c>
      <c r="N289">
        <f t="shared" ref="N289:O289" si="1139">N287</f>
        <v>114.66666666666667</v>
      </c>
      <c r="O289">
        <f t="shared" si="1139"/>
        <v>1.8856180831641267</v>
      </c>
      <c r="P289">
        <v>186</v>
      </c>
      <c r="Q289">
        <v>0.45</v>
      </c>
      <c r="R289">
        <v>83.7</v>
      </c>
      <c r="S289">
        <v>0.53</v>
      </c>
      <c r="T289">
        <v>98.58</v>
      </c>
      <c r="U289" t="s">
        <v>20</v>
      </c>
    </row>
    <row r="290" spans="1:21" x14ac:dyDescent="0.25">
      <c r="A290" t="s">
        <v>415</v>
      </c>
      <c r="B290" s="4" t="s">
        <v>172</v>
      </c>
      <c r="C290" s="1">
        <v>4</v>
      </c>
      <c r="D290">
        <v>40</v>
      </c>
      <c r="E290">
        <v>1</v>
      </c>
      <c r="F290">
        <v>18</v>
      </c>
      <c r="G290">
        <v>93</v>
      </c>
      <c r="H290">
        <f t="shared" ref="H290" si="1140">AVERAGE(G290:G292)</f>
        <v>89.666666666666671</v>
      </c>
      <c r="I290">
        <f t="shared" ref="I290" si="1141">_xlfn.STDEV.P(G290:G292)</f>
        <v>5.4365021434333629</v>
      </c>
      <c r="J290">
        <v>7</v>
      </c>
      <c r="K290">
        <f t="shared" ref="K290" si="1142">AVERAGE(J290:J292)</f>
        <v>5</v>
      </c>
      <c r="L290">
        <f t="shared" ref="L290" si="1143">_xlfn.STDEV.P(J290:J292)</f>
        <v>1.4142135623730951</v>
      </c>
      <c r="M290">
        <v>83</v>
      </c>
      <c r="N290">
        <f t="shared" ref="N290" si="1144">AVERAGE(M290:M292)</f>
        <v>87</v>
      </c>
      <c r="O290">
        <f t="shared" ref="O290" si="1145">_xlfn.STDEV.P(M290:M292)</f>
        <v>2.9439202887759488</v>
      </c>
      <c r="P290">
        <v>147</v>
      </c>
      <c r="Q290">
        <v>0.73</v>
      </c>
      <c r="R290" t="s">
        <v>20</v>
      </c>
      <c r="S290">
        <v>0.76</v>
      </c>
      <c r="T290" t="s">
        <v>20</v>
      </c>
      <c r="U290">
        <v>14.4</v>
      </c>
    </row>
    <row r="291" spans="1:21" x14ac:dyDescent="0.25">
      <c r="A291" t="s">
        <v>415</v>
      </c>
      <c r="B291" s="4" t="s">
        <v>172</v>
      </c>
      <c r="C291" s="1">
        <v>4</v>
      </c>
      <c r="D291">
        <v>40</v>
      </c>
      <c r="E291">
        <v>2</v>
      </c>
      <c r="F291">
        <v>34</v>
      </c>
      <c r="G291">
        <v>82</v>
      </c>
      <c r="H291">
        <f t="shared" ref="H291:I291" si="1146">H290</f>
        <v>89.666666666666671</v>
      </c>
      <c r="I291">
        <f t="shared" si="1146"/>
        <v>5.4365021434333629</v>
      </c>
      <c r="J291">
        <v>4</v>
      </c>
      <c r="K291">
        <f t="shared" ref="K291:L291" si="1147">K290</f>
        <v>5</v>
      </c>
      <c r="L291">
        <f t="shared" si="1147"/>
        <v>1.4142135623730951</v>
      </c>
      <c r="M291">
        <v>90</v>
      </c>
      <c r="N291">
        <f t="shared" ref="N291:O291" si="1148">N290</f>
        <v>87</v>
      </c>
      <c r="O291">
        <f t="shared" si="1148"/>
        <v>2.9439202887759488</v>
      </c>
      <c r="Q291">
        <v>0.72</v>
      </c>
      <c r="R291" t="s">
        <v>20</v>
      </c>
      <c r="S291">
        <v>0.79</v>
      </c>
      <c r="T291" t="s">
        <v>20</v>
      </c>
      <c r="U291">
        <v>13.42</v>
      </c>
    </row>
    <row r="292" spans="1:21" x14ac:dyDescent="0.25">
      <c r="A292" t="s">
        <v>415</v>
      </c>
      <c r="B292" s="4" t="s">
        <v>172</v>
      </c>
      <c r="C292" s="1">
        <v>4</v>
      </c>
      <c r="D292">
        <v>40</v>
      </c>
      <c r="E292">
        <v>3</v>
      </c>
      <c r="F292">
        <v>6</v>
      </c>
      <c r="G292">
        <v>94</v>
      </c>
      <c r="H292">
        <f t="shared" ref="H292:I292" si="1149">H290</f>
        <v>89.666666666666671</v>
      </c>
      <c r="I292">
        <f t="shared" si="1149"/>
        <v>5.4365021434333629</v>
      </c>
      <c r="J292">
        <v>4</v>
      </c>
      <c r="K292">
        <f t="shared" ref="K292:L292" si="1150">K290</f>
        <v>5</v>
      </c>
      <c r="L292">
        <f t="shared" si="1150"/>
        <v>1.4142135623730951</v>
      </c>
      <c r="M292">
        <v>88</v>
      </c>
      <c r="N292">
        <f t="shared" ref="N292:O292" si="1151">N290</f>
        <v>87</v>
      </c>
      <c r="O292">
        <f t="shared" si="1151"/>
        <v>2.9439202887759488</v>
      </c>
      <c r="P292">
        <v>139</v>
      </c>
      <c r="Q292">
        <v>0.72</v>
      </c>
      <c r="R292" t="s">
        <v>20</v>
      </c>
      <c r="S292">
        <v>0.76</v>
      </c>
      <c r="T292" t="s">
        <v>20</v>
      </c>
      <c r="U292" t="s">
        <v>20</v>
      </c>
    </row>
    <row r="293" spans="1:21" x14ac:dyDescent="0.25">
      <c r="A293" t="s">
        <v>416</v>
      </c>
      <c r="B293" s="4" t="s">
        <v>172</v>
      </c>
      <c r="C293" s="1">
        <v>3</v>
      </c>
      <c r="D293">
        <v>40</v>
      </c>
      <c r="E293">
        <v>1</v>
      </c>
      <c r="F293">
        <v>30</v>
      </c>
      <c r="G293">
        <v>95</v>
      </c>
      <c r="H293">
        <f t="shared" ref="H293" si="1152">AVERAGE(G293:G295)</f>
        <v>95</v>
      </c>
      <c r="I293">
        <f t="shared" ref="I293" si="1153">_xlfn.STDEV.P(G293:G295)</f>
        <v>0</v>
      </c>
      <c r="J293">
        <v>0</v>
      </c>
      <c r="K293">
        <f t="shared" ref="K293" si="1154">AVERAGE(J293:J295)</f>
        <v>0.33333333333333331</v>
      </c>
      <c r="L293">
        <f t="shared" ref="L293" si="1155">_xlfn.STDEV.P(J293:J295)</f>
        <v>0.47140452079103168</v>
      </c>
      <c r="M293">
        <v>137</v>
      </c>
      <c r="N293">
        <f t="shared" ref="N293" si="1156">AVERAGE(M293:M295)</f>
        <v>131.66666666666666</v>
      </c>
      <c r="O293">
        <f t="shared" ref="O293" si="1157">_xlfn.STDEV.P(M293:M295)</f>
        <v>6.8475461947247123</v>
      </c>
      <c r="P293">
        <v>147</v>
      </c>
      <c r="Q293">
        <v>0.67</v>
      </c>
      <c r="R293">
        <v>98.490000000000009</v>
      </c>
      <c r="S293">
        <v>0.72</v>
      </c>
      <c r="T293">
        <v>105.83999999999999</v>
      </c>
      <c r="U293">
        <v>19.47</v>
      </c>
    </row>
    <row r="294" spans="1:21" x14ac:dyDescent="0.25">
      <c r="A294" t="s">
        <v>416</v>
      </c>
      <c r="B294" s="4" t="s">
        <v>172</v>
      </c>
      <c r="C294" s="1">
        <v>3</v>
      </c>
      <c r="D294">
        <v>40</v>
      </c>
      <c r="E294">
        <v>2</v>
      </c>
      <c r="F294">
        <v>22</v>
      </c>
      <c r="G294">
        <v>95</v>
      </c>
      <c r="H294">
        <f t="shared" ref="H294:I294" si="1158">H293</f>
        <v>95</v>
      </c>
      <c r="I294">
        <f t="shared" si="1158"/>
        <v>0</v>
      </c>
      <c r="J294">
        <v>0</v>
      </c>
      <c r="K294">
        <f t="shared" ref="K294:L294" si="1159">K293</f>
        <v>0.33333333333333331</v>
      </c>
      <c r="L294">
        <f t="shared" si="1159"/>
        <v>0.47140452079103168</v>
      </c>
      <c r="M294">
        <v>122</v>
      </c>
      <c r="N294">
        <f t="shared" ref="N294:O294" si="1160">N293</f>
        <v>131.66666666666666</v>
      </c>
      <c r="O294">
        <f t="shared" si="1160"/>
        <v>6.8475461947247123</v>
      </c>
      <c r="P294">
        <v>147</v>
      </c>
      <c r="Q294">
        <v>0.67</v>
      </c>
      <c r="R294">
        <v>98.490000000000009</v>
      </c>
      <c r="S294">
        <v>0.67</v>
      </c>
      <c r="T294">
        <v>98.490000000000009</v>
      </c>
      <c r="U294">
        <v>16.02</v>
      </c>
    </row>
    <row r="295" spans="1:21" x14ac:dyDescent="0.25">
      <c r="A295" t="s">
        <v>416</v>
      </c>
      <c r="B295" s="4" t="s">
        <v>172</v>
      </c>
      <c r="C295" s="1">
        <v>3</v>
      </c>
      <c r="D295">
        <v>40</v>
      </c>
      <c r="E295">
        <v>3</v>
      </c>
      <c r="F295">
        <v>26</v>
      </c>
      <c r="G295">
        <v>95</v>
      </c>
      <c r="H295">
        <f t="shared" ref="H295:I295" si="1161">H293</f>
        <v>95</v>
      </c>
      <c r="I295">
        <f t="shared" si="1161"/>
        <v>0</v>
      </c>
      <c r="J295">
        <v>1</v>
      </c>
      <c r="K295">
        <f t="shared" ref="K295:L295" si="1162">K293</f>
        <v>0.33333333333333331</v>
      </c>
      <c r="L295">
        <f t="shared" si="1162"/>
        <v>0.47140452079103168</v>
      </c>
      <c r="M295">
        <v>136</v>
      </c>
      <c r="N295">
        <f t="shared" ref="N295:O295" si="1163">N293</f>
        <v>131.66666666666666</v>
      </c>
      <c r="O295">
        <f t="shared" si="1163"/>
        <v>6.8475461947247123</v>
      </c>
      <c r="P295">
        <v>147</v>
      </c>
      <c r="Q295">
        <v>0.67</v>
      </c>
      <c r="R295">
        <v>98.490000000000009</v>
      </c>
      <c r="S295">
        <v>0.67</v>
      </c>
      <c r="T295">
        <v>98.490000000000009</v>
      </c>
      <c r="U295">
        <v>14.93</v>
      </c>
    </row>
    <row r="296" spans="1:21" x14ac:dyDescent="0.25">
      <c r="A296" t="s">
        <v>417</v>
      </c>
      <c r="B296" s="4" t="s">
        <v>14</v>
      </c>
      <c r="C296" s="1">
        <v>1</v>
      </c>
      <c r="D296">
        <v>40</v>
      </c>
      <c r="E296">
        <v>1</v>
      </c>
      <c r="F296">
        <v>50</v>
      </c>
      <c r="G296">
        <v>124</v>
      </c>
      <c r="H296">
        <f t="shared" ref="H296" si="1164">AVERAGE(G296:G298)</f>
        <v>123.33333333333333</v>
      </c>
      <c r="I296">
        <f t="shared" ref="I296" si="1165">_xlfn.STDEV.P(G296:G298)</f>
        <v>0.94280904158206336</v>
      </c>
      <c r="J296">
        <v>3</v>
      </c>
      <c r="K296">
        <f t="shared" ref="K296" si="1166">AVERAGE(J296:J298)</f>
        <v>3.6666666666666665</v>
      </c>
      <c r="L296">
        <f t="shared" ref="L296" si="1167">_xlfn.STDEV.P(J296:J298)</f>
        <v>0.47140452079103168</v>
      </c>
      <c r="M296">
        <v>91</v>
      </c>
      <c r="N296">
        <f t="shared" ref="N296" si="1168">AVERAGE(M296:M298)</f>
        <v>94.666666666666671</v>
      </c>
      <c r="O296">
        <f t="shared" ref="O296" si="1169">_xlfn.STDEV.P(M296:M298)</f>
        <v>2.8674417556808756</v>
      </c>
      <c r="P296">
        <v>180</v>
      </c>
      <c r="Q296">
        <v>0.73</v>
      </c>
      <c r="R296">
        <v>131.4</v>
      </c>
      <c r="S296">
        <v>0.72</v>
      </c>
      <c r="T296">
        <v>129.6</v>
      </c>
      <c r="U296" t="s">
        <v>20</v>
      </c>
    </row>
    <row r="297" spans="1:21" x14ac:dyDescent="0.25">
      <c r="A297" t="s">
        <v>417</v>
      </c>
      <c r="B297" s="4" t="s">
        <v>14</v>
      </c>
      <c r="C297" s="1">
        <v>1</v>
      </c>
      <c r="D297">
        <v>40</v>
      </c>
      <c r="E297">
        <v>2</v>
      </c>
      <c r="F297">
        <v>62</v>
      </c>
      <c r="G297">
        <v>122</v>
      </c>
      <c r="H297">
        <f t="shared" ref="H297:I297" si="1170">H296</f>
        <v>123.33333333333333</v>
      </c>
      <c r="I297">
        <f t="shared" si="1170"/>
        <v>0.94280904158206336</v>
      </c>
      <c r="J297">
        <v>4</v>
      </c>
      <c r="K297">
        <f t="shared" ref="K297:L297" si="1171">K296</f>
        <v>3.6666666666666665</v>
      </c>
      <c r="L297">
        <f t="shared" si="1171"/>
        <v>0.47140452079103168</v>
      </c>
      <c r="M297">
        <v>98</v>
      </c>
      <c r="N297">
        <f t="shared" ref="N297:O297" si="1172">N296</f>
        <v>94.666666666666671</v>
      </c>
      <c r="O297">
        <f t="shared" si="1172"/>
        <v>2.8674417556808756</v>
      </c>
      <c r="P297">
        <v>177</v>
      </c>
      <c r="Q297">
        <v>0.71</v>
      </c>
      <c r="R297">
        <v>125.66999999999999</v>
      </c>
      <c r="S297">
        <v>0.48</v>
      </c>
      <c r="T297">
        <v>84.96</v>
      </c>
      <c r="U297" t="s">
        <v>20</v>
      </c>
    </row>
    <row r="298" spans="1:21" x14ac:dyDescent="0.25">
      <c r="A298" t="s">
        <v>417</v>
      </c>
      <c r="B298" s="4" t="s">
        <v>14</v>
      </c>
      <c r="C298" s="1">
        <v>1</v>
      </c>
      <c r="D298">
        <v>40</v>
      </c>
      <c r="E298">
        <v>3</v>
      </c>
      <c r="F298">
        <v>50</v>
      </c>
      <c r="G298">
        <v>124</v>
      </c>
      <c r="H298">
        <f t="shared" ref="H298:I298" si="1173">H296</f>
        <v>123.33333333333333</v>
      </c>
      <c r="I298">
        <f t="shared" si="1173"/>
        <v>0.94280904158206336</v>
      </c>
      <c r="J298">
        <v>4</v>
      </c>
      <c r="K298">
        <f t="shared" ref="K298:L298" si="1174">K296</f>
        <v>3.6666666666666665</v>
      </c>
      <c r="L298">
        <f t="shared" si="1174"/>
        <v>0.47140452079103168</v>
      </c>
      <c r="M298">
        <v>95</v>
      </c>
      <c r="N298">
        <f t="shared" ref="N298:O298" si="1175">N296</f>
        <v>94.666666666666671</v>
      </c>
      <c r="O298">
        <f t="shared" si="1175"/>
        <v>2.8674417556808756</v>
      </c>
      <c r="P298">
        <v>181</v>
      </c>
      <c r="Q298">
        <v>0.68</v>
      </c>
      <c r="R298">
        <v>123.08000000000001</v>
      </c>
      <c r="S298">
        <v>0.7</v>
      </c>
      <c r="T298">
        <v>126.69999999999999</v>
      </c>
      <c r="U298" t="s">
        <v>20</v>
      </c>
    </row>
    <row r="299" spans="1:21" x14ac:dyDescent="0.25">
      <c r="A299" t="s">
        <v>418</v>
      </c>
      <c r="B299" s="4" t="s">
        <v>14</v>
      </c>
      <c r="C299" s="1">
        <v>1</v>
      </c>
      <c r="D299">
        <v>40</v>
      </c>
      <c r="E299">
        <v>1</v>
      </c>
      <c r="F299">
        <v>84</v>
      </c>
      <c r="G299">
        <v>110</v>
      </c>
      <c r="H299">
        <f t="shared" ref="H299" si="1176">AVERAGE(G299:G301)</f>
        <v>111.33333333333333</v>
      </c>
      <c r="I299">
        <f t="shared" ref="I299" si="1177">_xlfn.STDEV.P(G299:G301)</f>
        <v>2.6246692913372702</v>
      </c>
      <c r="J299">
        <v>6</v>
      </c>
      <c r="K299">
        <f t="shared" ref="K299" si="1178">AVERAGE(J299:J301)</f>
        <v>4</v>
      </c>
      <c r="L299">
        <f t="shared" ref="L299" si="1179">_xlfn.STDEV.P(J299:J301)</f>
        <v>1.6329931618554521</v>
      </c>
      <c r="M299">
        <v>93</v>
      </c>
      <c r="N299">
        <f t="shared" ref="N299" si="1180">AVERAGE(M299:M301)</f>
        <v>96.333333333333329</v>
      </c>
      <c r="O299">
        <f t="shared" ref="O299" si="1181">_xlfn.STDEV.P(M299:M301)</f>
        <v>5.4365021434333629</v>
      </c>
      <c r="P299">
        <v>166</v>
      </c>
      <c r="Q299">
        <v>0.69</v>
      </c>
      <c r="R299">
        <v>114.53999999999999</v>
      </c>
      <c r="S299">
        <v>0.7</v>
      </c>
      <c r="T299">
        <v>116.19999999999999</v>
      </c>
      <c r="U299">
        <v>19.87</v>
      </c>
    </row>
    <row r="300" spans="1:21" x14ac:dyDescent="0.25">
      <c r="A300" t="s">
        <v>418</v>
      </c>
      <c r="B300" s="4" t="s">
        <v>14</v>
      </c>
      <c r="C300" s="1">
        <v>1</v>
      </c>
      <c r="D300">
        <v>40</v>
      </c>
      <c r="E300">
        <v>2</v>
      </c>
      <c r="F300">
        <v>72</v>
      </c>
      <c r="G300">
        <v>109</v>
      </c>
      <c r="H300">
        <f t="shared" ref="H300:I300" si="1182">H299</f>
        <v>111.33333333333333</v>
      </c>
      <c r="I300">
        <f t="shared" si="1182"/>
        <v>2.6246692913372702</v>
      </c>
      <c r="J300">
        <v>2</v>
      </c>
      <c r="K300">
        <f t="shared" ref="K300:L300" si="1183">K299</f>
        <v>4</v>
      </c>
      <c r="L300">
        <f t="shared" si="1183"/>
        <v>1.6329931618554521</v>
      </c>
      <c r="M300">
        <v>92</v>
      </c>
      <c r="N300">
        <f t="shared" ref="N300:O300" si="1184">N299</f>
        <v>96.333333333333329</v>
      </c>
      <c r="O300">
        <f t="shared" si="1184"/>
        <v>5.4365021434333629</v>
      </c>
      <c r="P300">
        <v>162</v>
      </c>
      <c r="Q300">
        <v>0.67</v>
      </c>
      <c r="R300">
        <v>108.54</v>
      </c>
      <c r="S300">
        <v>0.71</v>
      </c>
      <c r="T300">
        <v>115.02</v>
      </c>
      <c r="U300" t="s">
        <v>20</v>
      </c>
    </row>
    <row r="301" spans="1:21" x14ac:dyDescent="0.25">
      <c r="A301" t="s">
        <v>418</v>
      </c>
      <c r="B301" s="4" t="s">
        <v>14</v>
      </c>
      <c r="C301" s="1">
        <v>1</v>
      </c>
      <c r="D301">
        <v>40</v>
      </c>
      <c r="E301">
        <v>3</v>
      </c>
      <c r="F301">
        <v>70</v>
      </c>
      <c r="G301">
        <v>115</v>
      </c>
      <c r="H301">
        <f t="shared" ref="H301:I301" si="1185">H299</f>
        <v>111.33333333333333</v>
      </c>
      <c r="I301">
        <f t="shared" si="1185"/>
        <v>2.6246692913372702</v>
      </c>
      <c r="J301">
        <v>4</v>
      </c>
      <c r="K301">
        <f t="shared" ref="K301:L301" si="1186">K299</f>
        <v>4</v>
      </c>
      <c r="L301">
        <f t="shared" si="1186"/>
        <v>1.6329931618554521</v>
      </c>
      <c r="M301">
        <v>104</v>
      </c>
      <c r="N301">
        <f t="shared" ref="N301:O301" si="1187">N299</f>
        <v>96.333333333333329</v>
      </c>
      <c r="O301">
        <f t="shared" si="1187"/>
        <v>5.4365021434333629</v>
      </c>
      <c r="P301">
        <v>187</v>
      </c>
      <c r="Q301">
        <v>0.61</v>
      </c>
      <c r="R301">
        <v>114.07</v>
      </c>
      <c r="S301">
        <v>0.4</v>
      </c>
      <c r="T301">
        <v>74.8</v>
      </c>
      <c r="U301" t="s">
        <v>20</v>
      </c>
    </row>
    <row r="302" spans="1:21" x14ac:dyDescent="0.25">
      <c r="A302" t="s">
        <v>419</v>
      </c>
      <c r="B302" s="4" t="s">
        <v>49</v>
      </c>
      <c r="C302" s="1">
        <v>4</v>
      </c>
      <c r="D302">
        <v>40</v>
      </c>
      <c r="E302">
        <v>1</v>
      </c>
      <c r="F302">
        <v>28</v>
      </c>
      <c r="G302">
        <v>104</v>
      </c>
      <c r="H302">
        <f t="shared" ref="H302" si="1188">AVERAGE(G302:G304)</f>
        <v>116</v>
      </c>
      <c r="I302">
        <f t="shared" ref="I302" si="1189">_xlfn.STDEV.P(G302:G304)</f>
        <v>15.57776192739723</v>
      </c>
      <c r="J302">
        <v>2</v>
      </c>
      <c r="K302">
        <f t="shared" ref="K302" si="1190">AVERAGE(J302:J304)</f>
        <v>1.6666666666666667</v>
      </c>
      <c r="L302">
        <f t="shared" ref="L302" si="1191">_xlfn.STDEV.P(J302:J304)</f>
        <v>0.47140452079103168</v>
      </c>
      <c r="M302">
        <v>93</v>
      </c>
      <c r="N302">
        <f t="shared" ref="N302" si="1192">AVERAGE(M302:M304)</f>
        <v>88.666666666666671</v>
      </c>
      <c r="O302">
        <f t="shared" ref="O302" si="1193">_xlfn.STDEV.P(M302:M304)</f>
        <v>4.1899350299921778</v>
      </c>
      <c r="P302">
        <v>156</v>
      </c>
      <c r="Q302">
        <v>0.64</v>
      </c>
      <c r="R302">
        <v>99.84</v>
      </c>
      <c r="S302">
        <v>0.53</v>
      </c>
      <c r="T302">
        <v>82.68</v>
      </c>
      <c r="U302">
        <v>17.559999999999999</v>
      </c>
    </row>
    <row r="303" spans="1:21" x14ac:dyDescent="0.25">
      <c r="A303" t="s">
        <v>419</v>
      </c>
      <c r="B303" s="4" t="s">
        <v>49</v>
      </c>
      <c r="C303" s="1">
        <v>4</v>
      </c>
      <c r="D303">
        <v>40</v>
      </c>
      <c r="E303">
        <v>2</v>
      </c>
      <c r="F303">
        <v>36</v>
      </c>
      <c r="G303">
        <v>138</v>
      </c>
      <c r="H303">
        <f t="shared" ref="H303:I303" si="1194">H302</f>
        <v>116</v>
      </c>
      <c r="I303">
        <f t="shared" si="1194"/>
        <v>15.57776192739723</v>
      </c>
      <c r="J303">
        <v>1</v>
      </c>
      <c r="K303">
        <f t="shared" ref="K303:L303" si="1195">K302</f>
        <v>1.6666666666666667</v>
      </c>
      <c r="L303">
        <f t="shared" si="1195"/>
        <v>0.47140452079103168</v>
      </c>
      <c r="M303">
        <v>90</v>
      </c>
      <c r="N303">
        <f t="shared" ref="N303:O303" si="1196">N302</f>
        <v>88.666666666666671</v>
      </c>
      <c r="O303">
        <f t="shared" si="1196"/>
        <v>4.1899350299921778</v>
      </c>
      <c r="P303">
        <v>186</v>
      </c>
      <c r="Q303">
        <v>0.51</v>
      </c>
      <c r="R303">
        <v>94.86</v>
      </c>
      <c r="S303">
        <v>0.41</v>
      </c>
      <c r="T303">
        <v>76.259999999999991</v>
      </c>
      <c r="U303">
        <v>15.51</v>
      </c>
    </row>
    <row r="304" spans="1:21" x14ac:dyDescent="0.25">
      <c r="A304" t="s">
        <v>419</v>
      </c>
      <c r="B304" s="4" t="s">
        <v>49</v>
      </c>
      <c r="C304" s="1">
        <v>4</v>
      </c>
      <c r="D304">
        <v>40</v>
      </c>
      <c r="E304">
        <v>3</v>
      </c>
      <c r="F304">
        <v>32</v>
      </c>
      <c r="G304">
        <v>106</v>
      </c>
      <c r="H304">
        <f t="shared" ref="H304:I304" si="1197">H302</f>
        <v>116</v>
      </c>
      <c r="I304">
        <f t="shared" si="1197"/>
        <v>15.57776192739723</v>
      </c>
      <c r="J304">
        <v>2</v>
      </c>
      <c r="K304">
        <f t="shared" ref="K304:L304" si="1198">K302</f>
        <v>1.6666666666666667</v>
      </c>
      <c r="L304">
        <f t="shared" si="1198"/>
        <v>0.47140452079103168</v>
      </c>
      <c r="M304">
        <v>83</v>
      </c>
      <c r="N304">
        <f t="shared" ref="N304:O304" si="1199">N302</f>
        <v>88.666666666666671</v>
      </c>
      <c r="O304">
        <f t="shared" si="1199"/>
        <v>4.1899350299921778</v>
      </c>
      <c r="P304">
        <v>167</v>
      </c>
      <c r="Q304">
        <v>0.67</v>
      </c>
      <c r="R304">
        <v>111.89</v>
      </c>
      <c r="S304">
        <v>0.63</v>
      </c>
      <c r="T304">
        <v>105.21</v>
      </c>
      <c r="U304" t="s">
        <v>20</v>
      </c>
    </row>
    <row r="305" spans="1:21" x14ac:dyDescent="0.25">
      <c r="A305" t="s">
        <v>420</v>
      </c>
      <c r="B305" s="4" t="s">
        <v>49</v>
      </c>
      <c r="C305" s="1">
        <v>5</v>
      </c>
      <c r="D305">
        <v>40</v>
      </c>
      <c r="E305">
        <v>1</v>
      </c>
      <c r="F305">
        <v>8</v>
      </c>
      <c r="G305">
        <v>111</v>
      </c>
      <c r="H305">
        <f t="shared" ref="H305" si="1200">AVERAGE(G305:G307)</f>
        <v>106</v>
      </c>
      <c r="I305">
        <f t="shared" ref="I305" si="1201">_xlfn.STDEV.P(G305:G307)</f>
        <v>5</v>
      </c>
      <c r="J305">
        <v>4</v>
      </c>
      <c r="K305">
        <f t="shared" ref="K305" si="1202">AVERAGE(J305:J307)</f>
        <v>3</v>
      </c>
      <c r="L305">
        <f t="shared" ref="L305" si="1203">_xlfn.STDEV.P(J305:J307)</f>
        <v>1</v>
      </c>
      <c r="M305">
        <v>95</v>
      </c>
      <c r="N305">
        <f t="shared" ref="N305" si="1204">AVERAGE(M305:M307)</f>
        <v>97</v>
      </c>
      <c r="O305">
        <f t="shared" ref="O305" si="1205">_xlfn.STDEV.P(M305:M307)</f>
        <v>2</v>
      </c>
      <c r="P305">
        <v>180</v>
      </c>
      <c r="Q305">
        <v>0.33</v>
      </c>
      <c r="R305" t="s">
        <v>20</v>
      </c>
      <c r="S305">
        <v>0.7</v>
      </c>
      <c r="T305" t="s">
        <v>20</v>
      </c>
      <c r="U305" t="s">
        <v>20</v>
      </c>
    </row>
    <row r="306" spans="1:21" x14ac:dyDescent="0.25">
      <c r="A306" t="s">
        <v>420</v>
      </c>
      <c r="B306" s="4" t="s">
        <v>49</v>
      </c>
      <c r="C306" s="1">
        <v>5</v>
      </c>
      <c r="D306">
        <v>40</v>
      </c>
      <c r="E306">
        <v>2</v>
      </c>
      <c r="F306">
        <v>8</v>
      </c>
      <c r="G306">
        <v>101</v>
      </c>
      <c r="H306">
        <f t="shared" ref="H306:I306" si="1206">H305</f>
        <v>106</v>
      </c>
      <c r="I306">
        <f t="shared" si="1206"/>
        <v>5</v>
      </c>
      <c r="J306">
        <v>2</v>
      </c>
      <c r="K306">
        <f t="shared" ref="K306:L306" si="1207">K305</f>
        <v>3</v>
      </c>
      <c r="L306">
        <f t="shared" si="1207"/>
        <v>1</v>
      </c>
      <c r="M306">
        <v>99</v>
      </c>
      <c r="N306">
        <f t="shared" ref="N306:O306" si="1208">N305</f>
        <v>97</v>
      </c>
      <c r="O306">
        <f t="shared" si="1208"/>
        <v>2</v>
      </c>
      <c r="P306">
        <v>156</v>
      </c>
      <c r="Q306">
        <v>0.62</v>
      </c>
      <c r="R306" t="s">
        <v>20</v>
      </c>
      <c r="S306">
        <v>0.64</v>
      </c>
      <c r="T306" t="s">
        <v>20</v>
      </c>
      <c r="U306" t="s">
        <v>20</v>
      </c>
    </row>
    <row r="307" spans="1:21" x14ac:dyDescent="0.25">
      <c r="A307" t="s">
        <v>420</v>
      </c>
      <c r="B307" s="4" t="s">
        <v>49</v>
      </c>
      <c r="C307" s="1">
        <v>5</v>
      </c>
      <c r="D307">
        <v>40</v>
      </c>
      <c r="E307">
        <v>3</v>
      </c>
      <c r="F307">
        <v>42</v>
      </c>
      <c r="G307" t="s">
        <v>20</v>
      </c>
      <c r="H307">
        <f t="shared" ref="H307:I307" si="1209">H305</f>
        <v>106</v>
      </c>
      <c r="I307">
        <f t="shared" si="1209"/>
        <v>5</v>
      </c>
      <c r="J307" t="s">
        <v>20</v>
      </c>
      <c r="K307">
        <f t="shared" ref="K307:L307" si="1210">K305</f>
        <v>3</v>
      </c>
      <c r="L307">
        <f t="shared" si="1210"/>
        <v>1</v>
      </c>
      <c r="M307" t="s">
        <v>20</v>
      </c>
      <c r="N307">
        <f t="shared" ref="N307:O307" si="1211">N305</f>
        <v>97</v>
      </c>
      <c r="O307">
        <f t="shared" si="1211"/>
        <v>2</v>
      </c>
      <c r="Q307" t="s">
        <v>20</v>
      </c>
      <c r="R307" t="s">
        <v>20</v>
      </c>
      <c r="S307" t="s">
        <v>20</v>
      </c>
      <c r="T307" t="s">
        <v>20</v>
      </c>
      <c r="U307" t="s">
        <v>20</v>
      </c>
    </row>
    <row r="308" spans="1:21" x14ac:dyDescent="0.25">
      <c r="A308" t="s">
        <v>421</v>
      </c>
      <c r="B308" s="4" t="s">
        <v>49</v>
      </c>
      <c r="C308" s="1">
        <v>5</v>
      </c>
      <c r="D308">
        <v>40</v>
      </c>
      <c r="E308">
        <v>1</v>
      </c>
      <c r="F308">
        <v>60</v>
      </c>
      <c r="G308">
        <v>116</v>
      </c>
      <c r="H308">
        <f t="shared" ref="H308" si="1212">AVERAGE(G308:G310)</f>
        <v>113.33333333333333</v>
      </c>
      <c r="I308">
        <f t="shared" ref="I308" si="1213">_xlfn.STDEV.P(G308:G310)</f>
        <v>3.0912061651652345</v>
      </c>
      <c r="J308">
        <v>1</v>
      </c>
      <c r="K308">
        <f t="shared" ref="K308" si="1214">AVERAGE(J308:J310)</f>
        <v>0.66666666666666663</v>
      </c>
      <c r="L308">
        <f t="shared" ref="L308" si="1215">_xlfn.STDEV.P(J308:J310)</f>
        <v>0.47140452079103168</v>
      </c>
      <c r="M308">
        <v>104</v>
      </c>
      <c r="N308">
        <f t="shared" ref="N308" si="1216">AVERAGE(M308:M310)</f>
        <v>101.33333333333333</v>
      </c>
      <c r="O308">
        <f t="shared" ref="O308" si="1217">_xlfn.STDEV.P(M308:M310)</f>
        <v>4.4969125210773466</v>
      </c>
      <c r="P308">
        <v>166</v>
      </c>
      <c r="Q308">
        <v>0.68</v>
      </c>
      <c r="R308">
        <v>112.88000000000001</v>
      </c>
      <c r="S308">
        <v>0.67</v>
      </c>
      <c r="T308">
        <v>111.22000000000001</v>
      </c>
      <c r="U308">
        <v>18.260000000000002</v>
      </c>
    </row>
    <row r="309" spans="1:21" x14ac:dyDescent="0.25">
      <c r="A309" t="s">
        <v>421</v>
      </c>
      <c r="B309" s="4" t="s">
        <v>49</v>
      </c>
      <c r="C309" s="1">
        <v>5</v>
      </c>
      <c r="D309">
        <v>40</v>
      </c>
      <c r="E309">
        <v>2</v>
      </c>
      <c r="F309">
        <v>36</v>
      </c>
      <c r="G309">
        <v>109</v>
      </c>
      <c r="H309">
        <f t="shared" ref="H309:I309" si="1218">H308</f>
        <v>113.33333333333333</v>
      </c>
      <c r="I309">
        <f t="shared" si="1218"/>
        <v>3.0912061651652345</v>
      </c>
      <c r="J309">
        <v>1</v>
      </c>
      <c r="K309">
        <f t="shared" ref="K309:L309" si="1219">K308</f>
        <v>0.66666666666666663</v>
      </c>
      <c r="L309">
        <f t="shared" si="1219"/>
        <v>0.47140452079103168</v>
      </c>
      <c r="M309">
        <v>105</v>
      </c>
      <c r="N309">
        <f t="shared" ref="N309:O309" si="1220">N308</f>
        <v>101.33333333333333</v>
      </c>
      <c r="O309">
        <f t="shared" si="1220"/>
        <v>4.4969125210773466</v>
      </c>
      <c r="P309">
        <v>167</v>
      </c>
      <c r="Q309">
        <v>0.62</v>
      </c>
      <c r="R309">
        <v>103.54</v>
      </c>
      <c r="S309">
        <v>0.65</v>
      </c>
      <c r="T309">
        <v>108.55</v>
      </c>
      <c r="U309" t="s">
        <v>20</v>
      </c>
    </row>
    <row r="310" spans="1:21" x14ac:dyDescent="0.25">
      <c r="A310" t="s">
        <v>421</v>
      </c>
      <c r="B310" s="4" t="s">
        <v>49</v>
      </c>
      <c r="C310" s="1">
        <v>5</v>
      </c>
      <c r="D310">
        <v>40</v>
      </c>
      <c r="E310">
        <v>3</v>
      </c>
      <c r="F310">
        <v>56</v>
      </c>
      <c r="G310">
        <v>115</v>
      </c>
      <c r="H310">
        <f t="shared" ref="H310:I310" si="1221">H308</f>
        <v>113.33333333333333</v>
      </c>
      <c r="I310">
        <f t="shared" si="1221"/>
        <v>3.0912061651652345</v>
      </c>
      <c r="J310">
        <v>0</v>
      </c>
      <c r="K310">
        <f t="shared" ref="K310:L310" si="1222">K308</f>
        <v>0.66666666666666663</v>
      </c>
      <c r="L310">
        <f t="shared" si="1222"/>
        <v>0.47140452079103168</v>
      </c>
      <c r="M310">
        <v>95</v>
      </c>
      <c r="N310">
        <f t="shared" ref="N310:O310" si="1223">N308</f>
        <v>101.33333333333333</v>
      </c>
      <c r="O310">
        <f t="shared" si="1223"/>
        <v>4.4969125210773466</v>
      </c>
      <c r="P310">
        <v>167</v>
      </c>
      <c r="Q310">
        <v>0.62</v>
      </c>
      <c r="R310">
        <v>103.54</v>
      </c>
      <c r="S310">
        <v>0.68</v>
      </c>
      <c r="T310">
        <v>113.56</v>
      </c>
      <c r="U310" t="s">
        <v>20</v>
      </c>
    </row>
    <row r="311" spans="1:21" x14ac:dyDescent="0.25">
      <c r="A311" t="s">
        <v>422</v>
      </c>
      <c r="B311" s="4" t="s">
        <v>49</v>
      </c>
      <c r="C311" s="1">
        <v>4</v>
      </c>
      <c r="D311">
        <v>40</v>
      </c>
      <c r="E311">
        <v>1</v>
      </c>
      <c r="F311">
        <v>34</v>
      </c>
      <c r="G311">
        <v>104</v>
      </c>
      <c r="H311">
        <f t="shared" ref="H311" si="1224">AVERAGE(G311:G313)</f>
        <v>104.33333333333333</v>
      </c>
      <c r="I311">
        <f t="shared" ref="I311" si="1225">_xlfn.STDEV.P(G311:G313)</f>
        <v>0.47140452079103168</v>
      </c>
      <c r="J311">
        <v>2</v>
      </c>
      <c r="K311">
        <f t="shared" ref="K311" si="1226">AVERAGE(J311:J313)</f>
        <v>1.3333333333333333</v>
      </c>
      <c r="L311">
        <f t="shared" ref="L311" si="1227">_xlfn.STDEV.P(J311:J313)</f>
        <v>0.47140452079103168</v>
      </c>
      <c r="M311">
        <v>108</v>
      </c>
      <c r="N311">
        <f t="shared" ref="N311" si="1228">AVERAGE(M311:M313)</f>
        <v>112.33333333333333</v>
      </c>
      <c r="O311">
        <f t="shared" ref="O311" si="1229">_xlfn.STDEV.P(M311:M313)</f>
        <v>4.7842333648024411</v>
      </c>
      <c r="P311">
        <v>159</v>
      </c>
      <c r="Q311">
        <v>0.7</v>
      </c>
      <c r="R311">
        <v>111.3</v>
      </c>
      <c r="S311">
        <v>0.72</v>
      </c>
      <c r="T311">
        <v>114.47999999999999</v>
      </c>
      <c r="U311">
        <v>12.64</v>
      </c>
    </row>
    <row r="312" spans="1:21" x14ac:dyDescent="0.25">
      <c r="A312" t="s">
        <v>422</v>
      </c>
      <c r="B312" s="4" t="s">
        <v>49</v>
      </c>
      <c r="C312" s="1">
        <v>4</v>
      </c>
      <c r="D312">
        <v>40</v>
      </c>
      <c r="E312">
        <v>2</v>
      </c>
      <c r="F312">
        <v>22</v>
      </c>
      <c r="G312">
        <v>105</v>
      </c>
      <c r="H312">
        <f t="shared" ref="H312:I312" si="1230">H311</f>
        <v>104.33333333333333</v>
      </c>
      <c r="I312">
        <f t="shared" si="1230"/>
        <v>0.47140452079103168</v>
      </c>
      <c r="J312">
        <v>1</v>
      </c>
      <c r="K312">
        <f t="shared" ref="K312:L312" si="1231">K311</f>
        <v>1.3333333333333333</v>
      </c>
      <c r="L312">
        <f t="shared" si="1231"/>
        <v>0.47140452079103168</v>
      </c>
      <c r="M312">
        <v>110</v>
      </c>
      <c r="N312">
        <f t="shared" ref="N312:O312" si="1232">N311</f>
        <v>112.33333333333333</v>
      </c>
      <c r="O312">
        <f t="shared" si="1232"/>
        <v>4.7842333648024411</v>
      </c>
      <c r="P312">
        <v>156</v>
      </c>
      <c r="Q312">
        <v>0.68</v>
      </c>
      <c r="R312">
        <v>106.08000000000001</v>
      </c>
      <c r="S312">
        <v>0.66</v>
      </c>
      <c r="T312">
        <v>102.96000000000001</v>
      </c>
      <c r="U312" t="s">
        <v>20</v>
      </c>
    </row>
    <row r="313" spans="1:21" x14ac:dyDescent="0.25">
      <c r="A313" t="s">
        <v>422</v>
      </c>
      <c r="B313" s="4" t="s">
        <v>49</v>
      </c>
      <c r="C313" s="1">
        <v>4</v>
      </c>
      <c r="D313">
        <v>40</v>
      </c>
      <c r="E313">
        <v>3</v>
      </c>
      <c r="F313">
        <v>32</v>
      </c>
      <c r="G313">
        <v>104</v>
      </c>
      <c r="H313">
        <f t="shared" ref="H313:I313" si="1233">H311</f>
        <v>104.33333333333333</v>
      </c>
      <c r="I313">
        <f t="shared" si="1233"/>
        <v>0.47140452079103168</v>
      </c>
      <c r="J313">
        <v>1</v>
      </c>
      <c r="K313">
        <f t="shared" ref="K313:L313" si="1234">K311</f>
        <v>1.3333333333333333</v>
      </c>
      <c r="L313">
        <f t="shared" si="1234"/>
        <v>0.47140452079103168</v>
      </c>
      <c r="M313">
        <v>119</v>
      </c>
      <c r="N313">
        <f t="shared" ref="N313:O313" si="1235">N311</f>
        <v>112.33333333333333</v>
      </c>
      <c r="O313">
        <f t="shared" si="1235"/>
        <v>4.7842333648024411</v>
      </c>
      <c r="P313">
        <v>167</v>
      </c>
      <c r="Q313">
        <v>0.66</v>
      </c>
      <c r="R313">
        <v>110.22</v>
      </c>
      <c r="S313">
        <v>0.69</v>
      </c>
      <c r="T313">
        <v>115.22999999999999</v>
      </c>
      <c r="U313" t="s">
        <v>20</v>
      </c>
    </row>
    <row r="314" spans="1:21" x14ac:dyDescent="0.25">
      <c r="A314" t="s">
        <v>423</v>
      </c>
      <c r="B314" s="4" t="s">
        <v>182</v>
      </c>
      <c r="C314" s="1">
        <v>2</v>
      </c>
      <c r="D314">
        <v>40</v>
      </c>
      <c r="E314">
        <v>1</v>
      </c>
      <c r="F314">
        <v>50</v>
      </c>
      <c r="G314">
        <v>148</v>
      </c>
      <c r="H314">
        <f t="shared" ref="H314" si="1236">AVERAGE(G314:G316)</f>
        <v>151</v>
      </c>
      <c r="I314">
        <f t="shared" ref="I314" si="1237">_xlfn.STDEV.P(G314:G316)</f>
        <v>4.9665548085837798</v>
      </c>
      <c r="J314">
        <v>0</v>
      </c>
      <c r="K314">
        <f t="shared" ref="K314" si="1238">AVERAGE(J314:J316)</f>
        <v>0</v>
      </c>
      <c r="L314">
        <f t="shared" ref="L314" si="1239">_xlfn.STDEV.P(J314:J316)</f>
        <v>0</v>
      </c>
      <c r="M314">
        <v>108</v>
      </c>
      <c r="N314">
        <f t="shared" ref="N314" si="1240">AVERAGE(M314:M316)</f>
        <v>108.66666666666667</v>
      </c>
      <c r="O314">
        <f t="shared" ref="O314" si="1241">_xlfn.STDEV.P(M314:M316)</f>
        <v>4.9216076867444665</v>
      </c>
      <c r="P314">
        <v>183</v>
      </c>
      <c r="Q314">
        <v>0.69</v>
      </c>
      <c r="R314">
        <v>126.27</v>
      </c>
      <c r="S314">
        <v>0.73</v>
      </c>
      <c r="T314">
        <v>133.59</v>
      </c>
      <c r="U314" t="s">
        <v>20</v>
      </c>
    </row>
    <row r="315" spans="1:21" x14ac:dyDescent="0.25">
      <c r="A315" t="s">
        <v>423</v>
      </c>
      <c r="B315" s="4" t="s">
        <v>182</v>
      </c>
      <c r="C315" s="1">
        <v>2</v>
      </c>
      <c r="D315">
        <v>40</v>
      </c>
      <c r="E315">
        <v>2</v>
      </c>
      <c r="F315">
        <v>62</v>
      </c>
      <c r="G315">
        <v>147</v>
      </c>
      <c r="H315">
        <f t="shared" ref="H315:I315" si="1242">H314</f>
        <v>151</v>
      </c>
      <c r="I315">
        <f t="shared" si="1242"/>
        <v>4.9665548085837798</v>
      </c>
      <c r="J315">
        <v>0</v>
      </c>
      <c r="K315">
        <f t="shared" ref="K315:L315" si="1243">K314</f>
        <v>0</v>
      </c>
      <c r="L315">
        <f t="shared" si="1243"/>
        <v>0</v>
      </c>
      <c r="M315">
        <v>103</v>
      </c>
      <c r="N315">
        <f t="shared" ref="N315:O315" si="1244">N314</f>
        <v>108.66666666666667</v>
      </c>
      <c r="O315">
        <f t="shared" si="1244"/>
        <v>4.9216076867444665</v>
      </c>
      <c r="P315">
        <v>186</v>
      </c>
      <c r="Q315">
        <v>0.65</v>
      </c>
      <c r="R315">
        <v>120.9</v>
      </c>
      <c r="S315">
        <v>0.52</v>
      </c>
      <c r="T315">
        <v>96.72</v>
      </c>
      <c r="U315" t="s">
        <v>20</v>
      </c>
    </row>
    <row r="316" spans="1:21" x14ac:dyDescent="0.25">
      <c r="A316" t="s">
        <v>423</v>
      </c>
      <c r="B316" s="4" t="s">
        <v>182</v>
      </c>
      <c r="C316" s="1">
        <v>2</v>
      </c>
      <c r="D316">
        <v>40</v>
      </c>
      <c r="E316">
        <v>3</v>
      </c>
      <c r="F316">
        <v>64</v>
      </c>
      <c r="G316">
        <v>158</v>
      </c>
      <c r="H316">
        <f t="shared" ref="H316:I316" si="1245">H314</f>
        <v>151</v>
      </c>
      <c r="I316">
        <f t="shared" si="1245"/>
        <v>4.9665548085837798</v>
      </c>
      <c r="J316">
        <v>0</v>
      </c>
      <c r="K316">
        <f t="shared" ref="K316:L316" si="1246">K314</f>
        <v>0</v>
      </c>
      <c r="L316">
        <f t="shared" si="1246"/>
        <v>0</v>
      </c>
      <c r="M316">
        <v>115</v>
      </c>
      <c r="N316">
        <f t="shared" ref="N316:O316" si="1247">N314</f>
        <v>108.66666666666667</v>
      </c>
      <c r="O316">
        <f t="shared" si="1247"/>
        <v>4.9216076867444665</v>
      </c>
      <c r="P316">
        <v>181</v>
      </c>
      <c r="Q316">
        <v>0.71</v>
      </c>
      <c r="R316">
        <v>128.51</v>
      </c>
      <c r="S316">
        <v>0.73</v>
      </c>
      <c r="T316">
        <v>132.13</v>
      </c>
      <c r="U316" t="s">
        <v>20</v>
      </c>
    </row>
    <row r="317" spans="1:21" x14ac:dyDescent="0.25">
      <c r="A317" t="s">
        <v>424</v>
      </c>
      <c r="B317" s="4" t="s">
        <v>182</v>
      </c>
      <c r="C317" s="1">
        <v>4</v>
      </c>
      <c r="D317">
        <v>40</v>
      </c>
      <c r="E317">
        <v>1</v>
      </c>
      <c r="F317">
        <v>40</v>
      </c>
      <c r="G317">
        <v>116</v>
      </c>
      <c r="H317">
        <f t="shared" ref="H317" si="1248">AVERAGE(G317:G319)</f>
        <v>104</v>
      </c>
      <c r="I317">
        <f t="shared" ref="I317" si="1249">_xlfn.STDEV.P(G317:G319)</f>
        <v>13.589211407093005</v>
      </c>
      <c r="J317">
        <v>4</v>
      </c>
      <c r="K317">
        <f t="shared" ref="K317" si="1250">AVERAGE(J317:J319)</f>
        <v>4</v>
      </c>
      <c r="L317">
        <f t="shared" ref="L317" si="1251">_xlfn.STDEV.P(J317:J319)</f>
        <v>0</v>
      </c>
      <c r="M317">
        <v>96</v>
      </c>
      <c r="N317">
        <f t="shared" ref="N317" si="1252">AVERAGE(M317:M319)</f>
        <v>100</v>
      </c>
      <c r="O317">
        <f t="shared" ref="O317" si="1253">_xlfn.STDEV.P(M317:M319)</f>
        <v>2.8284271247461903</v>
      </c>
      <c r="P317">
        <v>177</v>
      </c>
      <c r="Q317">
        <v>0.68</v>
      </c>
      <c r="R317">
        <v>120.36000000000001</v>
      </c>
      <c r="S317">
        <v>0.64</v>
      </c>
      <c r="T317">
        <v>113.28</v>
      </c>
      <c r="U317">
        <v>20.02</v>
      </c>
    </row>
    <row r="318" spans="1:21" x14ac:dyDescent="0.25">
      <c r="A318" t="s">
        <v>424</v>
      </c>
      <c r="B318" s="4" t="s">
        <v>182</v>
      </c>
      <c r="C318" s="1">
        <v>4</v>
      </c>
      <c r="D318">
        <v>40</v>
      </c>
      <c r="E318">
        <v>2</v>
      </c>
      <c r="F318">
        <v>42</v>
      </c>
      <c r="G318">
        <v>111</v>
      </c>
      <c r="H318">
        <f t="shared" ref="H318:I318" si="1254">H317</f>
        <v>104</v>
      </c>
      <c r="I318">
        <f t="shared" si="1254"/>
        <v>13.589211407093005</v>
      </c>
      <c r="J318">
        <v>4</v>
      </c>
      <c r="K318">
        <f t="shared" ref="K318:L318" si="1255">K317</f>
        <v>4</v>
      </c>
      <c r="L318">
        <f t="shared" si="1255"/>
        <v>0</v>
      </c>
      <c r="M318">
        <v>102</v>
      </c>
      <c r="N318">
        <f t="shared" ref="N318:O318" si="1256">N317</f>
        <v>100</v>
      </c>
      <c r="O318">
        <f t="shared" si="1256"/>
        <v>2.8284271247461903</v>
      </c>
      <c r="P318">
        <v>177</v>
      </c>
      <c r="Q318">
        <v>0.61</v>
      </c>
      <c r="R318">
        <v>107.97</v>
      </c>
      <c r="S318">
        <v>0.65</v>
      </c>
      <c r="T318">
        <v>115.05</v>
      </c>
      <c r="U318" t="s">
        <v>20</v>
      </c>
    </row>
    <row r="319" spans="1:21" x14ac:dyDescent="0.25">
      <c r="A319" t="s">
        <v>424</v>
      </c>
      <c r="B319" s="4" t="s">
        <v>182</v>
      </c>
      <c r="C319" s="1">
        <v>4</v>
      </c>
      <c r="D319">
        <v>40</v>
      </c>
      <c r="E319">
        <v>3</v>
      </c>
      <c r="F319">
        <v>34</v>
      </c>
      <c r="G319">
        <v>85</v>
      </c>
      <c r="H319">
        <f t="shared" ref="H319:I319" si="1257">H317</f>
        <v>104</v>
      </c>
      <c r="I319">
        <f t="shared" si="1257"/>
        <v>13.589211407093005</v>
      </c>
      <c r="J319">
        <v>4</v>
      </c>
      <c r="K319">
        <f t="shared" ref="K319:L319" si="1258">K317</f>
        <v>4</v>
      </c>
      <c r="L319">
        <f t="shared" si="1258"/>
        <v>0</v>
      </c>
      <c r="M319">
        <v>102</v>
      </c>
      <c r="N319">
        <f t="shared" ref="N319:O319" si="1259">N317</f>
        <v>100</v>
      </c>
      <c r="O319">
        <f t="shared" si="1259"/>
        <v>2.8284271247461903</v>
      </c>
      <c r="P319">
        <v>177</v>
      </c>
      <c r="Q319">
        <v>0.62</v>
      </c>
      <c r="R319">
        <v>109.74</v>
      </c>
      <c r="S319">
        <v>0.7</v>
      </c>
      <c r="T319">
        <v>123.89999999999999</v>
      </c>
      <c r="U319" t="s">
        <v>20</v>
      </c>
    </row>
    <row r="320" spans="1:21" x14ac:dyDescent="0.25">
      <c r="A320" t="s">
        <v>425</v>
      </c>
      <c r="B320" s="4" t="s">
        <v>189</v>
      </c>
      <c r="C320" s="1">
        <v>4</v>
      </c>
      <c r="D320">
        <v>40</v>
      </c>
      <c r="E320">
        <v>1</v>
      </c>
      <c r="F320">
        <v>48</v>
      </c>
      <c r="G320">
        <v>101</v>
      </c>
      <c r="H320">
        <f t="shared" ref="H320" si="1260">AVERAGE(G320:G322)</f>
        <v>100.33333333333333</v>
      </c>
      <c r="I320">
        <f t="shared" ref="I320" si="1261">_xlfn.STDEV.P(G320:G322)</f>
        <v>0.47140452079103168</v>
      </c>
      <c r="J320">
        <v>2</v>
      </c>
      <c r="K320">
        <f t="shared" ref="K320" si="1262">AVERAGE(J320:J322)</f>
        <v>2.6666666666666665</v>
      </c>
      <c r="L320">
        <f t="shared" ref="L320" si="1263">_xlfn.STDEV.P(J320:J322)</f>
        <v>0.94280904158206336</v>
      </c>
      <c r="M320">
        <v>101</v>
      </c>
      <c r="N320">
        <f t="shared" ref="N320" si="1264">AVERAGE(M320:M322)</f>
        <v>102</v>
      </c>
      <c r="O320">
        <f t="shared" ref="O320" si="1265">_xlfn.STDEV.P(M320:M322)</f>
        <v>1.4142135623730951</v>
      </c>
      <c r="P320">
        <v>155</v>
      </c>
      <c r="Q320">
        <v>0.5</v>
      </c>
      <c r="R320">
        <v>77.5</v>
      </c>
      <c r="S320">
        <v>0.32</v>
      </c>
      <c r="T320">
        <v>49.6</v>
      </c>
      <c r="U320">
        <v>22.48</v>
      </c>
    </row>
    <row r="321" spans="1:21" x14ac:dyDescent="0.25">
      <c r="A321" t="s">
        <v>425</v>
      </c>
      <c r="B321" s="4" t="s">
        <v>189</v>
      </c>
      <c r="C321" s="1">
        <v>4</v>
      </c>
      <c r="D321">
        <v>40</v>
      </c>
      <c r="E321">
        <v>2</v>
      </c>
      <c r="F321">
        <v>20</v>
      </c>
      <c r="G321">
        <v>100</v>
      </c>
      <c r="H321">
        <f t="shared" ref="H321:I321" si="1266">H320</f>
        <v>100.33333333333333</v>
      </c>
      <c r="I321">
        <f t="shared" si="1266"/>
        <v>0.47140452079103168</v>
      </c>
      <c r="J321">
        <v>4</v>
      </c>
      <c r="K321">
        <f t="shared" ref="K321:L321" si="1267">K320</f>
        <v>2.6666666666666665</v>
      </c>
      <c r="L321">
        <f t="shared" si="1267"/>
        <v>0.94280904158206336</v>
      </c>
      <c r="M321">
        <v>101</v>
      </c>
      <c r="N321">
        <f t="shared" ref="N321:O321" si="1268">N320</f>
        <v>102</v>
      </c>
      <c r="O321">
        <f t="shared" si="1268"/>
        <v>1.4142135623730951</v>
      </c>
      <c r="P321">
        <v>152</v>
      </c>
      <c r="Q321">
        <v>0.46</v>
      </c>
      <c r="R321">
        <v>69.92</v>
      </c>
      <c r="S321">
        <v>0.56999999999999995</v>
      </c>
      <c r="T321">
        <v>86.639999999999986</v>
      </c>
      <c r="U321">
        <v>19.440000000000001</v>
      </c>
    </row>
    <row r="322" spans="1:21" x14ac:dyDescent="0.25">
      <c r="A322" t="s">
        <v>425</v>
      </c>
      <c r="B322" s="4" t="s">
        <v>189</v>
      </c>
      <c r="C322" s="1">
        <v>4</v>
      </c>
      <c r="D322">
        <v>40</v>
      </c>
      <c r="E322">
        <v>3</v>
      </c>
      <c r="F322">
        <v>62</v>
      </c>
      <c r="G322">
        <v>100</v>
      </c>
      <c r="H322">
        <f t="shared" ref="H322:I322" si="1269">H320</f>
        <v>100.33333333333333</v>
      </c>
      <c r="I322">
        <f t="shared" si="1269"/>
        <v>0.47140452079103168</v>
      </c>
      <c r="J322">
        <v>2</v>
      </c>
      <c r="K322">
        <f t="shared" ref="K322:L322" si="1270">K320</f>
        <v>2.6666666666666665</v>
      </c>
      <c r="L322">
        <f t="shared" si="1270"/>
        <v>0.94280904158206336</v>
      </c>
      <c r="M322">
        <v>104</v>
      </c>
      <c r="N322">
        <f t="shared" ref="N322:O322" si="1271">N320</f>
        <v>102</v>
      </c>
      <c r="O322">
        <f t="shared" si="1271"/>
        <v>1.4142135623730951</v>
      </c>
      <c r="P322">
        <v>150</v>
      </c>
      <c r="Q322">
        <v>0.57999999999999996</v>
      </c>
      <c r="R322">
        <v>87</v>
      </c>
      <c r="S322">
        <v>0.57999999999999996</v>
      </c>
      <c r="T322">
        <v>87</v>
      </c>
      <c r="U322">
        <v>21.21</v>
      </c>
    </row>
    <row r="323" spans="1:21" x14ac:dyDescent="0.25">
      <c r="A323" t="s">
        <v>426</v>
      </c>
      <c r="B323" s="4" t="s">
        <v>189</v>
      </c>
      <c r="C323" s="1">
        <v>4</v>
      </c>
      <c r="D323">
        <v>40</v>
      </c>
      <c r="E323">
        <v>1</v>
      </c>
      <c r="F323">
        <v>40</v>
      </c>
      <c r="G323">
        <v>100</v>
      </c>
      <c r="H323">
        <f t="shared" ref="H323" si="1272">AVERAGE(G323:G325)</f>
        <v>102.33333333333333</v>
      </c>
      <c r="I323">
        <f t="shared" ref="I323" si="1273">_xlfn.STDEV.P(G323:G325)</f>
        <v>2.6246692913372702</v>
      </c>
      <c r="J323">
        <v>1</v>
      </c>
      <c r="K323">
        <f t="shared" ref="K323" si="1274">AVERAGE(J323:J325)</f>
        <v>1.3333333333333333</v>
      </c>
      <c r="L323">
        <f t="shared" ref="L323" si="1275">_xlfn.STDEV.P(J323:J325)</f>
        <v>0.47140452079103168</v>
      </c>
      <c r="M323">
        <v>108</v>
      </c>
      <c r="N323">
        <f t="shared" ref="N323" si="1276">AVERAGE(M323:M325)</f>
        <v>99.333333333333329</v>
      </c>
      <c r="O323">
        <f t="shared" ref="O323" si="1277">_xlfn.STDEV.P(M323:M325)</f>
        <v>7.3635740114581747</v>
      </c>
      <c r="P323">
        <v>149</v>
      </c>
      <c r="Q323">
        <v>0.73</v>
      </c>
      <c r="R323">
        <v>108.77</v>
      </c>
      <c r="S323">
        <v>0.76</v>
      </c>
      <c r="T323">
        <v>113.24</v>
      </c>
      <c r="U323">
        <v>15.49</v>
      </c>
    </row>
    <row r="324" spans="1:21" x14ac:dyDescent="0.25">
      <c r="A324" t="s">
        <v>426</v>
      </c>
      <c r="B324" s="4" t="s">
        <v>189</v>
      </c>
      <c r="C324" s="1">
        <v>4</v>
      </c>
      <c r="D324">
        <v>40</v>
      </c>
      <c r="E324">
        <v>2</v>
      </c>
      <c r="F324">
        <v>22</v>
      </c>
      <c r="G324">
        <v>101</v>
      </c>
      <c r="H324">
        <f t="shared" ref="H324:I324" si="1278">H323</f>
        <v>102.33333333333333</v>
      </c>
      <c r="I324">
        <f t="shared" si="1278"/>
        <v>2.6246692913372702</v>
      </c>
      <c r="J324">
        <v>1</v>
      </c>
      <c r="K324">
        <f t="shared" ref="K324:L324" si="1279">K323</f>
        <v>1.3333333333333333</v>
      </c>
      <c r="L324">
        <f t="shared" si="1279"/>
        <v>0.47140452079103168</v>
      </c>
      <c r="M324">
        <v>90</v>
      </c>
      <c r="N324">
        <f t="shared" ref="N324:O324" si="1280">N323</f>
        <v>99.333333333333329</v>
      </c>
      <c r="O324">
        <f t="shared" si="1280"/>
        <v>7.3635740114581747</v>
      </c>
      <c r="P324">
        <v>155</v>
      </c>
      <c r="Q324">
        <v>0.6</v>
      </c>
      <c r="R324">
        <v>93</v>
      </c>
      <c r="S324">
        <v>0.74</v>
      </c>
      <c r="T324">
        <v>114.7</v>
      </c>
      <c r="U324">
        <v>14.51</v>
      </c>
    </row>
    <row r="325" spans="1:21" x14ac:dyDescent="0.25">
      <c r="A325" t="s">
        <v>426</v>
      </c>
      <c r="B325" s="4" t="s">
        <v>189</v>
      </c>
      <c r="C325" s="1">
        <v>4</v>
      </c>
      <c r="D325">
        <v>40</v>
      </c>
      <c r="E325">
        <v>3</v>
      </c>
      <c r="F325">
        <v>18</v>
      </c>
      <c r="G325">
        <v>106</v>
      </c>
      <c r="H325">
        <f t="shared" ref="H325:I325" si="1281">H323</f>
        <v>102.33333333333333</v>
      </c>
      <c r="I325">
        <f t="shared" si="1281"/>
        <v>2.6246692913372702</v>
      </c>
      <c r="J325">
        <v>2</v>
      </c>
      <c r="K325">
        <f t="shared" ref="K325:L325" si="1282">K323</f>
        <v>1.3333333333333333</v>
      </c>
      <c r="L325">
        <f t="shared" si="1282"/>
        <v>0.47140452079103168</v>
      </c>
      <c r="M325">
        <v>100</v>
      </c>
      <c r="N325">
        <f t="shared" ref="N325:O325" si="1283">N323</f>
        <v>99.333333333333329</v>
      </c>
      <c r="O325">
        <f t="shared" si="1283"/>
        <v>7.3635740114581747</v>
      </c>
      <c r="P325">
        <v>167</v>
      </c>
      <c r="Q325">
        <v>0.68</v>
      </c>
      <c r="R325">
        <v>113.56</v>
      </c>
      <c r="S325">
        <v>0.72</v>
      </c>
      <c r="T325">
        <v>120.24</v>
      </c>
      <c r="U325" t="s">
        <v>20</v>
      </c>
    </row>
    <row r="326" spans="1:21" x14ac:dyDescent="0.25">
      <c r="A326" t="s">
        <v>427</v>
      </c>
      <c r="B326" s="4" t="s">
        <v>189</v>
      </c>
      <c r="C326" s="1">
        <v>5</v>
      </c>
      <c r="D326">
        <v>40</v>
      </c>
      <c r="E326">
        <v>1</v>
      </c>
      <c r="F326">
        <v>4</v>
      </c>
      <c r="G326">
        <v>118</v>
      </c>
      <c r="H326">
        <f t="shared" ref="H326" si="1284">AVERAGE(G326:G328)</f>
        <v>114.66666666666667</v>
      </c>
      <c r="I326">
        <f t="shared" ref="I326" si="1285">_xlfn.STDEV.P(G326:G328)</f>
        <v>3.39934634239519</v>
      </c>
      <c r="J326">
        <v>1</v>
      </c>
      <c r="K326">
        <f t="shared" ref="K326" si="1286">AVERAGE(J326:J328)</f>
        <v>1.6666666666666667</v>
      </c>
      <c r="L326">
        <f t="shared" ref="L326" si="1287">_xlfn.STDEV.P(J326:J328)</f>
        <v>0.94280904158206336</v>
      </c>
      <c r="M326">
        <v>105</v>
      </c>
      <c r="N326">
        <f t="shared" ref="N326" si="1288">AVERAGE(M326:M328)</f>
        <v>105.33333333333333</v>
      </c>
      <c r="O326">
        <f t="shared" ref="O326" si="1289">_xlfn.STDEV.P(M326:M328)</f>
        <v>2.8674417556808756</v>
      </c>
      <c r="P326">
        <v>186</v>
      </c>
      <c r="Q326">
        <v>0.46</v>
      </c>
      <c r="R326">
        <v>85.56</v>
      </c>
      <c r="S326">
        <v>0.3</v>
      </c>
      <c r="T326">
        <v>55.8</v>
      </c>
      <c r="U326" t="s">
        <v>20</v>
      </c>
    </row>
    <row r="327" spans="1:21" x14ac:dyDescent="0.25">
      <c r="A327" t="s">
        <v>427</v>
      </c>
      <c r="B327" s="4" t="s">
        <v>189</v>
      </c>
      <c r="C327" s="1">
        <v>5</v>
      </c>
      <c r="D327">
        <v>40</v>
      </c>
      <c r="E327">
        <v>2</v>
      </c>
      <c r="F327">
        <v>14</v>
      </c>
      <c r="G327">
        <v>116</v>
      </c>
      <c r="H327">
        <f t="shared" ref="H327:I327" si="1290">H326</f>
        <v>114.66666666666667</v>
      </c>
      <c r="I327">
        <f t="shared" si="1290"/>
        <v>3.39934634239519</v>
      </c>
      <c r="J327">
        <v>1</v>
      </c>
      <c r="K327">
        <f t="shared" ref="K327:L327" si="1291">K326</f>
        <v>1.6666666666666667</v>
      </c>
      <c r="L327">
        <f t="shared" si="1291"/>
        <v>0.94280904158206336</v>
      </c>
      <c r="M327">
        <v>102</v>
      </c>
      <c r="N327">
        <f t="shared" ref="N327:O327" si="1292">N326</f>
        <v>105.33333333333333</v>
      </c>
      <c r="O327">
        <f t="shared" si="1292"/>
        <v>2.8674417556808756</v>
      </c>
      <c r="P327">
        <v>186</v>
      </c>
      <c r="Q327">
        <v>0.44</v>
      </c>
      <c r="R327">
        <v>81.84</v>
      </c>
      <c r="S327">
        <v>0.4</v>
      </c>
      <c r="T327">
        <v>74.400000000000006</v>
      </c>
      <c r="U327" t="s">
        <v>20</v>
      </c>
    </row>
    <row r="328" spans="1:21" x14ac:dyDescent="0.25">
      <c r="A328" t="s">
        <v>427</v>
      </c>
      <c r="B328" s="4" t="s">
        <v>189</v>
      </c>
      <c r="C328" s="1">
        <v>5</v>
      </c>
      <c r="D328">
        <v>40</v>
      </c>
      <c r="E328">
        <v>3</v>
      </c>
      <c r="F328">
        <v>16</v>
      </c>
      <c r="G328">
        <v>110</v>
      </c>
      <c r="H328">
        <f t="shared" ref="H328:I328" si="1293">H326</f>
        <v>114.66666666666667</v>
      </c>
      <c r="I328">
        <f t="shared" si="1293"/>
        <v>3.39934634239519</v>
      </c>
      <c r="J328">
        <v>3</v>
      </c>
      <c r="K328">
        <f t="shared" ref="K328:L328" si="1294">K326</f>
        <v>1.6666666666666667</v>
      </c>
      <c r="L328">
        <f t="shared" si="1294"/>
        <v>0.94280904158206336</v>
      </c>
      <c r="M328">
        <v>109</v>
      </c>
      <c r="N328">
        <f t="shared" ref="N328:O328" si="1295">N326</f>
        <v>105.33333333333333</v>
      </c>
      <c r="O328">
        <f t="shared" si="1295"/>
        <v>2.8674417556808756</v>
      </c>
      <c r="P328">
        <v>186</v>
      </c>
      <c r="Q328">
        <v>0.4</v>
      </c>
      <c r="R328">
        <v>74.400000000000006</v>
      </c>
      <c r="S328">
        <v>0.31</v>
      </c>
      <c r="T328">
        <v>57.66</v>
      </c>
      <c r="U328" t="s">
        <v>20</v>
      </c>
    </row>
    <row r="329" spans="1:21" x14ac:dyDescent="0.25">
      <c r="A329" t="s">
        <v>428</v>
      </c>
      <c r="B329" s="4" t="s">
        <v>49</v>
      </c>
      <c r="C329" s="1">
        <v>5</v>
      </c>
      <c r="D329">
        <v>40</v>
      </c>
      <c r="E329">
        <v>1</v>
      </c>
      <c r="F329">
        <v>24</v>
      </c>
      <c r="G329">
        <v>115</v>
      </c>
      <c r="H329">
        <f t="shared" ref="H329" si="1296">AVERAGE(G329:G331)</f>
        <v>114.33333333333333</v>
      </c>
      <c r="I329">
        <f t="shared" ref="I329" si="1297">_xlfn.STDEV.P(G329:G331)</f>
        <v>0.94280904158206336</v>
      </c>
      <c r="J329">
        <v>1</v>
      </c>
      <c r="K329">
        <f t="shared" ref="K329" si="1298">AVERAGE(J329:J331)</f>
        <v>1.6666666666666667</v>
      </c>
      <c r="L329">
        <f t="shared" ref="L329" si="1299">_xlfn.STDEV.P(J329:J331)</f>
        <v>0.94280904158206336</v>
      </c>
      <c r="M329">
        <v>119</v>
      </c>
      <c r="N329">
        <f t="shared" ref="N329" si="1300">AVERAGE(M329:M331)</f>
        <v>115.66666666666667</v>
      </c>
      <c r="O329">
        <f t="shared" ref="O329" si="1301">_xlfn.STDEV.P(M329:M331)</f>
        <v>5.4365021434333629</v>
      </c>
      <c r="P329">
        <v>162</v>
      </c>
      <c r="Q329">
        <v>0.67</v>
      </c>
      <c r="R329">
        <v>108.54</v>
      </c>
      <c r="S329">
        <v>0.55000000000000004</v>
      </c>
      <c r="T329">
        <v>89.100000000000009</v>
      </c>
      <c r="U329" t="s">
        <v>20</v>
      </c>
    </row>
    <row r="330" spans="1:21" x14ac:dyDescent="0.25">
      <c r="A330" t="s">
        <v>428</v>
      </c>
      <c r="B330" s="4" t="s">
        <v>49</v>
      </c>
      <c r="C330" s="1">
        <v>5</v>
      </c>
      <c r="D330">
        <v>40</v>
      </c>
      <c r="E330">
        <v>2</v>
      </c>
      <c r="F330">
        <v>10</v>
      </c>
      <c r="G330">
        <v>115</v>
      </c>
      <c r="H330">
        <f t="shared" ref="H330:I330" si="1302">H329</f>
        <v>114.33333333333333</v>
      </c>
      <c r="I330">
        <f t="shared" si="1302"/>
        <v>0.94280904158206336</v>
      </c>
      <c r="J330">
        <v>3</v>
      </c>
      <c r="K330">
        <f t="shared" ref="K330:L330" si="1303">K329</f>
        <v>1.6666666666666667</v>
      </c>
      <c r="L330">
        <f t="shared" si="1303"/>
        <v>0.94280904158206336</v>
      </c>
      <c r="M330">
        <v>108</v>
      </c>
      <c r="N330">
        <f t="shared" ref="N330:O330" si="1304">N329</f>
        <v>115.66666666666667</v>
      </c>
      <c r="O330">
        <f t="shared" si="1304"/>
        <v>5.4365021434333629</v>
      </c>
      <c r="P330">
        <v>166</v>
      </c>
      <c r="Q330">
        <v>0.73</v>
      </c>
      <c r="R330">
        <v>121.17999999999999</v>
      </c>
      <c r="S330">
        <v>0.72</v>
      </c>
      <c r="T330">
        <v>119.52</v>
      </c>
      <c r="U330" t="s">
        <v>20</v>
      </c>
    </row>
    <row r="331" spans="1:21" x14ac:dyDescent="0.25">
      <c r="A331" t="s">
        <v>428</v>
      </c>
      <c r="B331" s="4" t="s">
        <v>49</v>
      </c>
      <c r="C331" s="1">
        <v>5</v>
      </c>
      <c r="D331">
        <v>40</v>
      </c>
      <c r="E331">
        <v>3</v>
      </c>
      <c r="F331">
        <v>20</v>
      </c>
      <c r="G331">
        <v>113</v>
      </c>
      <c r="H331">
        <f t="shared" ref="H331:I331" si="1305">H329</f>
        <v>114.33333333333333</v>
      </c>
      <c r="I331">
        <f t="shared" si="1305"/>
        <v>0.94280904158206336</v>
      </c>
      <c r="J331">
        <v>1</v>
      </c>
      <c r="K331">
        <f t="shared" ref="K331:L331" si="1306">K329</f>
        <v>1.6666666666666667</v>
      </c>
      <c r="L331">
        <f t="shared" si="1306"/>
        <v>0.94280904158206336</v>
      </c>
      <c r="M331">
        <v>120</v>
      </c>
      <c r="N331">
        <f t="shared" ref="N331:O331" si="1307">N329</f>
        <v>115.66666666666667</v>
      </c>
      <c r="O331">
        <f t="shared" si="1307"/>
        <v>5.4365021434333629</v>
      </c>
      <c r="P331">
        <v>162</v>
      </c>
      <c r="Q331">
        <v>0.71</v>
      </c>
      <c r="R331">
        <v>115.02</v>
      </c>
      <c r="S331">
        <v>0.63</v>
      </c>
      <c r="T331">
        <v>102.06</v>
      </c>
      <c r="U331" t="s">
        <v>20</v>
      </c>
    </row>
    <row r="332" spans="1:21" x14ac:dyDescent="0.25">
      <c r="A332" t="s">
        <v>429</v>
      </c>
      <c r="B332" s="4" t="s">
        <v>49</v>
      </c>
      <c r="C332" s="1">
        <v>5</v>
      </c>
      <c r="D332">
        <v>40</v>
      </c>
      <c r="E332">
        <v>1</v>
      </c>
      <c r="F332">
        <v>60</v>
      </c>
      <c r="G332">
        <v>116</v>
      </c>
      <c r="H332">
        <f t="shared" ref="H332" si="1308">AVERAGE(G332:G334)</f>
        <v>114</v>
      </c>
      <c r="I332">
        <f t="shared" ref="I332" si="1309">_xlfn.STDEV.P(G332:G334)</f>
        <v>3.5590260840104371</v>
      </c>
      <c r="J332">
        <v>0</v>
      </c>
      <c r="K332">
        <f t="shared" ref="K332" si="1310">AVERAGE(J332:J334)</f>
        <v>0.33333333333333331</v>
      </c>
      <c r="L332">
        <f t="shared" ref="L332" si="1311">_xlfn.STDEV.P(J332:J334)</f>
        <v>0.47140452079103168</v>
      </c>
      <c r="M332">
        <v>115</v>
      </c>
      <c r="N332">
        <f t="shared" ref="N332" si="1312">AVERAGE(M332:M334)</f>
        <v>111.33333333333333</v>
      </c>
      <c r="O332">
        <f t="shared" ref="O332" si="1313">_xlfn.STDEV.P(M332:M334)</f>
        <v>5.1854497287013483</v>
      </c>
      <c r="P332">
        <v>166</v>
      </c>
      <c r="Q332">
        <v>0.59</v>
      </c>
      <c r="R332">
        <v>97.94</v>
      </c>
      <c r="S332">
        <v>0.62</v>
      </c>
      <c r="T332">
        <v>102.92</v>
      </c>
      <c r="U332">
        <v>20.7</v>
      </c>
    </row>
    <row r="333" spans="1:21" x14ac:dyDescent="0.25">
      <c r="A333" t="s">
        <v>429</v>
      </c>
      <c r="B333" s="4" t="s">
        <v>49</v>
      </c>
      <c r="C333" s="1">
        <v>5</v>
      </c>
      <c r="D333">
        <v>40</v>
      </c>
      <c r="E333">
        <v>2</v>
      </c>
      <c r="F333">
        <v>82</v>
      </c>
      <c r="G333">
        <v>109</v>
      </c>
      <c r="H333">
        <f t="shared" ref="H333:I333" si="1314">H332</f>
        <v>114</v>
      </c>
      <c r="I333">
        <f t="shared" si="1314"/>
        <v>3.5590260840104371</v>
      </c>
      <c r="J333">
        <v>0</v>
      </c>
      <c r="K333">
        <f t="shared" ref="K333:L333" si="1315">K332</f>
        <v>0.33333333333333331</v>
      </c>
      <c r="L333">
        <f t="shared" si="1315"/>
        <v>0.47140452079103168</v>
      </c>
      <c r="M333">
        <v>115</v>
      </c>
      <c r="N333">
        <f t="shared" ref="N333:O333" si="1316">N332</f>
        <v>111.33333333333333</v>
      </c>
      <c r="O333">
        <f t="shared" si="1316"/>
        <v>5.1854497287013483</v>
      </c>
      <c r="P333">
        <v>168</v>
      </c>
      <c r="Q333">
        <v>0.52</v>
      </c>
      <c r="R333">
        <v>87.36</v>
      </c>
      <c r="S333">
        <v>0.65</v>
      </c>
      <c r="T333">
        <v>109.2</v>
      </c>
      <c r="U333">
        <v>20.190000000000001</v>
      </c>
    </row>
    <row r="334" spans="1:21" x14ac:dyDescent="0.25">
      <c r="A334" t="s">
        <v>429</v>
      </c>
      <c r="B334" s="4" t="s">
        <v>49</v>
      </c>
      <c r="C334" s="1">
        <v>5</v>
      </c>
      <c r="D334">
        <v>40</v>
      </c>
      <c r="E334">
        <v>3</v>
      </c>
      <c r="F334">
        <v>76</v>
      </c>
      <c r="G334">
        <v>117</v>
      </c>
      <c r="H334">
        <f t="shared" ref="H334:I334" si="1317">H332</f>
        <v>114</v>
      </c>
      <c r="I334">
        <f t="shared" si="1317"/>
        <v>3.5590260840104371</v>
      </c>
      <c r="J334">
        <v>1</v>
      </c>
      <c r="K334">
        <f t="shared" ref="K334:L334" si="1318">K332</f>
        <v>0.33333333333333331</v>
      </c>
      <c r="L334">
        <f t="shared" si="1318"/>
        <v>0.47140452079103168</v>
      </c>
      <c r="M334">
        <v>104</v>
      </c>
      <c r="N334">
        <f t="shared" ref="N334:O334" si="1319">N332</f>
        <v>111.33333333333333</v>
      </c>
      <c r="O334">
        <f t="shared" si="1319"/>
        <v>5.1854497287013483</v>
      </c>
      <c r="P334">
        <v>186</v>
      </c>
      <c r="Q334">
        <v>0.39</v>
      </c>
      <c r="R334">
        <v>72.540000000000006</v>
      </c>
      <c r="S334">
        <v>0.41</v>
      </c>
      <c r="T334">
        <v>76.259999999999991</v>
      </c>
      <c r="U334" t="s">
        <v>20</v>
      </c>
    </row>
    <row r="335" spans="1:21" x14ac:dyDescent="0.25">
      <c r="A335" t="s">
        <v>430</v>
      </c>
      <c r="B335" s="4" t="s">
        <v>49</v>
      </c>
      <c r="C335" s="1">
        <v>5</v>
      </c>
      <c r="D335">
        <v>40</v>
      </c>
      <c r="E335">
        <v>1</v>
      </c>
      <c r="F335">
        <v>40</v>
      </c>
      <c r="G335">
        <v>115</v>
      </c>
      <c r="H335">
        <f t="shared" ref="H335" si="1320">AVERAGE(G335:G337)</f>
        <v>113.66666666666667</v>
      </c>
      <c r="I335">
        <f t="shared" ref="I335" si="1321">_xlfn.STDEV.P(G335:G337)</f>
        <v>1.8856180831641267</v>
      </c>
      <c r="J335">
        <v>1</v>
      </c>
      <c r="K335">
        <f t="shared" ref="K335" si="1322">AVERAGE(J335:J337)</f>
        <v>1</v>
      </c>
      <c r="L335">
        <f t="shared" ref="L335" si="1323">_xlfn.STDEV.P(J335:J337)</f>
        <v>0</v>
      </c>
      <c r="M335">
        <v>106</v>
      </c>
      <c r="N335">
        <f t="shared" ref="N335" si="1324">AVERAGE(M335:M337)</f>
        <v>103.66666666666667</v>
      </c>
      <c r="O335">
        <f t="shared" ref="O335" si="1325">_xlfn.STDEV.P(M335:M337)</f>
        <v>2.6246692913372702</v>
      </c>
      <c r="P335">
        <v>177</v>
      </c>
      <c r="Q335">
        <v>0.4</v>
      </c>
      <c r="R335">
        <v>70.8</v>
      </c>
      <c r="S335">
        <v>0.5</v>
      </c>
      <c r="T335">
        <v>88.5</v>
      </c>
      <c r="U335">
        <v>14.41</v>
      </c>
    </row>
    <row r="336" spans="1:21" x14ac:dyDescent="0.25">
      <c r="A336" t="s">
        <v>430</v>
      </c>
      <c r="B336" s="4" t="s">
        <v>49</v>
      </c>
      <c r="C336" s="1">
        <v>5</v>
      </c>
      <c r="D336">
        <v>40</v>
      </c>
      <c r="E336">
        <v>2</v>
      </c>
      <c r="F336">
        <v>48</v>
      </c>
      <c r="G336">
        <v>115</v>
      </c>
      <c r="H336">
        <f t="shared" ref="H336:I336" si="1326">H335</f>
        <v>113.66666666666667</v>
      </c>
      <c r="I336">
        <f t="shared" si="1326"/>
        <v>1.8856180831641267</v>
      </c>
      <c r="J336">
        <v>1</v>
      </c>
      <c r="K336">
        <f t="shared" ref="K336:L336" si="1327">K335</f>
        <v>1</v>
      </c>
      <c r="L336">
        <f t="shared" si="1327"/>
        <v>0</v>
      </c>
      <c r="M336">
        <v>100</v>
      </c>
      <c r="N336">
        <f t="shared" ref="N336:O336" si="1328">N335</f>
        <v>103.66666666666667</v>
      </c>
      <c r="O336">
        <f t="shared" si="1328"/>
        <v>2.6246692913372702</v>
      </c>
      <c r="P336">
        <v>167</v>
      </c>
      <c r="Q336">
        <v>0.56000000000000005</v>
      </c>
      <c r="R336">
        <v>93.52000000000001</v>
      </c>
      <c r="S336">
        <v>0.62</v>
      </c>
      <c r="T336">
        <v>103.54</v>
      </c>
      <c r="U336">
        <v>15.23</v>
      </c>
    </row>
    <row r="337" spans="1:21" x14ac:dyDescent="0.25">
      <c r="A337" t="s">
        <v>430</v>
      </c>
      <c r="B337" s="4" t="s">
        <v>49</v>
      </c>
      <c r="C337" s="1">
        <v>5</v>
      </c>
      <c r="D337">
        <v>40</v>
      </c>
      <c r="E337">
        <v>3</v>
      </c>
      <c r="F337">
        <v>76</v>
      </c>
      <c r="G337">
        <v>111</v>
      </c>
      <c r="H337">
        <f t="shared" ref="H337:I337" si="1329">H335</f>
        <v>113.66666666666667</v>
      </c>
      <c r="I337">
        <f t="shared" si="1329"/>
        <v>1.8856180831641267</v>
      </c>
      <c r="J337">
        <v>1</v>
      </c>
      <c r="K337">
        <f t="shared" ref="K337:L337" si="1330">K335</f>
        <v>1</v>
      </c>
      <c r="L337">
        <f t="shared" si="1330"/>
        <v>0</v>
      </c>
      <c r="M337">
        <v>105</v>
      </c>
      <c r="N337">
        <f t="shared" ref="N337:O337" si="1331">N335</f>
        <v>103.66666666666667</v>
      </c>
      <c r="O337">
        <f t="shared" si="1331"/>
        <v>2.6246692913372702</v>
      </c>
      <c r="P337">
        <v>162</v>
      </c>
      <c r="Q337">
        <v>0.61</v>
      </c>
      <c r="R337">
        <v>98.82</v>
      </c>
      <c r="S337">
        <v>0.63</v>
      </c>
      <c r="T337">
        <v>102.06</v>
      </c>
      <c r="U337" t="s">
        <v>20</v>
      </c>
    </row>
    <row r="338" spans="1:21" x14ac:dyDescent="0.25">
      <c r="A338" t="s">
        <v>431</v>
      </c>
      <c r="B338" s="4" t="s">
        <v>189</v>
      </c>
      <c r="C338" s="1">
        <v>4</v>
      </c>
      <c r="D338">
        <v>40</v>
      </c>
      <c r="E338">
        <v>1</v>
      </c>
      <c r="F338">
        <v>24</v>
      </c>
      <c r="G338">
        <v>106</v>
      </c>
      <c r="H338">
        <f t="shared" ref="H338" si="1332">AVERAGE(G338:G340)</f>
        <v>107</v>
      </c>
      <c r="I338">
        <f t="shared" ref="I338" si="1333">_xlfn.STDEV.P(G338:G340)</f>
        <v>1.4142135623730951</v>
      </c>
      <c r="J338">
        <v>1</v>
      </c>
      <c r="K338">
        <f t="shared" ref="K338" si="1334">AVERAGE(J338:J340)</f>
        <v>1</v>
      </c>
      <c r="L338">
        <f t="shared" ref="L338" si="1335">_xlfn.STDEV.P(J338:J340)</f>
        <v>0</v>
      </c>
      <c r="M338">
        <v>100</v>
      </c>
      <c r="N338">
        <f t="shared" ref="N338" si="1336">AVERAGE(M338:M340)</f>
        <v>98.333333333333329</v>
      </c>
      <c r="O338">
        <f t="shared" ref="O338" si="1337">_xlfn.STDEV.P(M338:M340)</f>
        <v>2.3570226039551581</v>
      </c>
      <c r="P338">
        <v>166</v>
      </c>
      <c r="Q338">
        <v>0.68</v>
      </c>
      <c r="R338">
        <v>112.88000000000001</v>
      </c>
      <c r="S338">
        <v>0.71</v>
      </c>
      <c r="T338">
        <v>117.86</v>
      </c>
      <c r="U338" t="s">
        <v>20</v>
      </c>
    </row>
    <row r="339" spans="1:21" x14ac:dyDescent="0.25">
      <c r="A339" t="s">
        <v>431</v>
      </c>
      <c r="B339" s="4" t="s">
        <v>189</v>
      </c>
      <c r="C339" s="1">
        <v>4</v>
      </c>
      <c r="D339">
        <v>40</v>
      </c>
      <c r="E339">
        <v>2</v>
      </c>
      <c r="F339">
        <v>38</v>
      </c>
      <c r="G339">
        <v>106</v>
      </c>
      <c r="H339">
        <f t="shared" ref="H339:I339" si="1338">H338</f>
        <v>107</v>
      </c>
      <c r="I339">
        <f t="shared" si="1338"/>
        <v>1.4142135623730951</v>
      </c>
      <c r="J339">
        <v>1</v>
      </c>
      <c r="K339">
        <f t="shared" ref="K339:L339" si="1339">K338</f>
        <v>1</v>
      </c>
      <c r="L339">
        <f t="shared" si="1339"/>
        <v>0</v>
      </c>
      <c r="M339">
        <v>100</v>
      </c>
      <c r="N339">
        <f t="shared" ref="N339:O339" si="1340">N338</f>
        <v>98.333333333333329</v>
      </c>
      <c r="O339">
        <f t="shared" si="1340"/>
        <v>2.3570226039551581</v>
      </c>
      <c r="P339">
        <v>167</v>
      </c>
      <c r="Q339">
        <v>0.68</v>
      </c>
      <c r="R339">
        <v>113.56</v>
      </c>
      <c r="S339">
        <v>0.72</v>
      </c>
      <c r="T339">
        <v>120.24</v>
      </c>
      <c r="U339" t="s">
        <v>20</v>
      </c>
    </row>
    <row r="340" spans="1:21" x14ac:dyDescent="0.25">
      <c r="A340" t="s">
        <v>431</v>
      </c>
      <c r="B340" s="4" t="s">
        <v>189</v>
      </c>
      <c r="C340" s="1">
        <v>4</v>
      </c>
      <c r="D340">
        <v>40</v>
      </c>
      <c r="E340">
        <v>3</v>
      </c>
      <c r="F340">
        <v>32</v>
      </c>
      <c r="G340">
        <v>109</v>
      </c>
      <c r="H340">
        <f t="shared" ref="H340:I340" si="1341">H338</f>
        <v>107</v>
      </c>
      <c r="I340">
        <f t="shared" si="1341"/>
        <v>1.4142135623730951</v>
      </c>
      <c r="J340">
        <v>1</v>
      </c>
      <c r="K340">
        <f t="shared" ref="K340:L340" si="1342">K338</f>
        <v>1</v>
      </c>
      <c r="L340">
        <f t="shared" si="1342"/>
        <v>0</v>
      </c>
      <c r="M340">
        <v>95</v>
      </c>
      <c r="N340">
        <f t="shared" ref="N340:O340" si="1343">N338</f>
        <v>98.333333333333329</v>
      </c>
      <c r="O340">
        <f t="shared" si="1343"/>
        <v>2.3570226039551581</v>
      </c>
      <c r="P340">
        <v>167</v>
      </c>
      <c r="Q340">
        <v>0.67</v>
      </c>
      <c r="R340">
        <v>111.89</v>
      </c>
      <c r="S340">
        <v>0.67</v>
      </c>
      <c r="T340">
        <v>111.89</v>
      </c>
      <c r="U340" t="s">
        <v>20</v>
      </c>
    </row>
    <row r="341" spans="1:21" x14ac:dyDescent="0.25">
      <c r="A341" t="s">
        <v>432</v>
      </c>
      <c r="B341" s="4" t="s">
        <v>189</v>
      </c>
      <c r="C341" s="1">
        <v>3</v>
      </c>
      <c r="D341">
        <v>40</v>
      </c>
      <c r="E341">
        <v>1</v>
      </c>
      <c r="F341">
        <v>20</v>
      </c>
      <c r="G341">
        <v>95</v>
      </c>
      <c r="H341">
        <f t="shared" ref="H341" si="1344">AVERAGE(G341:G343)</f>
        <v>96</v>
      </c>
      <c r="I341">
        <f t="shared" ref="I341" si="1345">_xlfn.STDEV.P(G341:G343)</f>
        <v>2.1602468994692869</v>
      </c>
      <c r="J341">
        <v>0</v>
      </c>
      <c r="K341">
        <f t="shared" ref="K341" si="1346">AVERAGE(J341:J343)</f>
        <v>0.33333333333333331</v>
      </c>
      <c r="L341">
        <f t="shared" ref="L341" si="1347">_xlfn.STDEV.P(J341:J343)</f>
        <v>0.47140452079103168</v>
      </c>
      <c r="M341">
        <v>136</v>
      </c>
      <c r="N341">
        <f t="shared" ref="N341" si="1348">AVERAGE(M341:M343)</f>
        <v>134</v>
      </c>
      <c r="O341">
        <f t="shared" ref="O341" si="1349">_xlfn.STDEV.P(M341:M343)</f>
        <v>5.8878405775518976</v>
      </c>
      <c r="P341">
        <v>147</v>
      </c>
      <c r="Q341">
        <v>0.67</v>
      </c>
      <c r="R341">
        <v>98.490000000000009</v>
      </c>
      <c r="S341">
        <v>0.69</v>
      </c>
      <c r="T341">
        <v>101.42999999999999</v>
      </c>
      <c r="U341">
        <v>15.51</v>
      </c>
    </row>
    <row r="342" spans="1:21" x14ac:dyDescent="0.25">
      <c r="A342" t="s">
        <v>432</v>
      </c>
      <c r="B342" s="4" t="s">
        <v>189</v>
      </c>
      <c r="C342" s="1">
        <v>3</v>
      </c>
      <c r="D342">
        <v>40</v>
      </c>
      <c r="E342">
        <v>2</v>
      </c>
      <c r="F342">
        <v>16</v>
      </c>
      <c r="G342">
        <v>94</v>
      </c>
      <c r="H342">
        <f t="shared" ref="H342:I342" si="1350">H341</f>
        <v>96</v>
      </c>
      <c r="I342">
        <f t="shared" si="1350"/>
        <v>2.1602468994692869</v>
      </c>
      <c r="J342">
        <v>0</v>
      </c>
      <c r="K342">
        <f t="shared" ref="K342:L342" si="1351">K341</f>
        <v>0.33333333333333331</v>
      </c>
      <c r="L342">
        <f t="shared" si="1351"/>
        <v>0.47140452079103168</v>
      </c>
      <c r="M342">
        <v>140</v>
      </c>
      <c r="N342">
        <f t="shared" ref="N342:O342" si="1352">N341</f>
        <v>134</v>
      </c>
      <c r="O342">
        <f t="shared" si="1352"/>
        <v>5.8878405775518976</v>
      </c>
      <c r="P342">
        <v>139</v>
      </c>
      <c r="Q342">
        <v>0.63</v>
      </c>
      <c r="R342">
        <v>87.570000000000007</v>
      </c>
      <c r="S342">
        <v>0.76</v>
      </c>
      <c r="T342">
        <v>105.64</v>
      </c>
      <c r="U342">
        <v>16.91</v>
      </c>
    </row>
    <row r="343" spans="1:21" x14ac:dyDescent="0.25">
      <c r="A343" t="s">
        <v>432</v>
      </c>
      <c r="B343" s="4" t="s">
        <v>189</v>
      </c>
      <c r="C343" s="1">
        <v>3</v>
      </c>
      <c r="D343">
        <v>40</v>
      </c>
      <c r="E343">
        <v>3</v>
      </c>
      <c r="F343">
        <v>26</v>
      </c>
      <c r="G343">
        <v>99</v>
      </c>
      <c r="H343">
        <f t="shared" ref="H343:I343" si="1353">H341</f>
        <v>96</v>
      </c>
      <c r="I343">
        <f t="shared" si="1353"/>
        <v>2.1602468994692869</v>
      </c>
      <c r="J343">
        <v>1</v>
      </c>
      <c r="K343">
        <f t="shared" ref="K343:L343" si="1354">K341</f>
        <v>0.33333333333333331</v>
      </c>
      <c r="L343">
        <f t="shared" si="1354"/>
        <v>0.47140452079103168</v>
      </c>
      <c r="M343">
        <v>126</v>
      </c>
      <c r="N343">
        <f t="shared" ref="N343:O343" si="1355">N341</f>
        <v>134</v>
      </c>
      <c r="O343">
        <f t="shared" si="1355"/>
        <v>5.8878405775518976</v>
      </c>
      <c r="P343">
        <v>150</v>
      </c>
      <c r="Q343">
        <v>0.56000000000000005</v>
      </c>
      <c r="R343">
        <v>84.000000000000014</v>
      </c>
      <c r="S343">
        <v>0.68</v>
      </c>
      <c r="T343">
        <v>102.00000000000001</v>
      </c>
      <c r="U343">
        <v>15.31</v>
      </c>
    </row>
    <row r="344" spans="1:21" x14ac:dyDescent="0.25">
      <c r="A344" t="s">
        <v>433</v>
      </c>
      <c r="B344" s="4" t="s">
        <v>49</v>
      </c>
      <c r="C344" s="1">
        <v>4</v>
      </c>
      <c r="D344">
        <v>40</v>
      </c>
      <c r="E344">
        <v>1</v>
      </c>
      <c r="F344">
        <v>24</v>
      </c>
      <c r="G344">
        <v>109</v>
      </c>
      <c r="H344">
        <f t="shared" ref="H344" si="1356">AVERAGE(G344:G346)</f>
        <v>103.33333333333333</v>
      </c>
      <c r="I344">
        <f t="shared" ref="I344" si="1357">_xlfn.STDEV.P(G344:G346)</f>
        <v>4.0276819911981905</v>
      </c>
      <c r="J344">
        <v>2</v>
      </c>
      <c r="K344">
        <f t="shared" ref="K344" si="1358">AVERAGE(J344:J346)</f>
        <v>2</v>
      </c>
      <c r="L344">
        <f t="shared" ref="L344" si="1359">_xlfn.STDEV.P(J344:J346)</f>
        <v>0.81649658092772603</v>
      </c>
      <c r="M344">
        <v>88</v>
      </c>
      <c r="N344">
        <f t="shared" ref="N344" si="1360">AVERAGE(M344:M346)</f>
        <v>86</v>
      </c>
      <c r="O344">
        <f t="shared" ref="O344" si="1361">_xlfn.STDEV.P(M344:M346)</f>
        <v>1.4142135623730951</v>
      </c>
      <c r="P344">
        <v>183</v>
      </c>
      <c r="Q344">
        <v>0.34</v>
      </c>
      <c r="R344">
        <v>62.220000000000006</v>
      </c>
      <c r="S344">
        <v>0.4</v>
      </c>
      <c r="T344">
        <v>73.2</v>
      </c>
      <c r="U344">
        <v>16.559999999999999</v>
      </c>
    </row>
    <row r="345" spans="1:21" x14ac:dyDescent="0.25">
      <c r="A345" t="s">
        <v>433</v>
      </c>
      <c r="B345" s="4" t="s">
        <v>49</v>
      </c>
      <c r="C345" s="1">
        <v>4</v>
      </c>
      <c r="D345">
        <v>40</v>
      </c>
      <c r="E345">
        <v>2</v>
      </c>
      <c r="F345">
        <v>8</v>
      </c>
      <c r="G345">
        <v>100</v>
      </c>
      <c r="H345">
        <f t="shared" ref="H345:I345" si="1362">H344</f>
        <v>103.33333333333333</v>
      </c>
      <c r="I345">
        <f t="shared" si="1362"/>
        <v>4.0276819911981905</v>
      </c>
      <c r="J345">
        <v>1</v>
      </c>
      <c r="K345">
        <f t="shared" ref="K345:L345" si="1363">K344</f>
        <v>2</v>
      </c>
      <c r="L345">
        <f t="shared" si="1363"/>
        <v>0.81649658092772603</v>
      </c>
      <c r="M345">
        <v>85</v>
      </c>
      <c r="N345">
        <f t="shared" ref="N345:O345" si="1364">N344</f>
        <v>86</v>
      </c>
      <c r="O345">
        <f t="shared" si="1364"/>
        <v>1.4142135623730951</v>
      </c>
      <c r="P345">
        <v>149</v>
      </c>
      <c r="Q345">
        <v>0.59</v>
      </c>
      <c r="R345">
        <v>87.91</v>
      </c>
      <c r="S345">
        <v>0.66</v>
      </c>
      <c r="T345">
        <v>98.34</v>
      </c>
      <c r="U345">
        <v>16.28</v>
      </c>
    </row>
    <row r="346" spans="1:21" x14ac:dyDescent="0.25">
      <c r="A346" t="s">
        <v>433</v>
      </c>
      <c r="B346" s="4" t="s">
        <v>49</v>
      </c>
      <c r="C346" s="1">
        <v>4</v>
      </c>
      <c r="D346">
        <v>40</v>
      </c>
      <c r="E346">
        <v>3</v>
      </c>
      <c r="F346">
        <v>6</v>
      </c>
      <c r="G346">
        <v>101</v>
      </c>
      <c r="H346">
        <f t="shared" ref="H346:I346" si="1365">H344</f>
        <v>103.33333333333333</v>
      </c>
      <c r="I346">
        <f t="shared" si="1365"/>
        <v>4.0276819911981905</v>
      </c>
      <c r="J346">
        <v>3</v>
      </c>
      <c r="K346">
        <f t="shared" ref="K346:L346" si="1366">K344</f>
        <v>2</v>
      </c>
      <c r="L346">
        <f t="shared" si="1366"/>
        <v>0.81649658092772603</v>
      </c>
      <c r="M346">
        <v>85</v>
      </c>
      <c r="N346">
        <f t="shared" ref="N346:O346" si="1367">N344</f>
        <v>86</v>
      </c>
      <c r="O346">
        <f t="shared" si="1367"/>
        <v>1.4142135623730951</v>
      </c>
      <c r="P346">
        <v>155</v>
      </c>
      <c r="Q346">
        <v>0.55000000000000004</v>
      </c>
      <c r="R346">
        <v>85.25</v>
      </c>
      <c r="S346">
        <v>0.56999999999999995</v>
      </c>
      <c r="T346">
        <v>88.35</v>
      </c>
      <c r="U346">
        <v>14.48</v>
      </c>
    </row>
    <row r="347" spans="1:21" x14ac:dyDescent="0.25">
      <c r="A347" t="s">
        <v>434</v>
      </c>
      <c r="B347" s="4" t="s">
        <v>49</v>
      </c>
      <c r="C347" s="1">
        <v>4</v>
      </c>
      <c r="D347">
        <v>40</v>
      </c>
      <c r="E347">
        <v>1</v>
      </c>
      <c r="F347">
        <v>40</v>
      </c>
      <c r="G347">
        <v>106</v>
      </c>
      <c r="H347">
        <f t="shared" ref="H347" si="1368">AVERAGE(G347:G349)</f>
        <v>108.66666666666667</v>
      </c>
      <c r="I347">
        <f t="shared" ref="I347" si="1369">_xlfn.STDEV.P(G347:G349)</f>
        <v>2.0548046676563256</v>
      </c>
      <c r="J347">
        <v>2</v>
      </c>
      <c r="K347">
        <f t="shared" ref="K347" si="1370">AVERAGE(J347:J349)</f>
        <v>1.6666666666666667</v>
      </c>
      <c r="L347">
        <f t="shared" ref="L347" si="1371">_xlfn.STDEV.P(J347:J349)</f>
        <v>0.47140452079103168</v>
      </c>
      <c r="M347">
        <v>123</v>
      </c>
      <c r="N347">
        <f t="shared" ref="N347" si="1372">AVERAGE(M347:M349)</f>
        <v>121</v>
      </c>
      <c r="O347">
        <f t="shared" ref="O347" si="1373">_xlfn.STDEV.P(M347:M349)</f>
        <v>4.3204937989385739</v>
      </c>
      <c r="P347">
        <v>162</v>
      </c>
      <c r="Q347">
        <v>0.65</v>
      </c>
      <c r="R347">
        <v>105.3</v>
      </c>
      <c r="S347">
        <v>0.6</v>
      </c>
      <c r="T347">
        <v>97.2</v>
      </c>
      <c r="U347">
        <v>15.04</v>
      </c>
    </row>
    <row r="348" spans="1:21" x14ac:dyDescent="0.25">
      <c r="A348" t="s">
        <v>434</v>
      </c>
      <c r="B348" s="4" t="s">
        <v>49</v>
      </c>
      <c r="C348" s="1">
        <v>4</v>
      </c>
      <c r="D348">
        <v>40</v>
      </c>
      <c r="E348">
        <v>2</v>
      </c>
      <c r="F348">
        <v>40</v>
      </c>
      <c r="G348">
        <v>109</v>
      </c>
      <c r="H348">
        <f t="shared" ref="H348:I348" si="1374">H347</f>
        <v>108.66666666666667</v>
      </c>
      <c r="I348">
        <f t="shared" si="1374"/>
        <v>2.0548046676563256</v>
      </c>
      <c r="J348">
        <v>1</v>
      </c>
      <c r="K348">
        <f t="shared" ref="K348:L348" si="1375">K347</f>
        <v>1.6666666666666667</v>
      </c>
      <c r="L348">
        <f t="shared" si="1375"/>
        <v>0.47140452079103168</v>
      </c>
      <c r="M348">
        <v>115</v>
      </c>
      <c r="N348">
        <f t="shared" ref="N348:O348" si="1376">N347</f>
        <v>121</v>
      </c>
      <c r="O348">
        <f t="shared" si="1376"/>
        <v>4.3204937989385739</v>
      </c>
      <c r="P348">
        <v>167</v>
      </c>
      <c r="Q348">
        <v>0.67</v>
      </c>
      <c r="R348">
        <v>111.89</v>
      </c>
      <c r="S348">
        <v>0.65</v>
      </c>
      <c r="T348">
        <v>108.55</v>
      </c>
      <c r="U348" t="s">
        <v>20</v>
      </c>
    </row>
    <row r="349" spans="1:21" x14ac:dyDescent="0.25">
      <c r="A349" t="s">
        <v>434</v>
      </c>
      <c r="B349" s="4" t="s">
        <v>49</v>
      </c>
      <c r="C349" s="1">
        <v>4</v>
      </c>
      <c r="D349">
        <v>40</v>
      </c>
      <c r="E349">
        <v>3</v>
      </c>
      <c r="F349">
        <v>26</v>
      </c>
      <c r="G349">
        <v>111</v>
      </c>
      <c r="H349">
        <f t="shared" ref="H349:I349" si="1377">H347</f>
        <v>108.66666666666667</v>
      </c>
      <c r="I349">
        <f t="shared" si="1377"/>
        <v>2.0548046676563256</v>
      </c>
      <c r="J349">
        <v>2</v>
      </c>
      <c r="K349">
        <f t="shared" ref="K349:L349" si="1378">K347</f>
        <v>1.6666666666666667</v>
      </c>
      <c r="L349">
        <f t="shared" si="1378"/>
        <v>0.47140452079103168</v>
      </c>
      <c r="M349">
        <v>125</v>
      </c>
      <c r="N349">
        <f t="shared" ref="N349:O349" si="1379">N347</f>
        <v>121</v>
      </c>
      <c r="O349">
        <f t="shared" si="1379"/>
        <v>4.3204937989385739</v>
      </c>
      <c r="P349">
        <v>167</v>
      </c>
      <c r="Q349">
        <v>0.68</v>
      </c>
      <c r="R349">
        <v>113.56</v>
      </c>
      <c r="S349">
        <v>0.74</v>
      </c>
      <c r="T349">
        <v>123.58</v>
      </c>
      <c r="U349" t="s">
        <v>20</v>
      </c>
    </row>
    <row r="350" spans="1:21" x14ac:dyDescent="0.25">
      <c r="A350" t="s">
        <v>435</v>
      </c>
      <c r="B350" s="4" t="s">
        <v>189</v>
      </c>
      <c r="C350" s="1">
        <v>3</v>
      </c>
      <c r="D350">
        <v>40</v>
      </c>
      <c r="E350">
        <v>1</v>
      </c>
      <c r="F350">
        <v>26</v>
      </c>
      <c r="G350">
        <v>93</v>
      </c>
      <c r="H350">
        <f t="shared" ref="H350" si="1380">AVERAGE(G350:G352)</f>
        <v>94.666666666666671</v>
      </c>
      <c r="I350">
        <f t="shared" ref="I350" si="1381">_xlfn.STDEV.P(G350:G352)</f>
        <v>3.0912061651652345</v>
      </c>
      <c r="J350">
        <v>2</v>
      </c>
      <c r="K350">
        <f t="shared" ref="K350" si="1382">AVERAGE(J350:J352)</f>
        <v>0.66666666666666663</v>
      </c>
      <c r="L350">
        <f t="shared" ref="L350" si="1383">_xlfn.STDEV.P(J350:J352)</f>
        <v>0.94280904158206336</v>
      </c>
      <c r="M350">
        <v>140</v>
      </c>
      <c r="N350">
        <f t="shared" ref="N350" si="1384">AVERAGE(M350:M352)</f>
        <v>136.66666666666666</v>
      </c>
      <c r="O350">
        <f t="shared" ref="O350" si="1385">_xlfn.STDEV.P(M350:M352)</f>
        <v>2.4944382578492941</v>
      </c>
      <c r="P350">
        <v>139</v>
      </c>
      <c r="Q350">
        <v>0.66</v>
      </c>
      <c r="R350">
        <v>91.740000000000009</v>
      </c>
      <c r="S350">
        <v>0.73</v>
      </c>
      <c r="T350">
        <v>101.47</v>
      </c>
      <c r="U350">
        <v>13.77</v>
      </c>
    </row>
    <row r="351" spans="1:21" x14ac:dyDescent="0.25">
      <c r="A351" t="s">
        <v>435</v>
      </c>
      <c r="B351" s="4" t="s">
        <v>189</v>
      </c>
      <c r="C351" s="1">
        <v>3</v>
      </c>
      <c r="D351">
        <v>40</v>
      </c>
      <c r="E351">
        <v>2</v>
      </c>
      <c r="F351">
        <v>22</v>
      </c>
      <c r="G351">
        <v>92</v>
      </c>
      <c r="H351">
        <f t="shared" ref="H351:I351" si="1386">H350</f>
        <v>94.666666666666671</v>
      </c>
      <c r="I351">
        <f t="shared" si="1386"/>
        <v>3.0912061651652345</v>
      </c>
      <c r="J351">
        <v>0</v>
      </c>
      <c r="K351">
        <f t="shared" ref="K351:L351" si="1387">K350</f>
        <v>0.66666666666666663</v>
      </c>
      <c r="L351">
        <f t="shared" si="1387"/>
        <v>0.94280904158206336</v>
      </c>
      <c r="M351">
        <v>136</v>
      </c>
      <c r="N351">
        <f t="shared" ref="N351:O351" si="1388">N350</f>
        <v>136.66666666666666</v>
      </c>
      <c r="O351">
        <f t="shared" si="1388"/>
        <v>2.4944382578492941</v>
      </c>
      <c r="P351">
        <v>139</v>
      </c>
      <c r="Q351">
        <v>0.68</v>
      </c>
      <c r="R351">
        <v>94.52000000000001</v>
      </c>
      <c r="S351">
        <v>0.76</v>
      </c>
      <c r="T351">
        <v>105.64</v>
      </c>
      <c r="U351">
        <v>13.79</v>
      </c>
    </row>
    <row r="352" spans="1:21" x14ac:dyDescent="0.25">
      <c r="A352" t="s">
        <v>435</v>
      </c>
      <c r="B352" s="4" t="s">
        <v>189</v>
      </c>
      <c r="C352" s="1">
        <v>3</v>
      </c>
      <c r="D352">
        <v>40</v>
      </c>
      <c r="E352">
        <v>3</v>
      </c>
      <c r="F352">
        <v>12</v>
      </c>
      <c r="G352">
        <v>99</v>
      </c>
      <c r="H352">
        <f t="shared" ref="H352:I352" si="1389">H350</f>
        <v>94.666666666666671</v>
      </c>
      <c r="I352">
        <f t="shared" si="1389"/>
        <v>3.0912061651652345</v>
      </c>
      <c r="J352">
        <v>0</v>
      </c>
      <c r="K352">
        <f t="shared" ref="K352:L352" si="1390">K350</f>
        <v>0.66666666666666663</v>
      </c>
      <c r="L352">
        <f t="shared" si="1390"/>
        <v>0.94280904158206336</v>
      </c>
      <c r="M352">
        <v>134</v>
      </c>
      <c r="N352">
        <f t="shared" ref="N352:O352" si="1391">N350</f>
        <v>136.66666666666666</v>
      </c>
      <c r="O352">
        <f t="shared" si="1391"/>
        <v>2.4944382578492941</v>
      </c>
      <c r="P352">
        <v>159</v>
      </c>
      <c r="Q352">
        <v>0.46</v>
      </c>
      <c r="R352">
        <v>73.14</v>
      </c>
      <c r="S352">
        <v>0.4</v>
      </c>
      <c r="T352">
        <v>63.6</v>
      </c>
      <c r="U352" t="s">
        <v>20</v>
      </c>
    </row>
    <row r="353" spans="1:21" x14ac:dyDescent="0.25">
      <c r="A353" t="s">
        <v>436</v>
      </c>
      <c r="B353" s="4" t="s">
        <v>189</v>
      </c>
      <c r="C353" s="1">
        <v>4</v>
      </c>
      <c r="D353">
        <v>40</v>
      </c>
      <c r="E353">
        <v>1</v>
      </c>
      <c r="F353">
        <v>38</v>
      </c>
      <c r="G353">
        <v>117</v>
      </c>
      <c r="H353">
        <f t="shared" ref="H353" si="1392">AVERAGE(G353:G355)</f>
        <v>116</v>
      </c>
      <c r="I353">
        <f t="shared" ref="I353" si="1393">_xlfn.STDEV.P(G353:G355)</f>
        <v>2.1602468994692869</v>
      </c>
      <c r="J353">
        <v>1</v>
      </c>
      <c r="K353">
        <f t="shared" ref="K353" si="1394">AVERAGE(J353:J355)</f>
        <v>1</v>
      </c>
      <c r="L353">
        <f t="shared" ref="L353" si="1395">_xlfn.STDEV.P(J353:J355)</f>
        <v>0</v>
      </c>
      <c r="M353">
        <v>100</v>
      </c>
      <c r="N353">
        <f t="shared" ref="N353" si="1396">AVERAGE(M353:M355)</f>
        <v>100</v>
      </c>
      <c r="O353">
        <f t="shared" ref="O353" si="1397">_xlfn.STDEV.P(M353:M355)</f>
        <v>2.4494897427831779</v>
      </c>
      <c r="P353">
        <v>181</v>
      </c>
      <c r="Q353">
        <v>0.66</v>
      </c>
      <c r="R353">
        <v>119.46000000000001</v>
      </c>
      <c r="S353">
        <v>0.73</v>
      </c>
      <c r="T353">
        <v>132.13</v>
      </c>
      <c r="U353">
        <v>17.45</v>
      </c>
    </row>
    <row r="354" spans="1:21" x14ac:dyDescent="0.25">
      <c r="A354" t="s">
        <v>436</v>
      </c>
      <c r="B354" s="4" t="s">
        <v>189</v>
      </c>
      <c r="C354" s="1">
        <v>4</v>
      </c>
      <c r="D354">
        <v>40</v>
      </c>
      <c r="E354">
        <v>2</v>
      </c>
      <c r="F354">
        <v>62</v>
      </c>
      <c r="G354">
        <v>113</v>
      </c>
      <c r="H354">
        <f t="shared" ref="H354:I354" si="1398">H353</f>
        <v>116</v>
      </c>
      <c r="I354">
        <f t="shared" si="1398"/>
        <v>2.1602468994692869</v>
      </c>
      <c r="J354">
        <v>1</v>
      </c>
      <c r="K354">
        <f t="shared" ref="K354:L354" si="1399">K353</f>
        <v>1</v>
      </c>
      <c r="L354">
        <f t="shared" si="1399"/>
        <v>0</v>
      </c>
      <c r="M354">
        <v>97</v>
      </c>
      <c r="N354">
        <f t="shared" ref="N354:O354" si="1400">N353</f>
        <v>100</v>
      </c>
      <c r="O354">
        <f t="shared" si="1400"/>
        <v>2.4494897427831779</v>
      </c>
      <c r="P354">
        <v>177</v>
      </c>
      <c r="Q354">
        <v>0.72</v>
      </c>
      <c r="R354">
        <v>127.44</v>
      </c>
      <c r="S354">
        <v>0.8</v>
      </c>
      <c r="T354">
        <v>141.6</v>
      </c>
      <c r="U354">
        <v>16.68</v>
      </c>
    </row>
    <row r="355" spans="1:21" x14ac:dyDescent="0.25">
      <c r="A355" t="s">
        <v>436</v>
      </c>
      <c r="B355" s="4" t="s">
        <v>189</v>
      </c>
      <c r="C355" s="1">
        <v>4</v>
      </c>
      <c r="D355">
        <v>40</v>
      </c>
      <c r="E355">
        <v>3</v>
      </c>
      <c r="F355">
        <v>48</v>
      </c>
      <c r="G355">
        <v>118</v>
      </c>
      <c r="H355">
        <f t="shared" ref="H355:I355" si="1401">H353</f>
        <v>116</v>
      </c>
      <c r="I355">
        <f t="shared" si="1401"/>
        <v>2.1602468994692869</v>
      </c>
      <c r="J355">
        <v>1</v>
      </c>
      <c r="K355">
        <f t="shared" ref="K355:L355" si="1402">K353</f>
        <v>1</v>
      </c>
      <c r="L355">
        <f t="shared" si="1402"/>
        <v>0</v>
      </c>
      <c r="M355">
        <v>103</v>
      </c>
      <c r="N355">
        <f t="shared" ref="N355:O355" si="1403">N353</f>
        <v>100</v>
      </c>
      <c r="O355">
        <f t="shared" si="1403"/>
        <v>2.4494897427831779</v>
      </c>
      <c r="P355">
        <v>187</v>
      </c>
      <c r="Q355">
        <v>0.67</v>
      </c>
      <c r="R355">
        <v>125.29</v>
      </c>
      <c r="S355">
        <v>0.65</v>
      </c>
      <c r="T355">
        <v>121.55</v>
      </c>
      <c r="U355" t="s">
        <v>20</v>
      </c>
    </row>
    <row r="356" spans="1:21" x14ac:dyDescent="0.25">
      <c r="A356" t="s">
        <v>437</v>
      </c>
      <c r="B356" s="4" t="s">
        <v>172</v>
      </c>
      <c r="C356" s="1">
        <v>3</v>
      </c>
      <c r="D356">
        <v>40</v>
      </c>
      <c r="E356">
        <v>1</v>
      </c>
      <c r="F356">
        <v>16</v>
      </c>
      <c r="G356">
        <v>116</v>
      </c>
      <c r="H356">
        <f t="shared" ref="H356" si="1404">AVERAGE(G356:G358)</f>
        <v>111.33333333333333</v>
      </c>
      <c r="I356">
        <f t="shared" ref="I356" si="1405">_xlfn.STDEV.P(G356:G358)</f>
        <v>3.2998316455372216</v>
      </c>
      <c r="J356">
        <v>20</v>
      </c>
      <c r="K356">
        <f t="shared" ref="K356" si="1406">AVERAGE(J356:J358)</f>
        <v>16.666666666666668</v>
      </c>
      <c r="L356">
        <f t="shared" ref="L356" si="1407">_xlfn.STDEV.P(J356:J358)</f>
        <v>2.3570226039551585</v>
      </c>
      <c r="M356">
        <v>60</v>
      </c>
      <c r="N356">
        <f t="shared" ref="N356" si="1408">AVERAGE(M356:M358)</f>
        <v>55.666666666666664</v>
      </c>
      <c r="O356">
        <f t="shared" ref="O356" si="1409">_xlfn.STDEV.P(M356:M358)</f>
        <v>3.2998316455372221</v>
      </c>
      <c r="P356">
        <v>181</v>
      </c>
      <c r="Q356">
        <v>0.38</v>
      </c>
      <c r="R356">
        <v>68.78</v>
      </c>
      <c r="S356">
        <v>0.3</v>
      </c>
      <c r="T356">
        <v>54.3</v>
      </c>
      <c r="U356" t="s">
        <v>20</v>
      </c>
    </row>
    <row r="357" spans="1:21" x14ac:dyDescent="0.25">
      <c r="A357" t="s">
        <v>437</v>
      </c>
      <c r="B357" s="4" t="s">
        <v>172</v>
      </c>
      <c r="C357" s="1">
        <v>3</v>
      </c>
      <c r="D357">
        <v>40</v>
      </c>
      <c r="E357">
        <v>2</v>
      </c>
      <c r="F357">
        <v>14</v>
      </c>
      <c r="G357">
        <v>109</v>
      </c>
      <c r="H357">
        <f t="shared" ref="H357:I357" si="1410">H356</f>
        <v>111.33333333333333</v>
      </c>
      <c r="I357">
        <f t="shared" si="1410"/>
        <v>3.2998316455372216</v>
      </c>
      <c r="J357">
        <v>15</v>
      </c>
      <c r="K357">
        <f t="shared" ref="K357:L357" si="1411">K356</f>
        <v>16.666666666666668</v>
      </c>
      <c r="L357">
        <f t="shared" si="1411"/>
        <v>2.3570226039551585</v>
      </c>
      <c r="M357">
        <v>52</v>
      </c>
      <c r="N357">
        <f t="shared" ref="N357:O357" si="1412">N356</f>
        <v>55.666666666666664</v>
      </c>
      <c r="O357">
        <f t="shared" si="1412"/>
        <v>3.2998316455372221</v>
      </c>
      <c r="P357">
        <v>166</v>
      </c>
      <c r="Q357">
        <v>0.41</v>
      </c>
      <c r="R357">
        <v>68.06</v>
      </c>
      <c r="S357">
        <v>0.33</v>
      </c>
      <c r="T357">
        <v>54.78</v>
      </c>
      <c r="U357" t="s">
        <v>20</v>
      </c>
    </row>
    <row r="358" spans="1:21" x14ac:dyDescent="0.25">
      <c r="A358" t="s">
        <v>437</v>
      </c>
      <c r="B358" s="4" t="s">
        <v>172</v>
      </c>
      <c r="C358" s="1">
        <v>3</v>
      </c>
      <c r="D358">
        <v>40</v>
      </c>
      <c r="E358">
        <v>3</v>
      </c>
      <c r="F358">
        <v>16</v>
      </c>
      <c r="G358">
        <v>109</v>
      </c>
      <c r="H358">
        <f t="shared" ref="H358:I358" si="1413">H356</f>
        <v>111.33333333333333</v>
      </c>
      <c r="I358">
        <f t="shared" si="1413"/>
        <v>3.2998316455372216</v>
      </c>
      <c r="J358">
        <v>15</v>
      </c>
      <c r="K358">
        <f t="shared" ref="K358:L358" si="1414">K356</f>
        <v>16.666666666666668</v>
      </c>
      <c r="L358">
        <f t="shared" si="1414"/>
        <v>2.3570226039551585</v>
      </c>
      <c r="M358">
        <v>55</v>
      </c>
      <c r="N358">
        <f t="shared" ref="N358:O358" si="1415">N356</f>
        <v>55.666666666666664</v>
      </c>
      <c r="O358">
        <f t="shared" si="1415"/>
        <v>3.2998316455372221</v>
      </c>
      <c r="P358">
        <v>162</v>
      </c>
      <c r="Q358">
        <v>0.62</v>
      </c>
      <c r="R358">
        <v>100.44</v>
      </c>
      <c r="S358">
        <v>0.38</v>
      </c>
      <c r="T358">
        <v>61.56</v>
      </c>
      <c r="U358" t="s">
        <v>20</v>
      </c>
    </row>
    <row r="359" spans="1:21" x14ac:dyDescent="0.25">
      <c r="A359" t="s">
        <v>438</v>
      </c>
      <c r="B359" s="4" t="s">
        <v>49</v>
      </c>
      <c r="C359" s="1">
        <v>4</v>
      </c>
      <c r="D359">
        <v>40</v>
      </c>
      <c r="E359">
        <v>1</v>
      </c>
      <c r="F359">
        <v>44</v>
      </c>
      <c r="G359">
        <v>124</v>
      </c>
      <c r="H359">
        <f t="shared" ref="H359" si="1416">AVERAGE(G359:G361)</f>
        <v>128.33333333333334</v>
      </c>
      <c r="I359">
        <f t="shared" ref="I359" si="1417">_xlfn.STDEV.P(G359:G361)</f>
        <v>6.128258770283411</v>
      </c>
      <c r="J359">
        <v>0</v>
      </c>
      <c r="K359">
        <f t="shared" ref="K359" si="1418">AVERAGE(J359:J361)</f>
        <v>0</v>
      </c>
      <c r="L359">
        <f t="shared" ref="L359" si="1419">_xlfn.STDEV.P(J359:J361)</f>
        <v>0</v>
      </c>
      <c r="M359">
        <v>112</v>
      </c>
      <c r="N359">
        <f t="shared" ref="N359" si="1420">AVERAGE(M359:M361)</f>
        <v>116.66666666666667</v>
      </c>
      <c r="O359">
        <f t="shared" ref="O359" si="1421">_xlfn.STDEV.P(M359:M361)</f>
        <v>3.39934634239519</v>
      </c>
      <c r="P359">
        <v>181</v>
      </c>
      <c r="Q359">
        <v>0.65</v>
      </c>
      <c r="R359">
        <v>117.65</v>
      </c>
      <c r="S359">
        <v>0.48</v>
      </c>
      <c r="T359">
        <v>86.88</v>
      </c>
      <c r="U359" t="s">
        <v>20</v>
      </c>
    </row>
    <row r="360" spans="1:21" x14ac:dyDescent="0.25">
      <c r="A360" t="s">
        <v>438</v>
      </c>
      <c r="B360" s="4" t="s">
        <v>49</v>
      </c>
      <c r="C360" s="1">
        <v>4</v>
      </c>
      <c r="D360">
        <v>40</v>
      </c>
      <c r="E360">
        <v>2</v>
      </c>
      <c r="F360">
        <v>14</v>
      </c>
      <c r="G360">
        <v>124</v>
      </c>
      <c r="H360">
        <f t="shared" ref="H360:I360" si="1422">H359</f>
        <v>128.33333333333334</v>
      </c>
      <c r="I360">
        <f t="shared" si="1422"/>
        <v>6.128258770283411</v>
      </c>
      <c r="J360">
        <v>0</v>
      </c>
      <c r="K360">
        <f t="shared" ref="K360:L360" si="1423">K359</f>
        <v>0</v>
      </c>
      <c r="L360">
        <f t="shared" si="1423"/>
        <v>0</v>
      </c>
      <c r="M360">
        <v>118</v>
      </c>
      <c r="N360">
        <f t="shared" ref="N360:O360" si="1424">N359</f>
        <v>116.66666666666667</v>
      </c>
      <c r="O360">
        <f t="shared" si="1424"/>
        <v>3.39934634239519</v>
      </c>
      <c r="P360">
        <v>181</v>
      </c>
      <c r="Q360">
        <v>0.65</v>
      </c>
      <c r="R360">
        <v>117.65</v>
      </c>
      <c r="S360">
        <v>0.67</v>
      </c>
      <c r="T360">
        <v>121.27000000000001</v>
      </c>
      <c r="U360" t="s">
        <v>20</v>
      </c>
    </row>
    <row r="361" spans="1:21" x14ac:dyDescent="0.25">
      <c r="A361" t="s">
        <v>438</v>
      </c>
      <c r="B361" s="4" t="s">
        <v>49</v>
      </c>
      <c r="C361" s="1">
        <v>4</v>
      </c>
      <c r="D361">
        <v>40</v>
      </c>
      <c r="E361">
        <v>3</v>
      </c>
      <c r="F361">
        <v>30</v>
      </c>
      <c r="G361">
        <v>137</v>
      </c>
      <c r="H361">
        <f t="shared" ref="H361:I361" si="1425">H359</f>
        <v>128.33333333333334</v>
      </c>
      <c r="I361">
        <f t="shared" si="1425"/>
        <v>6.128258770283411</v>
      </c>
      <c r="J361">
        <v>0</v>
      </c>
      <c r="K361">
        <f t="shared" ref="K361:L361" si="1426">K359</f>
        <v>0</v>
      </c>
      <c r="L361">
        <f t="shared" si="1426"/>
        <v>0</v>
      </c>
      <c r="M361">
        <v>120</v>
      </c>
      <c r="N361">
        <f t="shared" ref="N361:O361" si="1427">N359</f>
        <v>116.66666666666667</v>
      </c>
      <c r="O361">
        <f t="shared" si="1427"/>
        <v>3.39934634239519</v>
      </c>
      <c r="P361">
        <v>177</v>
      </c>
      <c r="Q361">
        <v>0.7</v>
      </c>
      <c r="R361">
        <v>123.89999999999999</v>
      </c>
      <c r="S361">
        <v>0.7</v>
      </c>
      <c r="T361">
        <v>123.89999999999999</v>
      </c>
      <c r="U361" t="s">
        <v>20</v>
      </c>
    </row>
    <row r="362" spans="1:21" x14ac:dyDescent="0.25">
      <c r="A362" t="s">
        <v>439</v>
      </c>
      <c r="B362" s="4" t="s">
        <v>49</v>
      </c>
      <c r="C362" s="1">
        <v>5</v>
      </c>
      <c r="D362">
        <v>40</v>
      </c>
      <c r="E362">
        <v>1</v>
      </c>
      <c r="F362">
        <v>68</v>
      </c>
      <c r="G362">
        <v>99</v>
      </c>
      <c r="H362">
        <f t="shared" ref="H362" si="1428">AVERAGE(G362:G364)</f>
        <v>101</v>
      </c>
      <c r="I362">
        <f t="shared" ref="I362" si="1429">_xlfn.STDEV.P(G362:G364)</f>
        <v>2.1602468994692869</v>
      </c>
      <c r="J362">
        <v>3</v>
      </c>
      <c r="K362">
        <f t="shared" ref="K362" si="1430">AVERAGE(J362:J364)</f>
        <v>4</v>
      </c>
      <c r="L362">
        <f t="shared" ref="L362" si="1431">_xlfn.STDEV.P(J362:J364)</f>
        <v>0.81649658092772603</v>
      </c>
      <c r="M362">
        <v>100</v>
      </c>
      <c r="N362">
        <f t="shared" ref="N362" si="1432">AVERAGE(M362:M364)</f>
        <v>98.666666666666671</v>
      </c>
      <c r="O362">
        <f t="shared" ref="O362" si="1433">_xlfn.STDEV.P(M362:M364)</f>
        <v>0.94280904158206336</v>
      </c>
      <c r="P362">
        <v>149</v>
      </c>
      <c r="Q362">
        <v>0.65</v>
      </c>
      <c r="R362">
        <v>96.850000000000009</v>
      </c>
      <c r="S362">
        <v>0.67</v>
      </c>
      <c r="T362">
        <v>99.830000000000013</v>
      </c>
      <c r="U362">
        <v>11.97</v>
      </c>
    </row>
    <row r="363" spans="1:21" x14ac:dyDescent="0.25">
      <c r="A363" t="s">
        <v>439</v>
      </c>
      <c r="B363" s="4" t="s">
        <v>49</v>
      </c>
      <c r="C363" s="1">
        <v>5</v>
      </c>
      <c r="D363">
        <v>40</v>
      </c>
      <c r="E363">
        <v>2</v>
      </c>
      <c r="F363">
        <v>48</v>
      </c>
      <c r="G363">
        <v>104</v>
      </c>
      <c r="H363">
        <f t="shared" ref="H363:I363" si="1434">H362</f>
        <v>101</v>
      </c>
      <c r="I363">
        <f t="shared" si="1434"/>
        <v>2.1602468994692869</v>
      </c>
      <c r="J363">
        <v>5</v>
      </c>
      <c r="K363">
        <f t="shared" ref="K363:L363" si="1435">K362</f>
        <v>4</v>
      </c>
      <c r="L363">
        <f t="shared" si="1435"/>
        <v>0.81649658092772603</v>
      </c>
      <c r="M363">
        <v>98</v>
      </c>
      <c r="N363">
        <f t="shared" ref="N363:O363" si="1436">N362</f>
        <v>98.666666666666671</v>
      </c>
      <c r="O363">
        <f t="shared" si="1436"/>
        <v>0.94280904158206336</v>
      </c>
      <c r="P363">
        <v>159</v>
      </c>
      <c r="Q363">
        <v>0.59</v>
      </c>
      <c r="R363">
        <v>93.809999999999988</v>
      </c>
      <c r="S363">
        <v>0.65</v>
      </c>
      <c r="T363">
        <v>103.35000000000001</v>
      </c>
      <c r="U363">
        <v>12.81</v>
      </c>
    </row>
    <row r="364" spans="1:21" x14ac:dyDescent="0.25">
      <c r="A364" t="s">
        <v>439</v>
      </c>
      <c r="B364" s="4" t="s">
        <v>49</v>
      </c>
      <c r="C364" s="1">
        <v>5</v>
      </c>
      <c r="D364">
        <v>40</v>
      </c>
      <c r="E364">
        <v>3</v>
      </c>
      <c r="F364">
        <v>68</v>
      </c>
      <c r="G364">
        <v>100</v>
      </c>
      <c r="H364">
        <f t="shared" ref="H364:I364" si="1437">H362</f>
        <v>101</v>
      </c>
      <c r="I364">
        <f t="shared" si="1437"/>
        <v>2.1602468994692869</v>
      </c>
      <c r="J364">
        <v>4</v>
      </c>
      <c r="K364">
        <f t="shared" ref="K364:L364" si="1438">K362</f>
        <v>4</v>
      </c>
      <c r="L364">
        <f t="shared" si="1438"/>
        <v>0.81649658092772603</v>
      </c>
      <c r="M364">
        <v>98</v>
      </c>
      <c r="N364">
        <f t="shared" ref="N364:O364" si="1439">N362</f>
        <v>98.666666666666671</v>
      </c>
      <c r="O364">
        <f t="shared" si="1439"/>
        <v>0.94280904158206336</v>
      </c>
      <c r="P364">
        <v>150</v>
      </c>
      <c r="Q364">
        <v>0.65</v>
      </c>
      <c r="R364">
        <v>97.5</v>
      </c>
      <c r="S364">
        <v>0.63</v>
      </c>
      <c r="T364">
        <v>94.5</v>
      </c>
      <c r="U364">
        <v>13.96</v>
      </c>
    </row>
    <row r="365" spans="1:21" x14ac:dyDescent="0.25">
      <c r="A365" t="s">
        <v>440</v>
      </c>
      <c r="B365" s="4" t="s">
        <v>49</v>
      </c>
      <c r="C365" s="1">
        <v>5</v>
      </c>
      <c r="D365">
        <v>40</v>
      </c>
      <c r="E365">
        <v>1</v>
      </c>
      <c r="F365">
        <v>18</v>
      </c>
      <c r="G365">
        <v>117</v>
      </c>
      <c r="H365">
        <f t="shared" ref="H365" si="1440">AVERAGE(G365:G367)</f>
        <v>113.66666666666667</v>
      </c>
      <c r="I365">
        <f t="shared" ref="I365" si="1441">_xlfn.STDEV.P(G365:G367)</f>
        <v>2.4944382578492941</v>
      </c>
      <c r="J365">
        <v>2</v>
      </c>
      <c r="K365">
        <f t="shared" ref="K365" si="1442">AVERAGE(J365:J367)</f>
        <v>2.6666666666666665</v>
      </c>
      <c r="L365">
        <f t="shared" ref="L365" si="1443">_xlfn.STDEV.P(J365:J367)</f>
        <v>0.94280904158206336</v>
      </c>
      <c r="M365">
        <v>99</v>
      </c>
      <c r="N365">
        <f t="shared" ref="N365" si="1444">AVERAGE(M365:M367)</f>
        <v>99</v>
      </c>
      <c r="O365">
        <f t="shared" ref="O365" si="1445">_xlfn.STDEV.P(M365:M367)</f>
        <v>0.81649658092772603</v>
      </c>
      <c r="P365">
        <v>180</v>
      </c>
      <c r="Q365">
        <v>0.48</v>
      </c>
      <c r="R365">
        <v>86.399999999999991</v>
      </c>
      <c r="S365">
        <v>0.4</v>
      </c>
      <c r="T365">
        <v>72</v>
      </c>
      <c r="U365">
        <v>18.05</v>
      </c>
    </row>
    <row r="366" spans="1:21" x14ac:dyDescent="0.25">
      <c r="A366" t="s">
        <v>440</v>
      </c>
      <c r="B366" s="4" t="s">
        <v>49</v>
      </c>
      <c r="C366" s="1">
        <v>5</v>
      </c>
      <c r="D366">
        <v>40</v>
      </c>
      <c r="E366">
        <v>2</v>
      </c>
      <c r="F366">
        <v>4</v>
      </c>
      <c r="G366">
        <v>113</v>
      </c>
      <c r="H366">
        <f t="shared" ref="H366:I366" si="1446">H365</f>
        <v>113.66666666666667</v>
      </c>
      <c r="I366">
        <f t="shared" si="1446"/>
        <v>2.4944382578492941</v>
      </c>
      <c r="J366">
        <v>4</v>
      </c>
      <c r="K366">
        <f t="shared" ref="K366:L366" si="1447">K365</f>
        <v>2.6666666666666665</v>
      </c>
      <c r="L366">
        <f t="shared" si="1447"/>
        <v>0.94280904158206336</v>
      </c>
      <c r="M366">
        <v>100</v>
      </c>
      <c r="N366">
        <f t="shared" ref="N366:O366" si="1448">N365</f>
        <v>99</v>
      </c>
      <c r="O366">
        <f t="shared" si="1448"/>
        <v>0.81649658092772603</v>
      </c>
      <c r="P366">
        <v>162</v>
      </c>
      <c r="Q366">
        <v>0.57999999999999996</v>
      </c>
      <c r="R366">
        <v>93.96</v>
      </c>
      <c r="S366">
        <v>0.65</v>
      </c>
      <c r="T366">
        <v>105.3</v>
      </c>
      <c r="U366" t="s">
        <v>20</v>
      </c>
    </row>
    <row r="367" spans="1:21" x14ac:dyDescent="0.25">
      <c r="A367" t="s">
        <v>440</v>
      </c>
      <c r="B367" s="4" t="s">
        <v>49</v>
      </c>
      <c r="C367" s="1">
        <v>5</v>
      </c>
      <c r="D367">
        <v>40</v>
      </c>
      <c r="E367">
        <v>3</v>
      </c>
      <c r="F367">
        <v>18</v>
      </c>
      <c r="G367">
        <v>111</v>
      </c>
      <c r="H367">
        <f t="shared" ref="H367:I367" si="1449">H365</f>
        <v>113.66666666666667</v>
      </c>
      <c r="I367">
        <f t="shared" si="1449"/>
        <v>2.4944382578492941</v>
      </c>
      <c r="J367">
        <v>2</v>
      </c>
      <c r="K367">
        <f t="shared" ref="K367:L367" si="1450">K365</f>
        <v>2.6666666666666665</v>
      </c>
      <c r="L367">
        <f t="shared" si="1450"/>
        <v>0.94280904158206336</v>
      </c>
      <c r="M367">
        <v>98</v>
      </c>
      <c r="N367">
        <f t="shared" ref="N367:O367" si="1451">N365</f>
        <v>99</v>
      </c>
      <c r="O367">
        <f t="shared" si="1451"/>
        <v>0.81649658092772603</v>
      </c>
      <c r="P367">
        <v>162</v>
      </c>
      <c r="Q367">
        <v>0.7</v>
      </c>
      <c r="R367">
        <v>113.39999999999999</v>
      </c>
      <c r="S367">
        <v>0.65</v>
      </c>
      <c r="T367">
        <v>105.3</v>
      </c>
      <c r="U367" t="s">
        <v>20</v>
      </c>
    </row>
    <row r="368" spans="1:21" x14ac:dyDescent="0.25">
      <c r="A368" t="s">
        <v>441</v>
      </c>
      <c r="B368" s="4" t="s">
        <v>189</v>
      </c>
      <c r="C368" s="1">
        <v>5</v>
      </c>
      <c r="D368">
        <v>40</v>
      </c>
      <c r="E368">
        <v>1</v>
      </c>
      <c r="F368">
        <v>18</v>
      </c>
      <c r="G368">
        <v>121</v>
      </c>
      <c r="H368">
        <f t="shared" ref="H368" si="1452">AVERAGE(G368:G370)</f>
        <v>116.33333333333333</v>
      </c>
      <c r="I368">
        <f t="shared" ref="I368" si="1453">_xlfn.STDEV.P(G368:G370)</f>
        <v>3.6817870057290869</v>
      </c>
      <c r="J368">
        <v>8</v>
      </c>
      <c r="K368">
        <f t="shared" ref="K368" si="1454">AVERAGE(J368:J370)</f>
        <v>5.666666666666667</v>
      </c>
      <c r="L368">
        <f t="shared" ref="L368" si="1455">_xlfn.STDEV.P(J368:J370)</f>
        <v>2.0548046676563256</v>
      </c>
      <c r="M368">
        <v>110</v>
      </c>
      <c r="N368">
        <f t="shared" ref="N368" si="1456">AVERAGE(M368:M370)</f>
        <v>103</v>
      </c>
      <c r="O368">
        <f t="shared" ref="O368" si="1457">_xlfn.STDEV.P(M368:M370)</f>
        <v>6.6833125519211407</v>
      </c>
      <c r="P368">
        <v>186</v>
      </c>
      <c r="Q368">
        <v>0.44</v>
      </c>
      <c r="R368">
        <v>81.84</v>
      </c>
      <c r="S368">
        <v>0.3</v>
      </c>
      <c r="T368">
        <v>55.8</v>
      </c>
      <c r="U368">
        <v>15.77</v>
      </c>
    </row>
    <row r="369" spans="1:21" x14ac:dyDescent="0.25">
      <c r="A369" t="s">
        <v>441</v>
      </c>
      <c r="B369" s="4" t="s">
        <v>189</v>
      </c>
      <c r="C369" s="1">
        <v>5</v>
      </c>
      <c r="D369">
        <v>40</v>
      </c>
      <c r="E369">
        <v>2</v>
      </c>
      <c r="F369">
        <v>24</v>
      </c>
      <c r="G369">
        <v>116</v>
      </c>
      <c r="H369">
        <f t="shared" ref="H369:I369" si="1458">H368</f>
        <v>116.33333333333333</v>
      </c>
      <c r="I369">
        <f t="shared" si="1458"/>
        <v>3.6817870057290869</v>
      </c>
      <c r="J369">
        <v>3</v>
      </c>
      <c r="K369">
        <f t="shared" ref="K369:L369" si="1459">K368</f>
        <v>5.666666666666667</v>
      </c>
      <c r="L369">
        <f t="shared" si="1459"/>
        <v>2.0548046676563256</v>
      </c>
      <c r="M369">
        <v>105</v>
      </c>
      <c r="N369">
        <f t="shared" ref="N369:O369" si="1460">N368</f>
        <v>103</v>
      </c>
      <c r="O369">
        <f t="shared" si="1460"/>
        <v>6.6833125519211407</v>
      </c>
      <c r="P369">
        <v>187</v>
      </c>
      <c r="Q369">
        <v>0.43</v>
      </c>
      <c r="R369">
        <v>80.41</v>
      </c>
      <c r="S369">
        <v>0.3</v>
      </c>
      <c r="T369">
        <v>56.1</v>
      </c>
      <c r="U369">
        <v>17.68</v>
      </c>
    </row>
    <row r="370" spans="1:21" x14ac:dyDescent="0.25">
      <c r="A370" t="s">
        <v>441</v>
      </c>
      <c r="B370" s="4" t="s">
        <v>189</v>
      </c>
      <c r="C370" s="1">
        <v>5</v>
      </c>
      <c r="D370">
        <v>40</v>
      </c>
      <c r="E370">
        <v>3</v>
      </c>
      <c r="F370">
        <v>18</v>
      </c>
      <c r="G370">
        <v>112</v>
      </c>
      <c r="H370">
        <f t="shared" ref="H370:I370" si="1461">H368</f>
        <v>116.33333333333333</v>
      </c>
      <c r="I370">
        <f t="shared" si="1461"/>
        <v>3.6817870057290869</v>
      </c>
      <c r="J370">
        <v>6</v>
      </c>
      <c r="K370">
        <f t="shared" ref="K370:L370" si="1462">K368</f>
        <v>5.666666666666667</v>
      </c>
      <c r="L370">
        <f t="shared" si="1462"/>
        <v>2.0548046676563256</v>
      </c>
      <c r="M370">
        <v>94</v>
      </c>
      <c r="N370">
        <f t="shared" ref="N370:O370" si="1463">N368</f>
        <v>103</v>
      </c>
      <c r="O370">
        <f t="shared" si="1463"/>
        <v>6.6833125519211407</v>
      </c>
      <c r="P370">
        <v>167</v>
      </c>
      <c r="Q370">
        <v>0.6</v>
      </c>
      <c r="R370">
        <v>100.2</v>
      </c>
      <c r="S370">
        <v>0.68</v>
      </c>
      <c r="T370">
        <v>113.56</v>
      </c>
      <c r="U370" t="s">
        <v>20</v>
      </c>
    </row>
    <row r="371" spans="1:21" x14ac:dyDescent="0.25">
      <c r="A371" t="s">
        <v>442</v>
      </c>
      <c r="B371" s="4" t="s">
        <v>189</v>
      </c>
      <c r="C371" s="1">
        <v>3</v>
      </c>
      <c r="D371">
        <v>40</v>
      </c>
      <c r="E371">
        <v>1</v>
      </c>
      <c r="F371">
        <v>32</v>
      </c>
      <c r="G371">
        <v>95</v>
      </c>
      <c r="H371">
        <f t="shared" ref="H371" si="1464">AVERAGE(G371:G373)</f>
        <v>94</v>
      </c>
      <c r="I371">
        <f t="shared" ref="I371" si="1465">_xlfn.STDEV.P(G371:G373)</f>
        <v>1.4142135623730951</v>
      </c>
      <c r="J371">
        <v>0</v>
      </c>
      <c r="K371">
        <f t="shared" ref="K371" si="1466">AVERAGE(J371:J373)</f>
        <v>0.33333333333333331</v>
      </c>
      <c r="L371">
        <f t="shared" ref="L371" si="1467">_xlfn.STDEV.P(J371:J373)</f>
        <v>0.47140452079103168</v>
      </c>
      <c r="M371">
        <v>125</v>
      </c>
      <c r="N371">
        <f t="shared" ref="N371" si="1468">AVERAGE(M371:M373)</f>
        <v>132</v>
      </c>
      <c r="O371">
        <f t="shared" ref="O371" si="1469">_xlfn.STDEV.P(M371:M373)</f>
        <v>6.164414002968976</v>
      </c>
      <c r="P371">
        <v>147</v>
      </c>
      <c r="Q371">
        <v>0.63</v>
      </c>
      <c r="R371">
        <v>92.61</v>
      </c>
      <c r="S371">
        <v>0.64</v>
      </c>
      <c r="T371">
        <v>94.08</v>
      </c>
      <c r="U371">
        <v>15.27</v>
      </c>
    </row>
    <row r="372" spans="1:21" x14ac:dyDescent="0.25">
      <c r="A372" t="s">
        <v>442</v>
      </c>
      <c r="B372" s="4" t="s">
        <v>189</v>
      </c>
      <c r="C372" s="1">
        <v>3</v>
      </c>
      <c r="D372">
        <v>40</v>
      </c>
      <c r="E372">
        <v>2</v>
      </c>
      <c r="F372">
        <v>20</v>
      </c>
      <c r="G372">
        <v>92</v>
      </c>
      <c r="H372">
        <f t="shared" ref="H372:I372" si="1470">H371</f>
        <v>94</v>
      </c>
      <c r="I372">
        <f t="shared" si="1470"/>
        <v>1.4142135623730951</v>
      </c>
      <c r="J372">
        <v>0</v>
      </c>
      <c r="K372">
        <f t="shared" ref="K372:L372" si="1471">K371</f>
        <v>0.33333333333333331</v>
      </c>
      <c r="L372">
        <f t="shared" si="1471"/>
        <v>0.47140452079103168</v>
      </c>
      <c r="M372">
        <v>140</v>
      </c>
      <c r="N372">
        <f t="shared" ref="N372:O372" si="1472">N371</f>
        <v>132</v>
      </c>
      <c r="O372">
        <f t="shared" si="1472"/>
        <v>6.164414002968976</v>
      </c>
      <c r="P372">
        <v>139</v>
      </c>
      <c r="Q372">
        <v>0.61</v>
      </c>
      <c r="R372">
        <v>84.789999999999992</v>
      </c>
      <c r="S372">
        <v>0.78</v>
      </c>
      <c r="T372">
        <v>108.42</v>
      </c>
      <c r="U372">
        <v>15.44</v>
      </c>
    </row>
    <row r="373" spans="1:21" x14ac:dyDescent="0.25">
      <c r="A373" t="s">
        <v>442</v>
      </c>
      <c r="B373" s="4" t="s">
        <v>189</v>
      </c>
      <c r="C373" s="1">
        <v>3</v>
      </c>
      <c r="D373">
        <v>40</v>
      </c>
      <c r="E373">
        <v>3</v>
      </c>
      <c r="F373">
        <v>24</v>
      </c>
      <c r="G373">
        <v>95</v>
      </c>
      <c r="H373">
        <f t="shared" ref="H373:I373" si="1473">H371</f>
        <v>94</v>
      </c>
      <c r="I373">
        <f t="shared" si="1473"/>
        <v>1.4142135623730951</v>
      </c>
      <c r="J373">
        <v>1</v>
      </c>
      <c r="K373">
        <f t="shared" ref="K373:L373" si="1474">K371</f>
        <v>0.33333333333333331</v>
      </c>
      <c r="L373">
        <f t="shared" si="1474"/>
        <v>0.47140452079103168</v>
      </c>
      <c r="M373">
        <v>131</v>
      </c>
      <c r="N373">
        <f t="shared" ref="N373:O373" si="1475">N371</f>
        <v>132</v>
      </c>
      <c r="O373">
        <f t="shared" si="1475"/>
        <v>6.164414002968976</v>
      </c>
      <c r="P373">
        <v>147</v>
      </c>
      <c r="Q373">
        <v>0.68</v>
      </c>
      <c r="R373">
        <v>99.960000000000008</v>
      </c>
      <c r="S373">
        <v>0.72</v>
      </c>
      <c r="T373">
        <v>105.83999999999999</v>
      </c>
      <c r="U373">
        <v>16.13</v>
      </c>
    </row>
    <row r="374" spans="1:21" x14ac:dyDescent="0.25">
      <c r="A374" t="s">
        <v>443</v>
      </c>
      <c r="B374" s="4" t="s">
        <v>209</v>
      </c>
      <c r="C374" s="1">
        <v>4</v>
      </c>
      <c r="D374">
        <v>40</v>
      </c>
      <c r="E374">
        <v>1</v>
      </c>
      <c r="F374">
        <v>58</v>
      </c>
      <c r="G374">
        <v>100</v>
      </c>
      <c r="H374">
        <f t="shared" ref="H374" si="1476">AVERAGE(G374:G376)</f>
        <v>100</v>
      </c>
      <c r="I374">
        <f t="shared" ref="I374" si="1477">_xlfn.STDEV.P(G374:G376)</f>
        <v>0</v>
      </c>
      <c r="J374">
        <v>4</v>
      </c>
      <c r="K374">
        <f t="shared" ref="K374" si="1478">AVERAGE(J374:J376)</f>
        <v>4.666666666666667</v>
      </c>
      <c r="L374">
        <f t="shared" ref="L374" si="1479">_xlfn.STDEV.P(J374:J376)</f>
        <v>0.94280904158206336</v>
      </c>
      <c r="M374">
        <v>105</v>
      </c>
      <c r="N374">
        <f t="shared" ref="N374" si="1480">AVERAGE(M374:M376)</f>
        <v>105</v>
      </c>
      <c r="O374">
        <f t="shared" ref="O374" si="1481">_xlfn.STDEV.P(M374:M376)</f>
        <v>0</v>
      </c>
      <c r="P374">
        <v>152</v>
      </c>
      <c r="Q374">
        <v>0.65</v>
      </c>
      <c r="R374">
        <v>98.8</v>
      </c>
      <c r="S374">
        <v>0.72</v>
      </c>
      <c r="T374">
        <v>109.44</v>
      </c>
      <c r="U374">
        <v>13.19</v>
      </c>
    </row>
    <row r="375" spans="1:21" x14ac:dyDescent="0.25">
      <c r="A375" t="s">
        <v>443</v>
      </c>
      <c r="B375" s="4" t="s">
        <v>209</v>
      </c>
      <c r="C375" s="1">
        <v>4</v>
      </c>
      <c r="D375">
        <v>40</v>
      </c>
      <c r="E375">
        <v>2</v>
      </c>
      <c r="F375">
        <v>82</v>
      </c>
      <c r="G375">
        <v>100</v>
      </c>
      <c r="H375">
        <f t="shared" ref="H375:I375" si="1482">H374</f>
        <v>100</v>
      </c>
      <c r="I375">
        <f t="shared" si="1482"/>
        <v>0</v>
      </c>
      <c r="J375">
        <v>4</v>
      </c>
      <c r="K375">
        <f t="shared" ref="K375:L375" si="1483">K374</f>
        <v>4.666666666666667</v>
      </c>
      <c r="L375">
        <f t="shared" si="1483"/>
        <v>0.94280904158206336</v>
      </c>
      <c r="M375">
        <v>105</v>
      </c>
      <c r="N375">
        <f t="shared" ref="N375:O375" si="1484">N374</f>
        <v>105</v>
      </c>
      <c r="O375">
        <f t="shared" si="1484"/>
        <v>0</v>
      </c>
      <c r="P375">
        <v>155</v>
      </c>
      <c r="Q375">
        <v>0.63</v>
      </c>
      <c r="R375">
        <v>97.65</v>
      </c>
      <c r="S375">
        <v>0.68</v>
      </c>
      <c r="T375">
        <v>105.4</v>
      </c>
      <c r="U375">
        <v>13.52</v>
      </c>
    </row>
    <row r="376" spans="1:21" x14ac:dyDescent="0.25">
      <c r="A376" t="s">
        <v>443</v>
      </c>
      <c r="B376" s="4" t="s">
        <v>209</v>
      </c>
      <c r="C376" s="1">
        <v>4</v>
      </c>
      <c r="D376">
        <v>40</v>
      </c>
      <c r="E376">
        <v>3</v>
      </c>
      <c r="F376">
        <v>72</v>
      </c>
      <c r="G376">
        <v>100</v>
      </c>
      <c r="H376">
        <f t="shared" ref="H376:I376" si="1485">H374</f>
        <v>100</v>
      </c>
      <c r="I376">
        <f t="shared" si="1485"/>
        <v>0</v>
      </c>
      <c r="J376">
        <v>6</v>
      </c>
      <c r="K376">
        <f t="shared" ref="K376:L376" si="1486">K374</f>
        <v>4.666666666666667</v>
      </c>
      <c r="L376">
        <f t="shared" si="1486"/>
        <v>0.94280904158206336</v>
      </c>
      <c r="M376">
        <v>105</v>
      </c>
      <c r="N376">
        <f t="shared" ref="N376:O376" si="1487">N374</f>
        <v>105</v>
      </c>
      <c r="O376">
        <f t="shared" si="1487"/>
        <v>0</v>
      </c>
      <c r="P376">
        <v>153</v>
      </c>
      <c r="Q376">
        <v>0.64</v>
      </c>
      <c r="R376">
        <v>97.92</v>
      </c>
      <c r="S376">
        <v>0.68</v>
      </c>
      <c r="T376">
        <v>104.04</v>
      </c>
      <c r="U376">
        <v>13.78</v>
      </c>
    </row>
    <row r="377" spans="1:21" x14ac:dyDescent="0.25">
      <c r="A377" t="s">
        <v>444</v>
      </c>
      <c r="B377" s="4" t="s">
        <v>172</v>
      </c>
      <c r="C377" s="1">
        <v>5</v>
      </c>
      <c r="D377">
        <v>40</v>
      </c>
      <c r="E377">
        <v>1</v>
      </c>
      <c r="F377">
        <v>88</v>
      </c>
      <c r="G377">
        <v>104</v>
      </c>
      <c r="H377">
        <f t="shared" ref="H377" si="1488">AVERAGE(G377:G379)</f>
        <v>102</v>
      </c>
      <c r="I377">
        <f t="shared" ref="I377" si="1489">_xlfn.STDEV.P(G377:G379)</f>
        <v>1.4142135623730951</v>
      </c>
      <c r="J377">
        <v>4</v>
      </c>
      <c r="K377">
        <f t="shared" ref="K377" si="1490">AVERAGE(J377:J379)</f>
        <v>2</v>
      </c>
      <c r="L377">
        <f t="shared" ref="L377" si="1491">_xlfn.STDEV.P(J377:J379)</f>
        <v>1.4142135623730951</v>
      </c>
      <c r="M377">
        <v>105</v>
      </c>
      <c r="N377">
        <f t="shared" ref="N377" si="1492">AVERAGE(M377:M379)</f>
        <v>106.66666666666667</v>
      </c>
      <c r="O377">
        <f t="shared" ref="O377" si="1493">_xlfn.STDEV.P(M377:M379)</f>
        <v>6.2360956446232363</v>
      </c>
      <c r="P377">
        <v>156</v>
      </c>
      <c r="Q377">
        <v>0.61</v>
      </c>
      <c r="R377">
        <v>95.16</v>
      </c>
      <c r="S377">
        <v>0.68</v>
      </c>
      <c r="T377">
        <v>106.08000000000001</v>
      </c>
      <c r="U377">
        <v>15.93</v>
      </c>
    </row>
    <row r="378" spans="1:21" x14ac:dyDescent="0.25">
      <c r="A378" t="s">
        <v>444</v>
      </c>
      <c r="B378" s="4" t="s">
        <v>172</v>
      </c>
      <c r="C378" s="1">
        <v>5</v>
      </c>
      <c r="D378">
        <v>40</v>
      </c>
      <c r="E378">
        <v>2</v>
      </c>
      <c r="F378">
        <v>108</v>
      </c>
      <c r="G378">
        <v>101</v>
      </c>
      <c r="H378">
        <f t="shared" ref="H378:I378" si="1494">H377</f>
        <v>102</v>
      </c>
      <c r="I378">
        <f t="shared" si="1494"/>
        <v>1.4142135623730951</v>
      </c>
      <c r="J378">
        <v>1</v>
      </c>
      <c r="K378">
        <f t="shared" ref="K378:L378" si="1495">K377</f>
        <v>2</v>
      </c>
      <c r="L378">
        <f t="shared" si="1495"/>
        <v>1.4142135623730951</v>
      </c>
      <c r="M378">
        <v>100</v>
      </c>
      <c r="N378">
        <f t="shared" ref="N378:O378" si="1496">N377</f>
        <v>106.66666666666667</v>
      </c>
      <c r="O378">
        <f t="shared" si="1496"/>
        <v>6.2360956446232363</v>
      </c>
      <c r="P378">
        <v>150</v>
      </c>
      <c r="Q378">
        <v>0.62</v>
      </c>
      <c r="R378">
        <v>93</v>
      </c>
      <c r="S378">
        <v>0.76</v>
      </c>
      <c r="T378">
        <v>114</v>
      </c>
      <c r="U378">
        <v>17.3</v>
      </c>
    </row>
    <row r="379" spans="1:21" x14ac:dyDescent="0.25">
      <c r="A379" t="s">
        <v>444</v>
      </c>
      <c r="B379" s="4" t="s">
        <v>172</v>
      </c>
      <c r="C379" s="1">
        <v>5</v>
      </c>
      <c r="D379">
        <v>40</v>
      </c>
      <c r="E379">
        <v>3</v>
      </c>
      <c r="F379">
        <v>108</v>
      </c>
      <c r="G379">
        <v>101</v>
      </c>
      <c r="H379">
        <f t="shared" ref="H379:I379" si="1497">H377</f>
        <v>102</v>
      </c>
      <c r="I379">
        <f t="shared" si="1497"/>
        <v>1.4142135623730951</v>
      </c>
      <c r="J379">
        <v>1</v>
      </c>
      <c r="K379">
        <f t="shared" ref="K379:L379" si="1498">K377</f>
        <v>2</v>
      </c>
      <c r="L379">
        <f t="shared" si="1498"/>
        <v>1.4142135623730951</v>
      </c>
      <c r="M379">
        <v>115</v>
      </c>
      <c r="N379">
        <f t="shared" ref="N379:O379" si="1499">N377</f>
        <v>106.66666666666667</v>
      </c>
      <c r="O379">
        <f t="shared" si="1499"/>
        <v>6.2360956446232363</v>
      </c>
      <c r="P379">
        <v>155</v>
      </c>
      <c r="Q379">
        <v>0.57999999999999996</v>
      </c>
      <c r="R379">
        <v>89.899999999999991</v>
      </c>
      <c r="S379">
        <v>0.7</v>
      </c>
      <c r="T379">
        <v>108.5</v>
      </c>
      <c r="U379">
        <v>16.46</v>
      </c>
    </row>
    <row r="380" spans="1:21" x14ac:dyDescent="0.25">
      <c r="A380" t="s">
        <v>445</v>
      </c>
      <c r="B380" s="4" t="s">
        <v>214</v>
      </c>
      <c r="C380" s="1">
        <v>2</v>
      </c>
      <c r="D380">
        <v>40</v>
      </c>
      <c r="E380">
        <v>1</v>
      </c>
      <c r="F380">
        <v>28</v>
      </c>
      <c r="G380">
        <v>101</v>
      </c>
      <c r="H380">
        <f t="shared" ref="H380" si="1500">AVERAGE(G380:G382)</f>
        <v>98.666666666666671</v>
      </c>
      <c r="I380">
        <f t="shared" ref="I380" si="1501">_xlfn.STDEV.P(G380:G382)</f>
        <v>2.6246692913372702</v>
      </c>
      <c r="J380">
        <v>3</v>
      </c>
      <c r="K380">
        <f t="shared" ref="K380" si="1502">AVERAGE(J380:J382)</f>
        <v>2.6666666666666665</v>
      </c>
      <c r="L380">
        <f t="shared" ref="L380" si="1503">_xlfn.STDEV.P(J380:J382)</f>
        <v>0.47140452079103168</v>
      </c>
      <c r="M380">
        <v>82</v>
      </c>
      <c r="N380">
        <f t="shared" ref="N380" si="1504">AVERAGE(M380:M382)</f>
        <v>88.333333333333329</v>
      </c>
      <c r="O380">
        <f t="shared" ref="O380" si="1505">_xlfn.STDEV.P(M380:M382)</f>
        <v>6.9442222186665532</v>
      </c>
      <c r="P380">
        <v>159</v>
      </c>
      <c r="Q380">
        <v>0.56000000000000005</v>
      </c>
      <c r="R380">
        <v>89.04</v>
      </c>
      <c r="S380">
        <v>0.62</v>
      </c>
      <c r="T380">
        <v>98.58</v>
      </c>
      <c r="U380">
        <v>14.95</v>
      </c>
    </row>
    <row r="381" spans="1:21" x14ac:dyDescent="0.25">
      <c r="A381" t="s">
        <v>445</v>
      </c>
      <c r="B381" s="4" t="s">
        <v>214</v>
      </c>
      <c r="C381" s="1">
        <v>2</v>
      </c>
      <c r="D381">
        <v>40</v>
      </c>
      <c r="E381">
        <v>2</v>
      </c>
      <c r="F381">
        <v>14</v>
      </c>
      <c r="G381">
        <v>95</v>
      </c>
      <c r="H381">
        <f t="shared" ref="H381:I381" si="1506">H380</f>
        <v>98.666666666666671</v>
      </c>
      <c r="I381">
        <f t="shared" si="1506"/>
        <v>2.6246692913372702</v>
      </c>
      <c r="J381">
        <v>2</v>
      </c>
      <c r="K381">
        <f t="shared" ref="K381:L381" si="1507">K380</f>
        <v>2.6666666666666665</v>
      </c>
      <c r="L381">
        <f t="shared" si="1507"/>
        <v>0.47140452079103168</v>
      </c>
      <c r="M381">
        <v>98</v>
      </c>
      <c r="N381">
        <f t="shared" ref="N381:O381" si="1508">N380</f>
        <v>88.333333333333329</v>
      </c>
      <c r="O381">
        <f t="shared" si="1508"/>
        <v>6.9442222186665532</v>
      </c>
      <c r="P381">
        <v>147</v>
      </c>
      <c r="Q381">
        <v>0.6</v>
      </c>
      <c r="R381">
        <v>88.2</v>
      </c>
      <c r="S381">
        <v>0.55000000000000004</v>
      </c>
      <c r="T381">
        <v>80.850000000000009</v>
      </c>
      <c r="U381" t="s">
        <v>20</v>
      </c>
    </row>
    <row r="382" spans="1:21" x14ac:dyDescent="0.25">
      <c r="A382" t="s">
        <v>445</v>
      </c>
      <c r="B382" s="4" t="s">
        <v>214</v>
      </c>
      <c r="C382" s="1">
        <v>2</v>
      </c>
      <c r="D382">
        <v>40</v>
      </c>
      <c r="E382">
        <v>3</v>
      </c>
      <c r="F382">
        <v>28</v>
      </c>
      <c r="G382">
        <v>100</v>
      </c>
      <c r="H382">
        <f t="shared" ref="H382:I382" si="1509">H380</f>
        <v>98.666666666666671</v>
      </c>
      <c r="I382">
        <f t="shared" si="1509"/>
        <v>2.6246692913372702</v>
      </c>
      <c r="J382">
        <v>3</v>
      </c>
      <c r="K382">
        <f t="shared" ref="K382:L382" si="1510">K380</f>
        <v>2.6666666666666665</v>
      </c>
      <c r="L382">
        <f t="shared" si="1510"/>
        <v>0.47140452079103168</v>
      </c>
      <c r="M382">
        <v>85</v>
      </c>
      <c r="N382">
        <f t="shared" ref="N382:O382" si="1511">N380</f>
        <v>88.333333333333329</v>
      </c>
      <c r="O382">
        <f t="shared" si="1511"/>
        <v>6.9442222186665532</v>
      </c>
      <c r="P382">
        <v>159</v>
      </c>
      <c r="Q382">
        <v>0.66</v>
      </c>
      <c r="R382">
        <v>104.94000000000001</v>
      </c>
      <c r="S382">
        <v>0.55000000000000004</v>
      </c>
      <c r="T382">
        <v>87.45</v>
      </c>
      <c r="U382" t="s">
        <v>20</v>
      </c>
    </row>
    <row r="383" spans="1:21" x14ac:dyDescent="0.25">
      <c r="A383" t="s">
        <v>446</v>
      </c>
      <c r="B383" s="4" t="s">
        <v>14</v>
      </c>
      <c r="C383" s="1">
        <v>1</v>
      </c>
      <c r="D383">
        <v>40</v>
      </c>
      <c r="E383">
        <v>1</v>
      </c>
      <c r="F383">
        <v>64</v>
      </c>
      <c r="G383">
        <v>139</v>
      </c>
      <c r="H383">
        <f t="shared" ref="H383" si="1512">AVERAGE(G383:G385)</f>
        <v>139</v>
      </c>
      <c r="I383">
        <f t="shared" ref="I383" si="1513">_xlfn.STDEV.P(G383:G385)</f>
        <v>0</v>
      </c>
      <c r="J383">
        <v>5</v>
      </c>
      <c r="K383">
        <f t="shared" ref="K383" si="1514">AVERAGE(J383:J385)</f>
        <v>5.666666666666667</v>
      </c>
      <c r="L383">
        <f t="shared" ref="L383" si="1515">_xlfn.STDEV.P(J383:J385)</f>
        <v>0.47140452079103168</v>
      </c>
      <c r="M383">
        <v>105</v>
      </c>
      <c r="N383">
        <f t="shared" ref="N383" si="1516">AVERAGE(M383:M385)</f>
        <v>108.33333333333333</v>
      </c>
      <c r="O383">
        <f t="shared" ref="O383" si="1517">_xlfn.STDEV.P(M383:M385)</f>
        <v>2.8674417556808756</v>
      </c>
      <c r="P383">
        <v>183</v>
      </c>
      <c r="Q383">
        <v>0.57999999999999996</v>
      </c>
      <c r="R383">
        <v>106.13999999999999</v>
      </c>
      <c r="S383">
        <v>0.62</v>
      </c>
      <c r="T383">
        <v>113.46</v>
      </c>
      <c r="U383" t="s">
        <v>20</v>
      </c>
    </row>
    <row r="384" spans="1:21" x14ac:dyDescent="0.25">
      <c r="A384" t="s">
        <v>446</v>
      </c>
      <c r="B384" s="4" t="s">
        <v>14</v>
      </c>
      <c r="C384" s="1">
        <v>1</v>
      </c>
      <c r="D384">
        <v>40</v>
      </c>
      <c r="E384">
        <v>2</v>
      </c>
      <c r="F384">
        <v>68</v>
      </c>
      <c r="G384">
        <v>139</v>
      </c>
      <c r="H384">
        <f t="shared" ref="H384:I384" si="1518">H383</f>
        <v>139</v>
      </c>
      <c r="I384">
        <f t="shared" si="1518"/>
        <v>0</v>
      </c>
      <c r="J384">
        <v>6</v>
      </c>
      <c r="K384">
        <f t="shared" ref="K384:L384" si="1519">K383</f>
        <v>5.666666666666667</v>
      </c>
      <c r="L384">
        <f t="shared" si="1519"/>
        <v>0.47140452079103168</v>
      </c>
      <c r="M384">
        <v>112</v>
      </c>
      <c r="N384">
        <f t="shared" ref="N384:O384" si="1520">N383</f>
        <v>108.33333333333333</v>
      </c>
      <c r="O384">
        <f t="shared" si="1520"/>
        <v>2.8674417556808756</v>
      </c>
      <c r="P384">
        <v>179</v>
      </c>
      <c r="Q384">
        <v>0.61</v>
      </c>
      <c r="R384">
        <v>109.19</v>
      </c>
      <c r="S384">
        <v>0.65</v>
      </c>
      <c r="T384">
        <v>116.35000000000001</v>
      </c>
      <c r="U384" t="s">
        <v>20</v>
      </c>
    </row>
    <row r="385" spans="1:21" x14ac:dyDescent="0.25">
      <c r="A385" t="s">
        <v>446</v>
      </c>
      <c r="B385" s="4" t="s">
        <v>14</v>
      </c>
      <c r="C385" s="1">
        <v>1</v>
      </c>
      <c r="D385">
        <v>40</v>
      </c>
      <c r="E385">
        <v>3</v>
      </c>
      <c r="F385">
        <v>64</v>
      </c>
      <c r="G385">
        <v>139</v>
      </c>
      <c r="H385">
        <f t="shared" ref="H385:I385" si="1521">H383</f>
        <v>139</v>
      </c>
      <c r="I385">
        <f t="shared" si="1521"/>
        <v>0</v>
      </c>
      <c r="J385">
        <v>6</v>
      </c>
      <c r="K385">
        <f t="shared" ref="K385:L385" si="1522">K383</f>
        <v>5.666666666666667</v>
      </c>
      <c r="L385">
        <f t="shared" si="1522"/>
        <v>0.47140452079103168</v>
      </c>
      <c r="M385">
        <v>108</v>
      </c>
      <c r="N385">
        <f t="shared" ref="N385:O385" si="1523">N383</f>
        <v>108.33333333333333</v>
      </c>
      <c r="O385">
        <f t="shared" si="1523"/>
        <v>2.8674417556808756</v>
      </c>
      <c r="P385">
        <v>186</v>
      </c>
      <c r="Q385">
        <v>0.6</v>
      </c>
      <c r="R385">
        <v>111.6</v>
      </c>
      <c r="S385">
        <v>0.67</v>
      </c>
      <c r="T385">
        <v>124.62</v>
      </c>
      <c r="U385" t="s">
        <v>20</v>
      </c>
    </row>
    <row r="386" spans="1:21" x14ac:dyDescent="0.25">
      <c r="A386" t="s">
        <v>447</v>
      </c>
      <c r="B386" s="4" t="s">
        <v>219</v>
      </c>
      <c r="C386" s="1">
        <v>2</v>
      </c>
      <c r="D386">
        <v>40</v>
      </c>
      <c r="E386">
        <v>1</v>
      </c>
      <c r="F386">
        <v>16</v>
      </c>
      <c r="G386">
        <v>83</v>
      </c>
      <c r="H386">
        <f t="shared" ref="H386" si="1524">AVERAGE(G386:G388)</f>
        <v>83.333333333333329</v>
      </c>
      <c r="I386">
        <f t="shared" ref="I386" si="1525">_xlfn.STDEV.P(G386:G388)</f>
        <v>1.247219128924647</v>
      </c>
      <c r="J386">
        <v>24</v>
      </c>
      <c r="K386">
        <f t="shared" ref="K386" si="1526">AVERAGE(J386:J388)</f>
        <v>23.333333333333332</v>
      </c>
      <c r="L386">
        <f t="shared" ref="L386" si="1527">_xlfn.STDEV.P(J386:J388)</f>
        <v>1.699673171197595</v>
      </c>
      <c r="M386">
        <v>80</v>
      </c>
      <c r="N386">
        <f t="shared" ref="N386" si="1528">AVERAGE(M386:M388)</f>
        <v>66.666666666666671</v>
      </c>
      <c r="O386">
        <f t="shared" ref="O386" si="1529">_xlfn.STDEV.P(M386:M388)</f>
        <v>9.428090415820634</v>
      </c>
      <c r="P386">
        <v>128</v>
      </c>
      <c r="Q386">
        <v>0.65</v>
      </c>
      <c r="R386">
        <v>83.2</v>
      </c>
      <c r="S386">
        <v>0.65</v>
      </c>
      <c r="T386">
        <v>83.2</v>
      </c>
      <c r="U386">
        <v>11</v>
      </c>
    </row>
    <row r="387" spans="1:21" x14ac:dyDescent="0.25">
      <c r="A387" t="s">
        <v>447</v>
      </c>
      <c r="B387" s="4" t="s">
        <v>219</v>
      </c>
      <c r="C387" s="1">
        <v>2</v>
      </c>
      <c r="D387">
        <v>40</v>
      </c>
      <c r="E387">
        <v>2</v>
      </c>
      <c r="F387">
        <v>30</v>
      </c>
      <c r="G387">
        <v>85</v>
      </c>
      <c r="H387">
        <f t="shared" ref="H387:I387" si="1530">H386</f>
        <v>83.333333333333329</v>
      </c>
      <c r="I387">
        <f t="shared" si="1530"/>
        <v>1.247219128924647</v>
      </c>
      <c r="J387">
        <v>25</v>
      </c>
      <c r="K387">
        <f t="shared" ref="K387:L387" si="1531">K386</f>
        <v>23.333333333333332</v>
      </c>
      <c r="L387">
        <f t="shared" si="1531"/>
        <v>1.699673171197595</v>
      </c>
      <c r="M387">
        <v>60</v>
      </c>
      <c r="N387">
        <f t="shared" ref="N387:O387" si="1532">N386</f>
        <v>66.666666666666671</v>
      </c>
      <c r="O387">
        <f t="shared" si="1532"/>
        <v>9.428090415820634</v>
      </c>
      <c r="P387">
        <v>131</v>
      </c>
      <c r="Q387">
        <v>0.64</v>
      </c>
      <c r="R387">
        <v>83.84</v>
      </c>
      <c r="S387">
        <v>0.75</v>
      </c>
      <c r="T387">
        <v>98.25</v>
      </c>
      <c r="U387">
        <v>11.8</v>
      </c>
    </row>
    <row r="388" spans="1:21" x14ac:dyDescent="0.25">
      <c r="A388" t="s">
        <v>447</v>
      </c>
      <c r="B388" s="4" t="s">
        <v>219</v>
      </c>
      <c r="C388" s="1">
        <v>2</v>
      </c>
      <c r="D388">
        <v>40</v>
      </c>
      <c r="E388">
        <v>3</v>
      </c>
      <c r="F388">
        <v>30</v>
      </c>
      <c r="G388">
        <v>82</v>
      </c>
      <c r="H388">
        <f t="shared" ref="H388:I388" si="1533">H386</f>
        <v>83.333333333333329</v>
      </c>
      <c r="I388">
        <f t="shared" si="1533"/>
        <v>1.247219128924647</v>
      </c>
      <c r="J388">
        <v>21</v>
      </c>
      <c r="K388">
        <f t="shared" ref="K388:L388" si="1534">K386</f>
        <v>23.333333333333332</v>
      </c>
      <c r="L388">
        <f t="shared" si="1534"/>
        <v>1.699673171197595</v>
      </c>
      <c r="M388">
        <v>60</v>
      </c>
      <c r="N388">
        <f t="shared" ref="N388:O388" si="1535">N386</f>
        <v>66.666666666666671</v>
      </c>
      <c r="O388">
        <f t="shared" si="1535"/>
        <v>9.428090415820634</v>
      </c>
      <c r="P388">
        <v>128</v>
      </c>
      <c r="Q388">
        <v>0.56999999999999995</v>
      </c>
      <c r="R388">
        <v>72.959999999999994</v>
      </c>
      <c r="S388">
        <v>0.72</v>
      </c>
      <c r="T388">
        <v>92.16</v>
      </c>
      <c r="U388" t="s">
        <v>20</v>
      </c>
    </row>
    <row r="389" spans="1:21" x14ac:dyDescent="0.25">
      <c r="A389" t="s">
        <v>448</v>
      </c>
      <c r="B389" s="4" t="s">
        <v>219</v>
      </c>
      <c r="C389" s="1">
        <v>1</v>
      </c>
      <c r="D389">
        <v>40</v>
      </c>
      <c r="E389">
        <v>1</v>
      </c>
      <c r="F389">
        <v>102</v>
      </c>
      <c r="G389">
        <v>104</v>
      </c>
      <c r="H389">
        <f t="shared" ref="H389" si="1536">AVERAGE(G389:G391)</f>
        <v>102.33333333333333</v>
      </c>
      <c r="I389">
        <f t="shared" ref="I389" si="1537">_xlfn.STDEV.P(G389:G391)</f>
        <v>1.699673171197595</v>
      </c>
      <c r="J389">
        <v>8</v>
      </c>
      <c r="K389">
        <f t="shared" ref="K389" si="1538">AVERAGE(J389:J391)</f>
        <v>13.666666666666666</v>
      </c>
      <c r="L389">
        <f t="shared" ref="L389" si="1539">_xlfn.STDEV.P(J389:J391)</f>
        <v>4.0276819911981905</v>
      </c>
      <c r="M389">
        <v>94</v>
      </c>
      <c r="N389">
        <f t="shared" ref="N389" si="1540">AVERAGE(M389:M391)</f>
        <v>89.666666666666671</v>
      </c>
      <c r="O389">
        <f t="shared" ref="O389" si="1541">_xlfn.STDEV.P(M389:M391)</f>
        <v>3.0912061651652345</v>
      </c>
      <c r="P389">
        <v>162</v>
      </c>
      <c r="Q389">
        <v>0.48</v>
      </c>
      <c r="R389">
        <v>77.759999999999991</v>
      </c>
      <c r="S389">
        <v>0.64</v>
      </c>
      <c r="T389">
        <v>103.68</v>
      </c>
      <c r="U389">
        <v>15.37</v>
      </c>
    </row>
    <row r="390" spans="1:21" x14ac:dyDescent="0.25">
      <c r="A390" t="s">
        <v>448</v>
      </c>
      <c r="B390" s="4" t="s">
        <v>219</v>
      </c>
      <c r="C390" s="1">
        <v>1</v>
      </c>
      <c r="D390">
        <v>40</v>
      </c>
      <c r="E390">
        <v>2</v>
      </c>
      <c r="F390">
        <v>76</v>
      </c>
      <c r="G390">
        <v>100</v>
      </c>
      <c r="H390">
        <f t="shared" ref="H390:I390" si="1542">H389</f>
        <v>102.33333333333333</v>
      </c>
      <c r="I390">
        <f t="shared" si="1542"/>
        <v>1.699673171197595</v>
      </c>
      <c r="J390">
        <v>16</v>
      </c>
      <c r="K390">
        <f t="shared" ref="K390:L390" si="1543">K389</f>
        <v>13.666666666666666</v>
      </c>
      <c r="L390">
        <f t="shared" si="1543"/>
        <v>4.0276819911981905</v>
      </c>
      <c r="M390">
        <v>87</v>
      </c>
      <c r="N390">
        <f t="shared" ref="N390:O390" si="1544">N389</f>
        <v>89.666666666666671</v>
      </c>
      <c r="O390">
        <f t="shared" si="1544"/>
        <v>3.0912061651652345</v>
      </c>
      <c r="P390">
        <v>149</v>
      </c>
      <c r="Q390">
        <v>0.65</v>
      </c>
      <c r="R390">
        <v>96.850000000000009</v>
      </c>
      <c r="S390">
        <v>0.76</v>
      </c>
      <c r="T390">
        <v>113.24</v>
      </c>
      <c r="U390">
        <v>13.84</v>
      </c>
    </row>
    <row r="391" spans="1:21" x14ac:dyDescent="0.25">
      <c r="A391" t="s">
        <v>448</v>
      </c>
      <c r="B391" s="4" t="s">
        <v>219</v>
      </c>
      <c r="C391" s="1">
        <v>1</v>
      </c>
      <c r="D391">
        <v>40</v>
      </c>
      <c r="E391">
        <v>3</v>
      </c>
      <c r="F391">
        <v>82</v>
      </c>
      <c r="G391">
        <v>103</v>
      </c>
      <c r="H391">
        <f t="shared" ref="H391:I391" si="1545">H389</f>
        <v>102.33333333333333</v>
      </c>
      <c r="I391">
        <f t="shared" si="1545"/>
        <v>1.699673171197595</v>
      </c>
      <c r="J391">
        <v>17</v>
      </c>
      <c r="K391">
        <f t="shared" ref="K391:L391" si="1546">K389</f>
        <v>13.666666666666666</v>
      </c>
      <c r="L391">
        <f t="shared" si="1546"/>
        <v>4.0276819911981905</v>
      </c>
      <c r="M391">
        <v>88</v>
      </c>
      <c r="N391">
        <f t="shared" ref="N391:O391" si="1547">N389</f>
        <v>89.666666666666671</v>
      </c>
      <c r="O391">
        <f t="shared" si="1547"/>
        <v>3.0912061651652345</v>
      </c>
      <c r="P391">
        <v>159</v>
      </c>
      <c r="Q391">
        <v>0.56000000000000005</v>
      </c>
      <c r="R391">
        <v>89.04</v>
      </c>
      <c r="S391">
        <v>0.69</v>
      </c>
      <c r="T391">
        <v>109.71</v>
      </c>
      <c r="U391" t="s">
        <v>20</v>
      </c>
    </row>
    <row r="392" spans="1:21" x14ac:dyDescent="0.25">
      <c r="A392" t="s">
        <v>449</v>
      </c>
      <c r="B392" s="4" t="s">
        <v>219</v>
      </c>
      <c r="C392" s="1">
        <v>2</v>
      </c>
      <c r="D392">
        <v>40</v>
      </c>
      <c r="E392">
        <v>1</v>
      </c>
      <c r="F392">
        <v>84</v>
      </c>
      <c r="G392">
        <v>84</v>
      </c>
      <c r="H392">
        <f t="shared" ref="H392" si="1548">AVERAGE(G392:G394)</f>
        <v>82.666666666666671</v>
      </c>
      <c r="I392">
        <f t="shared" ref="I392" si="1549">_xlfn.STDEV.P(G392:G394)</f>
        <v>0.94280904158206336</v>
      </c>
      <c r="J392">
        <v>20</v>
      </c>
      <c r="K392">
        <f t="shared" ref="K392" si="1550">AVERAGE(J392:J394)</f>
        <v>15.333333333333334</v>
      </c>
      <c r="L392">
        <f t="shared" ref="L392" si="1551">_xlfn.STDEV.P(J392:J394)</f>
        <v>3.39934634239519</v>
      </c>
      <c r="M392">
        <v>94</v>
      </c>
      <c r="N392">
        <f t="shared" ref="N392" si="1552">AVERAGE(M392:M394)</f>
        <v>89</v>
      </c>
      <c r="O392">
        <f t="shared" ref="O392" si="1553">_xlfn.STDEV.P(M392:M394)</f>
        <v>4.5460605656619517</v>
      </c>
      <c r="P392">
        <v>131</v>
      </c>
      <c r="Q392">
        <v>0.62</v>
      </c>
      <c r="R392" t="s">
        <v>20</v>
      </c>
      <c r="S392">
        <v>0.73</v>
      </c>
      <c r="T392" t="s">
        <v>20</v>
      </c>
      <c r="U392">
        <v>11.28</v>
      </c>
    </row>
    <row r="393" spans="1:21" x14ac:dyDescent="0.25">
      <c r="A393" t="s">
        <v>449</v>
      </c>
      <c r="B393" s="4" t="s">
        <v>219</v>
      </c>
      <c r="C393" s="1">
        <v>2</v>
      </c>
      <c r="D393">
        <v>40</v>
      </c>
      <c r="E393">
        <v>2</v>
      </c>
      <c r="F393">
        <v>70</v>
      </c>
      <c r="G393">
        <v>82</v>
      </c>
      <c r="H393">
        <f t="shared" ref="H393:I393" si="1554">H392</f>
        <v>82.666666666666671</v>
      </c>
      <c r="I393">
        <f t="shared" si="1554"/>
        <v>0.94280904158206336</v>
      </c>
      <c r="J393">
        <v>14</v>
      </c>
      <c r="K393">
        <f t="shared" ref="K393:L393" si="1555">K392</f>
        <v>15.333333333333334</v>
      </c>
      <c r="L393">
        <f t="shared" si="1555"/>
        <v>3.39934634239519</v>
      </c>
      <c r="M393">
        <v>90</v>
      </c>
      <c r="N393">
        <f t="shared" ref="N393:O393" si="1556">N392</f>
        <v>89</v>
      </c>
      <c r="O393">
        <f t="shared" si="1556"/>
        <v>4.5460605656619517</v>
      </c>
      <c r="P393">
        <v>128</v>
      </c>
      <c r="Q393">
        <v>0.59</v>
      </c>
      <c r="R393" t="s">
        <v>20</v>
      </c>
      <c r="S393">
        <v>0.65</v>
      </c>
      <c r="T393" t="s">
        <v>20</v>
      </c>
      <c r="U393" t="s">
        <v>20</v>
      </c>
    </row>
    <row r="394" spans="1:21" x14ac:dyDescent="0.25">
      <c r="A394" t="s">
        <v>449</v>
      </c>
      <c r="B394" s="4" t="s">
        <v>219</v>
      </c>
      <c r="C394" s="1">
        <v>2</v>
      </c>
      <c r="D394">
        <v>40</v>
      </c>
      <c r="E394">
        <v>3</v>
      </c>
      <c r="F394">
        <v>86</v>
      </c>
      <c r="G394">
        <v>82</v>
      </c>
      <c r="H394">
        <f t="shared" ref="H394:I394" si="1557">H392</f>
        <v>82.666666666666671</v>
      </c>
      <c r="I394">
        <f t="shared" si="1557"/>
        <v>0.94280904158206336</v>
      </c>
      <c r="J394">
        <v>12</v>
      </c>
      <c r="K394">
        <f t="shared" ref="K394:L394" si="1558">K392</f>
        <v>15.333333333333334</v>
      </c>
      <c r="L394">
        <f t="shared" si="1558"/>
        <v>3.39934634239519</v>
      </c>
      <c r="M394">
        <v>83</v>
      </c>
      <c r="N394">
        <f t="shared" ref="N394:O394" si="1559">N392</f>
        <v>89</v>
      </c>
      <c r="O394">
        <f t="shared" si="1559"/>
        <v>4.5460605656619517</v>
      </c>
      <c r="Q394">
        <v>0.67</v>
      </c>
      <c r="R394" t="s">
        <v>20</v>
      </c>
      <c r="S394">
        <v>0.67</v>
      </c>
      <c r="T394" t="s">
        <v>20</v>
      </c>
      <c r="U394" t="s">
        <v>20</v>
      </c>
    </row>
    <row r="395" spans="1:21" x14ac:dyDescent="0.25">
      <c r="A395" t="s">
        <v>450</v>
      </c>
      <c r="B395" s="4" t="s">
        <v>226</v>
      </c>
      <c r="C395" s="1">
        <v>2</v>
      </c>
      <c r="D395">
        <v>40</v>
      </c>
      <c r="E395">
        <v>1</v>
      </c>
      <c r="F395">
        <v>4</v>
      </c>
      <c r="G395" t="s">
        <v>20</v>
      </c>
      <c r="H395">
        <f t="shared" ref="H395" si="1560">AVERAGE(G395:G397)</f>
        <v>100</v>
      </c>
      <c r="I395">
        <f t="shared" ref="I395" si="1561">_xlfn.STDEV.P(G395:G397)</f>
        <v>0</v>
      </c>
      <c r="J395" t="s">
        <v>20</v>
      </c>
      <c r="K395">
        <f t="shared" ref="K395" si="1562">AVERAGE(J395:J397)</f>
        <v>7</v>
      </c>
      <c r="L395">
        <f t="shared" ref="L395" si="1563">_xlfn.STDEV.P(J395:J397)</f>
        <v>0</v>
      </c>
      <c r="M395" t="s">
        <v>20</v>
      </c>
      <c r="N395">
        <f t="shared" ref="N395" si="1564">AVERAGE(M395:M397)</f>
        <v>115</v>
      </c>
      <c r="O395">
        <f t="shared" ref="O395" si="1565">_xlfn.STDEV.P(M395:M397)</f>
        <v>0</v>
      </c>
      <c r="P395">
        <v>177</v>
      </c>
      <c r="Q395" t="s">
        <v>20</v>
      </c>
      <c r="R395" t="s">
        <v>20</v>
      </c>
      <c r="S395" t="s">
        <v>20</v>
      </c>
      <c r="T395" t="s">
        <v>20</v>
      </c>
      <c r="U395">
        <v>14.35</v>
      </c>
    </row>
    <row r="396" spans="1:21" x14ac:dyDescent="0.25">
      <c r="A396" t="s">
        <v>450</v>
      </c>
      <c r="B396" s="4" t="s">
        <v>226</v>
      </c>
      <c r="C396" s="1">
        <v>2</v>
      </c>
      <c r="D396">
        <v>40</v>
      </c>
      <c r="E396">
        <v>2</v>
      </c>
      <c r="F396">
        <v>0</v>
      </c>
      <c r="G396">
        <v>100</v>
      </c>
      <c r="H396">
        <f t="shared" ref="H396:I396" si="1566">H395</f>
        <v>100</v>
      </c>
      <c r="I396">
        <f t="shared" si="1566"/>
        <v>0</v>
      </c>
      <c r="J396">
        <v>7</v>
      </c>
      <c r="K396">
        <f t="shared" ref="K396:L396" si="1567">K395</f>
        <v>7</v>
      </c>
      <c r="L396">
        <f t="shared" si="1567"/>
        <v>0</v>
      </c>
      <c r="M396">
        <v>115</v>
      </c>
      <c r="N396">
        <f t="shared" ref="N396:O396" si="1568">N395</f>
        <v>115</v>
      </c>
      <c r="O396">
        <f t="shared" si="1568"/>
        <v>0</v>
      </c>
      <c r="P396">
        <v>155</v>
      </c>
      <c r="Q396">
        <v>0.68</v>
      </c>
      <c r="R396" t="s">
        <v>20</v>
      </c>
      <c r="S396">
        <v>0.7</v>
      </c>
      <c r="T396" t="s">
        <v>20</v>
      </c>
      <c r="U396">
        <v>14.33</v>
      </c>
    </row>
    <row r="397" spans="1:21" x14ac:dyDescent="0.25">
      <c r="A397" t="s">
        <v>450</v>
      </c>
      <c r="B397" s="4" t="s">
        <v>226</v>
      </c>
      <c r="C397" s="1">
        <v>2</v>
      </c>
      <c r="D397">
        <v>40</v>
      </c>
      <c r="E397">
        <v>3</v>
      </c>
      <c r="F397">
        <v>6</v>
      </c>
      <c r="G397">
        <v>100</v>
      </c>
      <c r="H397">
        <f t="shared" ref="H397:I397" si="1569">H395</f>
        <v>100</v>
      </c>
      <c r="I397">
        <f t="shared" si="1569"/>
        <v>0</v>
      </c>
      <c r="J397">
        <v>7</v>
      </c>
      <c r="K397">
        <f t="shared" ref="K397:L397" si="1570">K395</f>
        <v>7</v>
      </c>
      <c r="L397">
        <f t="shared" si="1570"/>
        <v>0</v>
      </c>
      <c r="M397">
        <v>115</v>
      </c>
      <c r="N397">
        <f t="shared" ref="N397:O397" si="1571">N395</f>
        <v>115</v>
      </c>
      <c r="O397">
        <f t="shared" si="1571"/>
        <v>0</v>
      </c>
      <c r="P397">
        <v>153</v>
      </c>
      <c r="Q397">
        <v>0.65</v>
      </c>
      <c r="R397" t="s">
        <v>20</v>
      </c>
      <c r="S397">
        <v>0.75</v>
      </c>
      <c r="T397" t="s">
        <v>20</v>
      </c>
      <c r="U397" t="s">
        <v>20</v>
      </c>
    </row>
    <row r="398" spans="1:21" x14ac:dyDescent="0.25">
      <c r="A398" t="s">
        <v>451</v>
      </c>
      <c r="B398" s="4" t="s">
        <v>228</v>
      </c>
      <c r="C398" s="1">
        <v>2</v>
      </c>
      <c r="D398">
        <v>40</v>
      </c>
      <c r="E398">
        <v>1</v>
      </c>
      <c r="F398">
        <v>28</v>
      </c>
      <c r="G398">
        <v>76</v>
      </c>
      <c r="H398">
        <f t="shared" ref="H398" si="1572">AVERAGE(G398:G400)</f>
        <v>75</v>
      </c>
      <c r="I398">
        <f t="shared" ref="I398" si="1573">_xlfn.STDEV.P(G398:G400)</f>
        <v>0.81649658092772603</v>
      </c>
      <c r="J398">
        <v>5</v>
      </c>
      <c r="K398">
        <f t="shared" ref="K398" si="1574">AVERAGE(J398:J400)</f>
        <v>4.333333333333333</v>
      </c>
      <c r="L398">
        <f t="shared" ref="L398" si="1575">_xlfn.STDEV.P(J398:J400)</f>
        <v>0.94280904158206336</v>
      </c>
      <c r="M398">
        <v>108</v>
      </c>
      <c r="N398">
        <f t="shared" ref="N398" si="1576">AVERAGE(M398:M400)</f>
        <v>103</v>
      </c>
      <c r="O398">
        <f t="shared" ref="O398" si="1577">_xlfn.STDEV.P(M398:M400)</f>
        <v>4.5460605656619517</v>
      </c>
      <c r="P398">
        <v>122</v>
      </c>
      <c r="Q398">
        <v>0.61</v>
      </c>
      <c r="R398" t="s">
        <v>20</v>
      </c>
      <c r="S398">
        <v>0.74</v>
      </c>
      <c r="T398" t="s">
        <v>20</v>
      </c>
      <c r="U398">
        <v>12.48</v>
      </c>
    </row>
    <row r="399" spans="1:21" x14ac:dyDescent="0.25">
      <c r="A399" t="s">
        <v>451</v>
      </c>
      <c r="B399" s="4" t="s">
        <v>228</v>
      </c>
      <c r="C399" s="1">
        <v>2</v>
      </c>
      <c r="D399">
        <v>40</v>
      </c>
      <c r="E399">
        <v>2</v>
      </c>
      <c r="F399">
        <v>52</v>
      </c>
      <c r="G399">
        <v>74</v>
      </c>
      <c r="H399">
        <f t="shared" ref="H399:I399" si="1578">H398</f>
        <v>75</v>
      </c>
      <c r="I399">
        <f t="shared" si="1578"/>
        <v>0.81649658092772603</v>
      </c>
      <c r="J399">
        <v>5</v>
      </c>
      <c r="K399">
        <f t="shared" ref="K399:L399" si="1579">K398</f>
        <v>4.333333333333333</v>
      </c>
      <c r="L399">
        <f t="shared" si="1579"/>
        <v>0.94280904158206336</v>
      </c>
      <c r="M399">
        <v>97</v>
      </c>
      <c r="N399">
        <f t="shared" ref="N399:O399" si="1580">N398</f>
        <v>103</v>
      </c>
      <c r="O399">
        <f t="shared" si="1580"/>
        <v>4.5460605656619517</v>
      </c>
      <c r="Q399">
        <v>0.68</v>
      </c>
      <c r="R399" t="s">
        <v>20</v>
      </c>
      <c r="S399">
        <v>0.79</v>
      </c>
      <c r="T399" t="s">
        <v>20</v>
      </c>
      <c r="U399">
        <v>0</v>
      </c>
    </row>
    <row r="400" spans="1:21" x14ac:dyDescent="0.25">
      <c r="A400" t="s">
        <v>451</v>
      </c>
      <c r="B400" s="4" t="s">
        <v>228</v>
      </c>
      <c r="C400" s="1">
        <v>2</v>
      </c>
      <c r="D400">
        <v>40</v>
      </c>
      <c r="E400">
        <v>3</v>
      </c>
      <c r="F400">
        <v>22</v>
      </c>
      <c r="G400">
        <v>75</v>
      </c>
      <c r="H400">
        <f t="shared" ref="H400:I400" si="1581">H398</f>
        <v>75</v>
      </c>
      <c r="I400">
        <f t="shared" si="1581"/>
        <v>0.81649658092772603</v>
      </c>
      <c r="J400">
        <v>3</v>
      </c>
      <c r="K400">
        <f t="shared" ref="K400:L400" si="1582">K398</f>
        <v>4.333333333333333</v>
      </c>
      <c r="L400">
        <f t="shared" si="1582"/>
        <v>0.94280904158206336</v>
      </c>
      <c r="M400">
        <v>104</v>
      </c>
      <c r="N400">
        <f t="shared" ref="N400:O400" si="1583">N398</f>
        <v>103</v>
      </c>
      <c r="O400">
        <f t="shared" si="1583"/>
        <v>4.5460605656619517</v>
      </c>
      <c r="P400">
        <v>121</v>
      </c>
      <c r="Q400">
        <v>0.67</v>
      </c>
      <c r="R400" t="s">
        <v>20</v>
      </c>
      <c r="S400">
        <v>0.8</v>
      </c>
      <c r="T400" t="s">
        <v>20</v>
      </c>
      <c r="U400" t="s">
        <v>20</v>
      </c>
    </row>
    <row r="401" spans="1:21" x14ac:dyDescent="0.25">
      <c r="A401" t="s">
        <v>452</v>
      </c>
      <c r="B401" s="4" t="s">
        <v>230</v>
      </c>
      <c r="C401" s="1">
        <v>2</v>
      </c>
      <c r="D401">
        <v>40</v>
      </c>
      <c r="E401">
        <v>1</v>
      </c>
      <c r="F401">
        <v>44</v>
      </c>
      <c r="G401">
        <v>84</v>
      </c>
      <c r="H401">
        <f t="shared" ref="H401" si="1584">AVERAGE(G401:G403)</f>
        <v>83.333333333333329</v>
      </c>
      <c r="I401">
        <f t="shared" ref="I401" si="1585">_xlfn.STDEV.P(G401:G403)</f>
        <v>0.94280904158206336</v>
      </c>
      <c r="J401">
        <v>22</v>
      </c>
      <c r="K401">
        <f t="shared" ref="K401" si="1586">AVERAGE(J401:J403)</f>
        <v>20.333333333333332</v>
      </c>
      <c r="L401">
        <f t="shared" ref="L401" si="1587">_xlfn.STDEV.P(J401:J403)</f>
        <v>1.247219128924647</v>
      </c>
      <c r="M401">
        <v>79</v>
      </c>
      <c r="N401">
        <f t="shared" ref="N401" si="1588">AVERAGE(M401:M403)</f>
        <v>77.666666666666671</v>
      </c>
      <c r="O401">
        <f t="shared" ref="O401" si="1589">_xlfn.STDEV.P(M401:M403)</f>
        <v>5.7927157323275882</v>
      </c>
      <c r="P401">
        <v>131</v>
      </c>
      <c r="Q401">
        <v>0.68</v>
      </c>
      <c r="R401">
        <v>89.080000000000013</v>
      </c>
      <c r="S401">
        <v>0.69</v>
      </c>
      <c r="T401">
        <v>90.389999999999986</v>
      </c>
      <c r="U401">
        <v>12.55</v>
      </c>
    </row>
    <row r="402" spans="1:21" x14ac:dyDescent="0.25">
      <c r="A402" t="s">
        <v>452</v>
      </c>
      <c r="B402" s="4" t="s">
        <v>230</v>
      </c>
      <c r="C402" s="1">
        <v>2</v>
      </c>
      <c r="D402">
        <v>40</v>
      </c>
      <c r="E402">
        <v>2</v>
      </c>
      <c r="F402">
        <v>60</v>
      </c>
      <c r="G402">
        <v>82</v>
      </c>
      <c r="H402">
        <f t="shared" ref="H402:I402" si="1590">H401</f>
        <v>83.333333333333329</v>
      </c>
      <c r="I402">
        <f t="shared" si="1590"/>
        <v>0.94280904158206336</v>
      </c>
      <c r="J402">
        <v>20</v>
      </c>
      <c r="K402">
        <f t="shared" ref="K402:L402" si="1591">K401</f>
        <v>20.333333333333332</v>
      </c>
      <c r="L402">
        <f t="shared" si="1591"/>
        <v>1.247219128924647</v>
      </c>
      <c r="M402">
        <v>70</v>
      </c>
      <c r="N402">
        <f t="shared" ref="N402:O402" si="1592">N401</f>
        <v>77.666666666666671</v>
      </c>
      <c r="O402">
        <f t="shared" si="1592"/>
        <v>5.7927157323275882</v>
      </c>
      <c r="P402">
        <v>138</v>
      </c>
      <c r="Q402">
        <v>0.54</v>
      </c>
      <c r="R402">
        <v>74.52000000000001</v>
      </c>
      <c r="S402">
        <v>0.78</v>
      </c>
      <c r="T402">
        <v>107.64</v>
      </c>
      <c r="U402" t="s">
        <v>20</v>
      </c>
    </row>
    <row r="403" spans="1:21" x14ac:dyDescent="0.25">
      <c r="A403" t="s">
        <v>452</v>
      </c>
      <c r="B403" s="4" t="s">
        <v>230</v>
      </c>
      <c r="C403" s="1">
        <v>2</v>
      </c>
      <c r="D403">
        <v>40</v>
      </c>
      <c r="E403">
        <v>3</v>
      </c>
      <c r="F403">
        <v>72</v>
      </c>
      <c r="G403">
        <v>84</v>
      </c>
      <c r="H403">
        <f t="shared" ref="H403:I403" si="1593">H401</f>
        <v>83.333333333333329</v>
      </c>
      <c r="I403">
        <f t="shared" si="1593"/>
        <v>0.94280904158206336</v>
      </c>
      <c r="J403">
        <v>19</v>
      </c>
      <c r="K403">
        <f t="shared" ref="K403:L403" si="1594">K401</f>
        <v>20.333333333333332</v>
      </c>
      <c r="L403">
        <f t="shared" si="1594"/>
        <v>1.247219128924647</v>
      </c>
      <c r="M403">
        <v>84</v>
      </c>
      <c r="N403">
        <f t="shared" ref="N403:O403" si="1595">N401</f>
        <v>77.666666666666671</v>
      </c>
      <c r="O403">
        <f t="shared" si="1595"/>
        <v>5.7927157323275882</v>
      </c>
      <c r="P403">
        <v>131</v>
      </c>
      <c r="Q403">
        <v>0.51</v>
      </c>
      <c r="R403">
        <v>66.81</v>
      </c>
      <c r="S403">
        <v>0.71</v>
      </c>
      <c r="T403">
        <v>93.009999999999991</v>
      </c>
      <c r="U403" t="s">
        <v>20</v>
      </c>
    </row>
    <row r="404" spans="1:21" x14ac:dyDescent="0.25">
      <c r="A404" t="s">
        <v>453</v>
      </c>
      <c r="B404" s="4" t="s">
        <v>230</v>
      </c>
      <c r="C404" s="1">
        <v>2</v>
      </c>
      <c r="D404">
        <v>40</v>
      </c>
      <c r="E404">
        <v>1</v>
      </c>
      <c r="F404">
        <v>38</v>
      </c>
      <c r="G404">
        <v>84</v>
      </c>
      <c r="H404">
        <f t="shared" ref="H404" si="1596">AVERAGE(G404:G406)</f>
        <v>84.333333333333329</v>
      </c>
      <c r="I404">
        <f t="shared" ref="I404" si="1597">_xlfn.STDEV.P(G404:G406)</f>
        <v>0.47140452079103168</v>
      </c>
      <c r="J404">
        <v>17</v>
      </c>
      <c r="K404">
        <f t="shared" ref="K404" si="1598">AVERAGE(J404:J406)</f>
        <v>23</v>
      </c>
      <c r="L404">
        <f t="shared" ref="L404" si="1599">_xlfn.STDEV.P(J404:J406)</f>
        <v>4.5460605656619517</v>
      </c>
      <c r="M404">
        <v>69</v>
      </c>
      <c r="N404">
        <f t="shared" ref="N404" si="1600">AVERAGE(M404:M406)</f>
        <v>77.666666666666671</v>
      </c>
      <c r="O404">
        <f t="shared" ref="O404" si="1601">_xlfn.STDEV.P(M404:M406)</f>
        <v>10.208928554075703</v>
      </c>
      <c r="P404">
        <v>131</v>
      </c>
      <c r="Q404">
        <v>0.68</v>
      </c>
      <c r="R404">
        <v>89.080000000000013</v>
      </c>
      <c r="S404">
        <v>0.69</v>
      </c>
      <c r="T404">
        <v>90.389999999999986</v>
      </c>
      <c r="U404">
        <v>13.51</v>
      </c>
    </row>
    <row r="405" spans="1:21" x14ac:dyDescent="0.25">
      <c r="A405" t="s">
        <v>453</v>
      </c>
      <c r="B405" s="4" t="s">
        <v>230</v>
      </c>
      <c r="C405" s="1">
        <v>2</v>
      </c>
      <c r="D405">
        <v>40</v>
      </c>
      <c r="E405">
        <v>2</v>
      </c>
      <c r="F405">
        <v>80</v>
      </c>
      <c r="G405">
        <v>84</v>
      </c>
      <c r="H405">
        <f t="shared" ref="H405:I405" si="1602">H404</f>
        <v>84.333333333333329</v>
      </c>
      <c r="I405">
        <f t="shared" si="1602"/>
        <v>0.47140452079103168</v>
      </c>
      <c r="J405">
        <v>28</v>
      </c>
      <c r="K405">
        <f t="shared" ref="K405:L405" si="1603">K404</f>
        <v>23</v>
      </c>
      <c r="L405">
        <f t="shared" si="1603"/>
        <v>4.5460605656619517</v>
      </c>
      <c r="M405">
        <v>72</v>
      </c>
      <c r="N405">
        <f t="shared" ref="N405:O405" si="1604">N404</f>
        <v>77.666666666666671</v>
      </c>
      <c r="O405">
        <f t="shared" si="1604"/>
        <v>10.208928554075703</v>
      </c>
      <c r="P405">
        <v>131</v>
      </c>
      <c r="Q405">
        <v>0.6</v>
      </c>
      <c r="R405">
        <v>78.599999999999994</v>
      </c>
      <c r="S405">
        <v>0.73</v>
      </c>
      <c r="T405">
        <v>95.63</v>
      </c>
      <c r="U405">
        <v>12.27</v>
      </c>
    </row>
    <row r="406" spans="1:21" x14ac:dyDescent="0.25">
      <c r="A406" t="s">
        <v>453</v>
      </c>
      <c r="B406" s="4" t="s">
        <v>230</v>
      </c>
      <c r="C406" s="1">
        <v>2</v>
      </c>
      <c r="D406">
        <v>40</v>
      </c>
      <c r="E406">
        <v>3</v>
      </c>
      <c r="F406">
        <v>34</v>
      </c>
      <c r="G406">
        <v>85</v>
      </c>
      <c r="H406">
        <f t="shared" ref="H406:I406" si="1605">H404</f>
        <v>84.333333333333329</v>
      </c>
      <c r="I406">
        <f t="shared" si="1605"/>
        <v>0.47140452079103168</v>
      </c>
      <c r="J406">
        <v>24</v>
      </c>
      <c r="K406">
        <f t="shared" ref="K406:L406" si="1606">K404</f>
        <v>23</v>
      </c>
      <c r="L406">
        <f t="shared" si="1606"/>
        <v>4.5460605656619517</v>
      </c>
      <c r="M406">
        <v>92</v>
      </c>
      <c r="N406">
        <f t="shared" ref="N406:O406" si="1607">N404</f>
        <v>77.666666666666671</v>
      </c>
      <c r="O406">
        <f t="shared" si="1607"/>
        <v>10.208928554075703</v>
      </c>
      <c r="P406">
        <v>162</v>
      </c>
      <c r="Q406">
        <v>0.57999999999999996</v>
      </c>
      <c r="R406">
        <v>93.96</v>
      </c>
      <c r="S406">
        <v>0.68</v>
      </c>
      <c r="T406">
        <v>110.16000000000001</v>
      </c>
      <c r="U406" t="s">
        <v>20</v>
      </c>
    </row>
    <row r="407" spans="1:21" x14ac:dyDescent="0.25">
      <c r="A407" t="s">
        <v>454</v>
      </c>
      <c r="B407" s="4" t="s">
        <v>224</v>
      </c>
      <c r="C407" s="1">
        <v>1</v>
      </c>
      <c r="D407">
        <v>40</v>
      </c>
      <c r="E407">
        <v>1</v>
      </c>
      <c r="F407">
        <v>40</v>
      </c>
      <c r="G407">
        <v>117</v>
      </c>
      <c r="H407">
        <f t="shared" ref="H407" si="1608">AVERAGE(G407:G409)</f>
        <v>116.66666666666667</v>
      </c>
      <c r="I407">
        <f t="shared" ref="I407" si="1609">_xlfn.STDEV.P(G407:G409)</f>
        <v>0.47140452079103168</v>
      </c>
      <c r="J407">
        <v>3</v>
      </c>
      <c r="K407">
        <f t="shared" ref="K407" si="1610">AVERAGE(J407:J409)</f>
        <v>3.3333333333333335</v>
      </c>
      <c r="L407">
        <f t="shared" ref="L407" si="1611">_xlfn.STDEV.P(J407:J409)</f>
        <v>0.47140452079103168</v>
      </c>
      <c r="M407">
        <v>90</v>
      </c>
      <c r="N407">
        <f t="shared" ref="N407" si="1612">AVERAGE(M407:M409)</f>
        <v>94.666666666666671</v>
      </c>
      <c r="O407">
        <f t="shared" ref="O407" si="1613">_xlfn.STDEV.P(M407:M409)</f>
        <v>5.2493385826745405</v>
      </c>
      <c r="P407">
        <v>179</v>
      </c>
      <c r="Q407">
        <v>0.53</v>
      </c>
      <c r="R407">
        <v>94.87</v>
      </c>
      <c r="S407">
        <v>0.63</v>
      </c>
      <c r="T407">
        <v>112.77</v>
      </c>
      <c r="U407" t="s">
        <v>20</v>
      </c>
    </row>
    <row r="408" spans="1:21" x14ac:dyDescent="0.25">
      <c r="A408" t="s">
        <v>454</v>
      </c>
      <c r="B408" s="4" t="s">
        <v>224</v>
      </c>
      <c r="C408" s="1">
        <v>1</v>
      </c>
      <c r="D408">
        <v>40</v>
      </c>
      <c r="E408">
        <v>2</v>
      </c>
      <c r="F408">
        <v>28</v>
      </c>
      <c r="G408">
        <v>117</v>
      </c>
      <c r="H408">
        <f t="shared" ref="H408:I408" si="1614">H407</f>
        <v>116.66666666666667</v>
      </c>
      <c r="I408">
        <f t="shared" si="1614"/>
        <v>0.47140452079103168</v>
      </c>
      <c r="J408">
        <v>4</v>
      </c>
      <c r="K408">
        <f t="shared" ref="K408:L408" si="1615">K407</f>
        <v>3.3333333333333335</v>
      </c>
      <c r="L408">
        <f t="shared" si="1615"/>
        <v>0.47140452079103168</v>
      </c>
      <c r="M408">
        <v>102</v>
      </c>
      <c r="N408">
        <f t="shared" ref="N408:O408" si="1616">N407</f>
        <v>94.666666666666671</v>
      </c>
      <c r="O408">
        <f t="shared" si="1616"/>
        <v>5.2493385826745405</v>
      </c>
      <c r="P408">
        <v>179</v>
      </c>
      <c r="Q408">
        <v>0.54</v>
      </c>
      <c r="R408">
        <v>96.660000000000011</v>
      </c>
      <c r="S408">
        <v>0.65</v>
      </c>
      <c r="T408">
        <v>116.35000000000001</v>
      </c>
      <c r="U408" t="s">
        <v>20</v>
      </c>
    </row>
    <row r="409" spans="1:21" x14ac:dyDescent="0.25">
      <c r="A409" t="s">
        <v>454</v>
      </c>
      <c r="B409" s="4" t="s">
        <v>224</v>
      </c>
      <c r="C409" s="1">
        <v>1</v>
      </c>
      <c r="D409">
        <v>40</v>
      </c>
      <c r="E409">
        <v>3</v>
      </c>
      <c r="F409">
        <v>56</v>
      </c>
      <c r="G409">
        <v>116</v>
      </c>
      <c r="H409">
        <f t="shared" ref="H409:I409" si="1617">H407</f>
        <v>116.66666666666667</v>
      </c>
      <c r="I409">
        <f t="shared" si="1617"/>
        <v>0.47140452079103168</v>
      </c>
      <c r="J409">
        <v>3</v>
      </c>
      <c r="K409">
        <f t="shared" ref="K409:L409" si="1618">K407</f>
        <v>3.3333333333333335</v>
      </c>
      <c r="L409">
        <f t="shared" si="1618"/>
        <v>0.47140452079103168</v>
      </c>
      <c r="M409">
        <v>92</v>
      </c>
      <c r="N409">
        <f t="shared" ref="N409:O409" si="1619">N407</f>
        <v>94.666666666666671</v>
      </c>
      <c r="O409">
        <f t="shared" si="1619"/>
        <v>5.2493385826745405</v>
      </c>
      <c r="P409">
        <v>186</v>
      </c>
      <c r="Q409">
        <v>0.5</v>
      </c>
      <c r="R409">
        <v>93</v>
      </c>
      <c r="S409">
        <v>0.54</v>
      </c>
      <c r="T409">
        <v>100.44000000000001</v>
      </c>
      <c r="U409" t="s">
        <v>20</v>
      </c>
    </row>
    <row r="410" spans="1:21" x14ac:dyDescent="0.25">
      <c r="A410" t="s">
        <v>455</v>
      </c>
      <c r="B410" s="4" t="s">
        <v>224</v>
      </c>
      <c r="C410" s="1">
        <v>1</v>
      </c>
      <c r="D410">
        <v>40</v>
      </c>
      <c r="E410">
        <v>1</v>
      </c>
      <c r="F410">
        <v>36</v>
      </c>
      <c r="G410">
        <v>124</v>
      </c>
      <c r="H410">
        <f t="shared" ref="H410" si="1620">AVERAGE(G410:G412)</f>
        <v>124.33333333333333</v>
      </c>
      <c r="I410">
        <f t="shared" ref="I410" si="1621">_xlfn.STDEV.P(G410:G412)</f>
        <v>0.47140452079103168</v>
      </c>
      <c r="J410">
        <v>5</v>
      </c>
      <c r="K410">
        <f t="shared" ref="K410" si="1622">AVERAGE(J410:J412)</f>
        <v>5.333333333333333</v>
      </c>
      <c r="L410">
        <f t="shared" ref="L410" si="1623">_xlfn.STDEV.P(J410:J412)</f>
        <v>0.47140452079103168</v>
      </c>
      <c r="M410">
        <v>111</v>
      </c>
      <c r="N410">
        <f t="shared" ref="N410" si="1624">AVERAGE(M410:M412)</f>
        <v>112.33333333333333</v>
      </c>
      <c r="O410">
        <f t="shared" ref="O410" si="1625">_xlfn.STDEV.P(M410:M412)</f>
        <v>9.8432153734889347</v>
      </c>
      <c r="P410">
        <v>187</v>
      </c>
      <c r="Q410">
        <v>0.54</v>
      </c>
      <c r="R410">
        <v>100.98</v>
      </c>
      <c r="S410">
        <v>0.66</v>
      </c>
      <c r="T410">
        <v>123.42</v>
      </c>
      <c r="U410" t="s">
        <v>20</v>
      </c>
    </row>
    <row r="411" spans="1:21" x14ac:dyDescent="0.25">
      <c r="A411" t="s">
        <v>455</v>
      </c>
      <c r="B411" s="4" t="s">
        <v>224</v>
      </c>
      <c r="C411" s="1">
        <v>1</v>
      </c>
      <c r="D411">
        <v>40</v>
      </c>
      <c r="E411">
        <v>2</v>
      </c>
      <c r="F411">
        <v>30</v>
      </c>
      <c r="G411">
        <v>125</v>
      </c>
      <c r="H411">
        <f t="shared" ref="H411:I411" si="1626">H410</f>
        <v>124.33333333333333</v>
      </c>
      <c r="I411">
        <f t="shared" si="1626"/>
        <v>0.47140452079103168</v>
      </c>
      <c r="J411">
        <v>6</v>
      </c>
      <c r="K411">
        <f t="shared" ref="K411:L411" si="1627">K410</f>
        <v>5.333333333333333</v>
      </c>
      <c r="L411">
        <f t="shared" si="1627"/>
        <v>0.47140452079103168</v>
      </c>
      <c r="M411">
        <v>101</v>
      </c>
      <c r="N411">
        <f t="shared" ref="N411:O411" si="1628">N410</f>
        <v>112.33333333333333</v>
      </c>
      <c r="O411">
        <f t="shared" si="1628"/>
        <v>9.8432153734889347</v>
      </c>
      <c r="P411">
        <v>180</v>
      </c>
      <c r="Q411">
        <v>0.6</v>
      </c>
      <c r="R411">
        <v>108</v>
      </c>
      <c r="S411">
        <v>0.4</v>
      </c>
      <c r="T411">
        <v>72</v>
      </c>
      <c r="U411" t="s">
        <v>20</v>
      </c>
    </row>
    <row r="412" spans="1:21" x14ac:dyDescent="0.25">
      <c r="A412" t="s">
        <v>455</v>
      </c>
      <c r="B412" s="4" t="s">
        <v>224</v>
      </c>
      <c r="C412" s="1">
        <v>1</v>
      </c>
      <c r="D412">
        <v>40</v>
      </c>
      <c r="E412">
        <v>3</v>
      </c>
      <c r="F412">
        <v>42</v>
      </c>
      <c r="G412">
        <v>124</v>
      </c>
      <c r="H412">
        <f t="shared" ref="H412:I412" si="1629">H410</f>
        <v>124.33333333333333</v>
      </c>
      <c r="I412">
        <f t="shared" si="1629"/>
        <v>0.47140452079103168</v>
      </c>
      <c r="J412">
        <v>5</v>
      </c>
      <c r="K412">
        <f t="shared" ref="K412:L412" si="1630">K410</f>
        <v>5.333333333333333</v>
      </c>
      <c r="L412">
        <f t="shared" si="1630"/>
        <v>0.47140452079103168</v>
      </c>
      <c r="M412">
        <v>125</v>
      </c>
      <c r="N412">
        <f t="shared" ref="N412:O412" si="1631">N410</f>
        <v>112.33333333333333</v>
      </c>
      <c r="O412">
        <f t="shared" si="1631"/>
        <v>9.8432153734889347</v>
      </c>
      <c r="P412">
        <v>187</v>
      </c>
      <c r="Q412">
        <v>0.48</v>
      </c>
      <c r="R412">
        <v>89.759999999999991</v>
      </c>
      <c r="S412">
        <v>0.56000000000000005</v>
      </c>
      <c r="T412">
        <v>104.72000000000001</v>
      </c>
      <c r="U412" t="s">
        <v>20</v>
      </c>
    </row>
    <row r="413" spans="1:21" x14ac:dyDescent="0.25">
      <c r="A413" t="s">
        <v>456</v>
      </c>
      <c r="B413" s="4" t="s">
        <v>230</v>
      </c>
      <c r="C413" s="1">
        <v>1</v>
      </c>
      <c r="D413">
        <v>40</v>
      </c>
      <c r="E413">
        <v>1</v>
      </c>
      <c r="F413">
        <v>118</v>
      </c>
      <c r="G413">
        <v>104</v>
      </c>
      <c r="H413">
        <f t="shared" ref="H413" si="1632">AVERAGE(G413:G415)</f>
        <v>103.33333333333333</v>
      </c>
      <c r="I413">
        <f t="shared" ref="I413" si="1633">_xlfn.STDEV.P(G413:G415)</f>
        <v>0.47140452079103168</v>
      </c>
      <c r="J413">
        <v>13</v>
      </c>
      <c r="K413">
        <f t="shared" ref="K413" si="1634">AVERAGE(J413:J415)</f>
        <v>11</v>
      </c>
      <c r="L413">
        <f t="shared" ref="L413" si="1635">_xlfn.STDEV.P(J413:J415)</f>
        <v>1.4142135623730951</v>
      </c>
      <c r="M413">
        <v>100</v>
      </c>
      <c r="N413">
        <f t="shared" ref="N413" si="1636">AVERAGE(M413:M415)</f>
        <v>93.333333333333329</v>
      </c>
      <c r="O413">
        <f t="shared" ref="O413" si="1637">_xlfn.STDEV.P(M413:M415)</f>
        <v>4.9888765156985881</v>
      </c>
      <c r="P413">
        <v>159</v>
      </c>
      <c r="Q413">
        <v>0.55000000000000004</v>
      </c>
      <c r="R413">
        <v>87.45</v>
      </c>
      <c r="S413">
        <v>0.6</v>
      </c>
      <c r="T413">
        <v>95.399999999999991</v>
      </c>
      <c r="U413">
        <v>16.16</v>
      </c>
    </row>
    <row r="414" spans="1:21" x14ac:dyDescent="0.25">
      <c r="A414" t="s">
        <v>456</v>
      </c>
      <c r="B414" s="4" t="s">
        <v>230</v>
      </c>
      <c r="C414" s="1">
        <v>1</v>
      </c>
      <c r="D414">
        <v>40</v>
      </c>
      <c r="E414">
        <v>2</v>
      </c>
      <c r="F414">
        <v>88</v>
      </c>
      <c r="G414">
        <v>103</v>
      </c>
      <c r="H414">
        <f t="shared" ref="H414:I414" si="1638">H413</f>
        <v>103.33333333333333</v>
      </c>
      <c r="I414">
        <f t="shared" si="1638"/>
        <v>0.47140452079103168</v>
      </c>
      <c r="J414">
        <v>10</v>
      </c>
      <c r="K414">
        <f t="shared" ref="K414:L414" si="1639">K413</f>
        <v>11</v>
      </c>
      <c r="L414">
        <f t="shared" si="1639"/>
        <v>1.4142135623730951</v>
      </c>
      <c r="M414">
        <v>88</v>
      </c>
      <c r="N414">
        <f t="shared" ref="N414:O414" si="1640">N413</f>
        <v>93.333333333333329</v>
      </c>
      <c r="O414">
        <f t="shared" si="1640"/>
        <v>4.9888765156985881</v>
      </c>
      <c r="P414">
        <v>155</v>
      </c>
      <c r="Q414">
        <v>0.52</v>
      </c>
      <c r="R414">
        <v>80.600000000000009</v>
      </c>
      <c r="S414">
        <v>0.7</v>
      </c>
      <c r="T414">
        <v>108.5</v>
      </c>
      <c r="U414">
        <v>16.239999999999998</v>
      </c>
    </row>
    <row r="415" spans="1:21" x14ac:dyDescent="0.25">
      <c r="A415" t="s">
        <v>456</v>
      </c>
      <c r="B415" s="4" t="s">
        <v>230</v>
      </c>
      <c r="C415" s="1">
        <v>1</v>
      </c>
      <c r="D415">
        <v>40</v>
      </c>
      <c r="E415">
        <v>3</v>
      </c>
      <c r="F415">
        <v>106</v>
      </c>
      <c r="G415">
        <v>103</v>
      </c>
      <c r="H415">
        <f t="shared" ref="H415:I415" si="1641">H413</f>
        <v>103.33333333333333</v>
      </c>
      <c r="I415">
        <f t="shared" si="1641"/>
        <v>0.47140452079103168</v>
      </c>
      <c r="J415">
        <v>10</v>
      </c>
      <c r="K415">
        <f t="shared" ref="K415:L415" si="1642">K413</f>
        <v>11</v>
      </c>
      <c r="L415">
        <f t="shared" si="1642"/>
        <v>1.4142135623730951</v>
      </c>
      <c r="M415">
        <v>92</v>
      </c>
      <c r="N415">
        <f t="shared" ref="N415:O415" si="1643">N413</f>
        <v>93.333333333333329</v>
      </c>
      <c r="O415">
        <f t="shared" si="1643"/>
        <v>4.9888765156985881</v>
      </c>
      <c r="P415">
        <v>155</v>
      </c>
      <c r="Q415">
        <v>0.54</v>
      </c>
      <c r="R415">
        <v>83.7</v>
      </c>
      <c r="S415">
        <v>0.49</v>
      </c>
      <c r="T415">
        <v>75.95</v>
      </c>
      <c r="U415" t="s">
        <v>20</v>
      </c>
    </row>
    <row r="416" spans="1:21" x14ac:dyDescent="0.25">
      <c r="A416" t="s">
        <v>457</v>
      </c>
      <c r="B416" s="4" t="s">
        <v>230</v>
      </c>
      <c r="C416" s="1">
        <v>1</v>
      </c>
      <c r="D416">
        <v>40</v>
      </c>
      <c r="E416">
        <v>1</v>
      </c>
      <c r="F416">
        <v>114</v>
      </c>
      <c r="G416">
        <v>100</v>
      </c>
      <c r="H416">
        <f t="shared" ref="H416" si="1644">AVERAGE(G416:G418)</f>
        <v>100.66666666666667</v>
      </c>
      <c r="I416">
        <f t="shared" ref="I416" si="1645">_xlfn.STDEV.P(G416:G418)</f>
        <v>0.94280904158206336</v>
      </c>
      <c r="J416">
        <v>10</v>
      </c>
      <c r="K416">
        <f t="shared" ref="K416" si="1646">AVERAGE(J416:J418)</f>
        <v>11.333333333333334</v>
      </c>
      <c r="L416">
        <f t="shared" ref="L416" si="1647">_xlfn.STDEV.P(J416:J418)</f>
        <v>1.247219128924647</v>
      </c>
      <c r="M416">
        <v>88</v>
      </c>
      <c r="N416">
        <f t="shared" ref="N416" si="1648">AVERAGE(M416:M418)</f>
        <v>89.333333333333329</v>
      </c>
      <c r="O416">
        <f t="shared" ref="O416" si="1649">_xlfn.STDEV.P(M416:M418)</f>
        <v>0.94280904158206336</v>
      </c>
      <c r="P416">
        <v>149</v>
      </c>
      <c r="Q416">
        <v>0.45</v>
      </c>
      <c r="R416">
        <v>67.05</v>
      </c>
      <c r="S416">
        <v>0.64</v>
      </c>
      <c r="T416">
        <v>95.36</v>
      </c>
      <c r="U416">
        <v>14.76</v>
      </c>
    </row>
    <row r="417" spans="1:21" x14ac:dyDescent="0.25">
      <c r="A417" t="s">
        <v>457</v>
      </c>
      <c r="B417" s="4" t="s">
        <v>230</v>
      </c>
      <c r="C417" s="1">
        <v>1</v>
      </c>
      <c r="D417">
        <v>40</v>
      </c>
      <c r="E417">
        <v>2</v>
      </c>
      <c r="F417">
        <v>62</v>
      </c>
      <c r="G417">
        <v>102</v>
      </c>
      <c r="H417">
        <f t="shared" ref="H417:I417" si="1650">H416</f>
        <v>100.66666666666667</v>
      </c>
      <c r="I417">
        <f t="shared" si="1650"/>
        <v>0.94280904158206336</v>
      </c>
      <c r="J417">
        <v>13</v>
      </c>
      <c r="K417">
        <f t="shared" ref="K417:L417" si="1651">K416</f>
        <v>11.333333333333334</v>
      </c>
      <c r="L417">
        <f t="shared" si="1651"/>
        <v>1.247219128924647</v>
      </c>
      <c r="M417">
        <v>90</v>
      </c>
      <c r="N417">
        <f t="shared" ref="N417:O417" si="1652">N416</f>
        <v>89.333333333333329</v>
      </c>
      <c r="O417">
        <f t="shared" si="1652"/>
        <v>0.94280904158206336</v>
      </c>
      <c r="P417">
        <v>155</v>
      </c>
      <c r="Q417">
        <v>0.48</v>
      </c>
      <c r="R417">
        <v>74.399999999999991</v>
      </c>
      <c r="S417">
        <v>0.55000000000000004</v>
      </c>
      <c r="T417">
        <v>85.25</v>
      </c>
      <c r="U417">
        <v>16.18</v>
      </c>
    </row>
    <row r="418" spans="1:21" x14ac:dyDescent="0.25">
      <c r="A418" t="s">
        <v>457</v>
      </c>
      <c r="B418" s="4" t="s">
        <v>230</v>
      </c>
      <c r="C418" s="1">
        <v>1</v>
      </c>
      <c r="D418">
        <v>40</v>
      </c>
      <c r="E418">
        <v>3</v>
      </c>
      <c r="F418">
        <v>102</v>
      </c>
      <c r="G418">
        <v>100</v>
      </c>
      <c r="H418">
        <f t="shared" ref="H418:I418" si="1653">H416</f>
        <v>100.66666666666667</v>
      </c>
      <c r="I418">
        <f t="shared" si="1653"/>
        <v>0.94280904158206336</v>
      </c>
      <c r="J418">
        <v>11</v>
      </c>
      <c r="K418">
        <f t="shared" ref="K418:L418" si="1654">K416</f>
        <v>11.333333333333334</v>
      </c>
      <c r="L418">
        <f t="shared" si="1654"/>
        <v>1.247219128924647</v>
      </c>
      <c r="M418">
        <v>90</v>
      </c>
      <c r="N418">
        <f t="shared" ref="N418:O418" si="1655">N416</f>
        <v>89.333333333333329</v>
      </c>
      <c r="O418">
        <f t="shared" si="1655"/>
        <v>0.94280904158206336</v>
      </c>
      <c r="P418">
        <v>152</v>
      </c>
      <c r="Q418">
        <v>0.52</v>
      </c>
      <c r="R418">
        <v>79.040000000000006</v>
      </c>
      <c r="S418">
        <v>0.72</v>
      </c>
      <c r="T418">
        <v>109.44</v>
      </c>
      <c r="U418" t="s">
        <v>20</v>
      </c>
    </row>
    <row r="419" spans="1:21" x14ac:dyDescent="0.25">
      <c r="A419" t="s">
        <v>458</v>
      </c>
      <c r="B419" s="4" t="s">
        <v>230</v>
      </c>
      <c r="C419" s="1">
        <v>1</v>
      </c>
      <c r="D419">
        <v>40</v>
      </c>
      <c r="E419">
        <v>1</v>
      </c>
      <c r="F419">
        <v>40</v>
      </c>
      <c r="G419">
        <v>105</v>
      </c>
      <c r="H419">
        <f t="shared" ref="H419" si="1656">AVERAGE(G419:G421)</f>
        <v>103.66666666666667</v>
      </c>
      <c r="I419">
        <f t="shared" ref="I419" si="1657">_xlfn.STDEV.P(G419:G421)</f>
        <v>1.8856180831641267</v>
      </c>
      <c r="J419">
        <v>9</v>
      </c>
      <c r="K419">
        <f t="shared" ref="K419" si="1658">AVERAGE(J419:J421)</f>
        <v>11.666666666666666</v>
      </c>
      <c r="L419">
        <f t="shared" ref="L419" si="1659">_xlfn.STDEV.P(J419:J421)</f>
        <v>2.0548046676563256</v>
      </c>
      <c r="M419">
        <v>80</v>
      </c>
      <c r="N419">
        <f t="shared" ref="N419" si="1660">AVERAGE(M419:M421)</f>
        <v>90</v>
      </c>
      <c r="O419">
        <f t="shared" ref="O419" si="1661">_xlfn.STDEV.P(M419:M421)</f>
        <v>7.0710678118654755</v>
      </c>
      <c r="P419">
        <v>156</v>
      </c>
      <c r="Q419">
        <v>0.62</v>
      </c>
      <c r="R419">
        <v>96.72</v>
      </c>
      <c r="S419">
        <v>0.66</v>
      </c>
      <c r="T419">
        <v>102.96000000000001</v>
      </c>
      <c r="U419">
        <v>15.87</v>
      </c>
    </row>
    <row r="420" spans="1:21" x14ac:dyDescent="0.25">
      <c r="A420" t="s">
        <v>458</v>
      </c>
      <c r="B420" s="4" t="s">
        <v>230</v>
      </c>
      <c r="C420" s="1">
        <v>1</v>
      </c>
      <c r="D420">
        <v>40</v>
      </c>
      <c r="E420">
        <v>2</v>
      </c>
      <c r="F420">
        <v>6</v>
      </c>
      <c r="G420">
        <v>105</v>
      </c>
      <c r="H420">
        <f t="shared" ref="H420:I420" si="1662">H419</f>
        <v>103.66666666666667</v>
      </c>
      <c r="I420">
        <f t="shared" si="1662"/>
        <v>1.8856180831641267</v>
      </c>
      <c r="J420">
        <v>12</v>
      </c>
      <c r="K420">
        <f t="shared" ref="K420:L420" si="1663">K419</f>
        <v>11.666666666666666</v>
      </c>
      <c r="L420">
        <f t="shared" si="1663"/>
        <v>2.0548046676563256</v>
      </c>
      <c r="M420">
        <v>95</v>
      </c>
      <c r="N420">
        <f t="shared" ref="N420:O420" si="1664">N419</f>
        <v>90</v>
      </c>
      <c r="O420">
        <f t="shared" si="1664"/>
        <v>7.0710678118654755</v>
      </c>
      <c r="P420">
        <v>156</v>
      </c>
      <c r="Q420">
        <v>0.66</v>
      </c>
      <c r="R420">
        <v>102.96000000000001</v>
      </c>
      <c r="S420">
        <v>0.68</v>
      </c>
      <c r="T420">
        <v>106.08000000000001</v>
      </c>
      <c r="U420" t="s">
        <v>20</v>
      </c>
    </row>
    <row r="421" spans="1:21" x14ac:dyDescent="0.25">
      <c r="A421" t="s">
        <v>458</v>
      </c>
      <c r="B421" s="4" t="s">
        <v>230</v>
      </c>
      <c r="C421" s="1">
        <v>1</v>
      </c>
      <c r="D421">
        <v>40</v>
      </c>
      <c r="E421">
        <v>3</v>
      </c>
      <c r="F421">
        <v>26</v>
      </c>
      <c r="G421">
        <v>101</v>
      </c>
      <c r="H421">
        <f t="shared" ref="H421:I421" si="1665">H419</f>
        <v>103.66666666666667</v>
      </c>
      <c r="I421">
        <f t="shared" si="1665"/>
        <v>1.8856180831641267</v>
      </c>
      <c r="J421">
        <v>14</v>
      </c>
      <c r="K421">
        <f t="shared" ref="K421:L421" si="1666">K419</f>
        <v>11.666666666666666</v>
      </c>
      <c r="L421">
        <f t="shared" si="1666"/>
        <v>2.0548046676563256</v>
      </c>
      <c r="M421">
        <v>95</v>
      </c>
      <c r="N421">
        <f t="shared" ref="N421:O421" si="1667">N419</f>
        <v>90</v>
      </c>
      <c r="O421">
        <f t="shared" si="1667"/>
        <v>7.0710678118654755</v>
      </c>
      <c r="P421">
        <v>155</v>
      </c>
      <c r="Q421">
        <v>0.54</v>
      </c>
      <c r="R421">
        <v>83.7</v>
      </c>
      <c r="S421">
        <v>0.64</v>
      </c>
      <c r="T421">
        <v>99.2</v>
      </c>
      <c r="U421" t="s">
        <v>20</v>
      </c>
    </row>
    <row r="422" spans="1:21" x14ac:dyDescent="0.25">
      <c r="A422" t="s">
        <v>459</v>
      </c>
      <c r="B422" s="4" t="s">
        <v>245</v>
      </c>
      <c r="C422" s="1">
        <v>5</v>
      </c>
      <c r="D422">
        <v>40</v>
      </c>
      <c r="E422">
        <v>1</v>
      </c>
      <c r="F422">
        <v>52</v>
      </c>
      <c r="G422">
        <v>117</v>
      </c>
      <c r="H422">
        <f t="shared" ref="H422" si="1668">AVERAGE(G422:G424)</f>
        <v>117.66666666666667</v>
      </c>
      <c r="I422">
        <f t="shared" ref="I422" si="1669">_xlfn.STDEV.P(G422:G424)</f>
        <v>1.699673171197595</v>
      </c>
      <c r="J422">
        <v>1</v>
      </c>
      <c r="K422">
        <f t="shared" ref="K422" si="1670">AVERAGE(J422:J424)</f>
        <v>0.66666666666666663</v>
      </c>
      <c r="L422">
        <f t="shared" ref="L422" si="1671">_xlfn.STDEV.P(J422:J424)</f>
        <v>0.47140452079103168</v>
      </c>
      <c r="M422">
        <v>114</v>
      </c>
      <c r="N422">
        <f t="shared" ref="N422" si="1672">AVERAGE(M422:M424)</f>
        <v>111.33333333333333</v>
      </c>
      <c r="O422">
        <f t="shared" ref="O422" si="1673">_xlfn.STDEV.P(M422:M424)</f>
        <v>1.8856180831641267</v>
      </c>
      <c r="P422">
        <v>186</v>
      </c>
      <c r="Q422">
        <v>0.51</v>
      </c>
      <c r="R422">
        <v>94.86</v>
      </c>
      <c r="S422">
        <v>0.46</v>
      </c>
      <c r="T422">
        <v>85.56</v>
      </c>
      <c r="U422" t="s">
        <v>20</v>
      </c>
    </row>
    <row r="423" spans="1:21" x14ac:dyDescent="0.25">
      <c r="A423" t="s">
        <v>459</v>
      </c>
      <c r="B423" s="4" t="s">
        <v>245</v>
      </c>
      <c r="C423" s="1">
        <v>5</v>
      </c>
      <c r="D423">
        <v>40</v>
      </c>
      <c r="E423">
        <v>2</v>
      </c>
      <c r="F423">
        <v>62</v>
      </c>
      <c r="G423">
        <v>116</v>
      </c>
      <c r="H423">
        <f t="shared" ref="H423:I423" si="1674">H422</f>
        <v>117.66666666666667</v>
      </c>
      <c r="I423">
        <f t="shared" si="1674"/>
        <v>1.699673171197595</v>
      </c>
      <c r="J423">
        <v>1</v>
      </c>
      <c r="K423">
        <f t="shared" ref="K423:L423" si="1675">K422</f>
        <v>0.66666666666666663</v>
      </c>
      <c r="L423">
        <f t="shared" si="1675"/>
        <v>0.47140452079103168</v>
      </c>
      <c r="M423">
        <v>110</v>
      </c>
      <c r="N423">
        <f t="shared" ref="N423:O423" si="1676">N422</f>
        <v>111.33333333333333</v>
      </c>
      <c r="O423">
        <f t="shared" si="1676"/>
        <v>1.8856180831641267</v>
      </c>
      <c r="P423">
        <v>187</v>
      </c>
      <c r="Q423">
        <v>0.47</v>
      </c>
      <c r="R423">
        <v>87.89</v>
      </c>
      <c r="S423">
        <v>0.65</v>
      </c>
      <c r="T423">
        <v>121.55</v>
      </c>
      <c r="U423" t="s">
        <v>20</v>
      </c>
    </row>
    <row r="424" spans="1:21" x14ac:dyDescent="0.25">
      <c r="A424" t="s">
        <v>459</v>
      </c>
      <c r="B424" s="4" t="s">
        <v>245</v>
      </c>
      <c r="C424" s="1">
        <v>5</v>
      </c>
      <c r="D424">
        <v>40</v>
      </c>
      <c r="E424">
        <v>3</v>
      </c>
      <c r="F424">
        <v>34</v>
      </c>
      <c r="G424">
        <v>120</v>
      </c>
      <c r="H424">
        <f t="shared" ref="H424:I424" si="1677">H422</f>
        <v>117.66666666666667</v>
      </c>
      <c r="I424">
        <f t="shared" si="1677"/>
        <v>1.699673171197595</v>
      </c>
      <c r="J424">
        <v>0</v>
      </c>
      <c r="K424">
        <f t="shared" ref="K424:L424" si="1678">K422</f>
        <v>0.66666666666666663</v>
      </c>
      <c r="L424">
        <f t="shared" si="1678"/>
        <v>0.47140452079103168</v>
      </c>
      <c r="M424">
        <v>110</v>
      </c>
      <c r="N424">
        <f t="shared" ref="N424:O424" si="1679">N422</f>
        <v>111.33333333333333</v>
      </c>
      <c r="O424">
        <f t="shared" si="1679"/>
        <v>1.8856180831641267</v>
      </c>
      <c r="P424">
        <v>192</v>
      </c>
      <c r="Q424">
        <v>0.54</v>
      </c>
      <c r="R424">
        <v>103.68</v>
      </c>
      <c r="S424">
        <v>0.3</v>
      </c>
      <c r="T424">
        <v>57.599999999999994</v>
      </c>
      <c r="U424" t="s">
        <v>20</v>
      </c>
    </row>
    <row r="425" spans="1:21" x14ac:dyDescent="0.25">
      <c r="A425" t="s">
        <v>460</v>
      </c>
      <c r="B425" s="4" t="s">
        <v>247</v>
      </c>
      <c r="C425" s="1">
        <v>2</v>
      </c>
      <c r="D425">
        <v>40</v>
      </c>
      <c r="E425">
        <v>1</v>
      </c>
      <c r="F425">
        <v>42</v>
      </c>
      <c r="G425">
        <v>109</v>
      </c>
      <c r="H425">
        <f t="shared" ref="H425" si="1680">AVERAGE(G425:G427)</f>
        <v>107.66666666666667</v>
      </c>
      <c r="I425">
        <f t="shared" ref="I425" si="1681">_xlfn.STDEV.P(G425:G427)</f>
        <v>1.247219128924647</v>
      </c>
      <c r="J425">
        <v>0</v>
      </c>
      <c r="K425">
        <f t="shared" ref="K425" si="1682">AVERAGE(J425:J427)</f>
        <v>0.66666666666666663</v>
      </c>
      <c r="L425">
        <f t="shared" ref="L425" si="1683">_xlfn.STDEV.P(J425:J427)</f>
        <v>0.47140452079103168</v>
      </c>
      <c r="M425">
        <v>137</v>
      </c>
      <c r="N425">
        <f t="shared" ref="N425" si="1684">AVERAGE(M425:M427)</f>
        <v>136.66666666666666</v>
      </c>
      <c r="O425">
        <f t="shared" ref="O425" si="1685">_xlfn.STDEV.P(M425:M427)</f>
        <v>2.8674417556808756</v>
      </c>
      <c r="P425">
        <v>162</v>
      </c>
      <c r="Q425">
        <v>0.62</v>
      </c>
      <c r="R425">
        <v>100.44</v>
      </c>
      <c r="S425">
        <v>0.71</v>
      </c>
      <c r="T425">
        <v>115.02</v>
      </c>
      <c r="U425">
        <v>20.8</v>
      </c>
    </row>
    <row r="426" spans="1:21" x14ac:dyDescent="0.25">
      <c r="A426" t="s">
        <v>460</v>
      </c>
      <c r="B426" s="4" t="s">
        <v>247</v>
      </c>
      <c r="C426" s="1">
        <v>2</v>
      </c>
      <c r="D426">
        <v>40</v>
      </c>
      <c r="E426">
        <v>2</v>
      </c>
      <c r="F426">
        <v>58</v>
      </c>
      <c r="G426">
        <v>106</v>
      </c>
      <c r="H426">
        <f t="shared" ref="H426:I426" si="1686">H425</f>
        <v>107.66666666666667</v>
      </c>
      <c r="I426">
        <f t="shared" si="1686"/>
        <v>1.247219128924647</v>
      </c>
      <c r="J426">
        <v>1</v>
      </c>
      <c r="K426">
        <f t="shared" ref="K426:L426" si="1687">K425</f>
        <v>0.66666666666666663</v>
      </c>
      <c r="L426">
        <f t="shared" si="1687"/>
        <v>0.47140452079103168</v>
      </c>
      <c r="M426">
        <v>133</v>
      </c>
      <c r="N426">
        <f t="shared" ref="N426:O426" si="1688">N425</f>
        <v>136.66666666666666</v>
      </c>
      <c r="O426">
        <f t="shared" si="1688"/>
        <v>2.8674417556808756</v>
      </c>
      <c r="P426">
        <v>166</v>
      </c>
      <c r="Q426">
        <v>0.55000000000000004</v>
      </c>
      <c r="R426">
        <v>91.300000000000011</v>
      </c>
      <c r="S426">
        <v>0.68</v>
      </c>
      <c r="T426">
        <v>112.88000000000001</v>
      </c>
      <c r="U426" t="s">
        <v>20</v>
      </c>
    </row>
    <row r="427" spans="1:21" x14ac:dyDescent="0.25">
      <c r="A427" t="s">
        <v>460</v>
      </c>
      <c r="B427" s="4" t="s">
        <v>247</v>
      </c>
      <c r="C427" s="1">
        <v>2</v>
      </c>
      <c r="D427">
        <v>40</v>
      </c>
      <c r="E427">
        <v>3</v>
      </c>
      <c r="F427">
        <v>66</v>
      </c>
      <c r="G427">
        <v>108</v>
      </c>
      <c r="H427">
        <f t="shared" ref="H427:I427" si="1689">H425</f>
        <v>107.66666666666667</v>
      </c>
      <c r="I427">
        <f t="shared" si="1689"/>
        <v>1.247219128924647</v>
      </c>
      <c r="J427">
        <v>1</v>
      </c>
      <c r="K427">
        <f t="shared" ref="K427:L427" si="1690">K425</f>
        <v>0.66666666666666663</v>
      </c>
      <c r="L427">
        <f t="shared" si="1690"/>
        <v>0.47140452079103168</v>
      </c>
      <c r="M427">
        <v>140</v>
      </c>
      <c r="N427">
        <f t="shared" ref="N427:O427" si="1691">N425</f>
        <v>136.66666666666666</v>
      </c>
      <c r="O427">
        <f t="shared" si="1691"/>
        <v>2.8674417556808756</v>
      </c>
      <c r="P427">
        <v>156</v>
      </c>
      <c r="Q427">
        <v>0.61</v>
      </c>
      <c r="R427">
        <v>95.16</v>
      </c>
      <c r="S427">
        <v>0.55000000000000004</v>
      </c>
      <c r="T427">
        <v>85.800000000000011</v>
      </c>
      <c r="U427" t="s">
        <v>20</v>
      </c>
    </row>
    <row r="428" spans="1:21" x14ac:dyDescent="0.25">
      <c r="A428" t="s">
        <v>461</v>
      </c>
      <c r="B428" s="4" t="s">
        <v>219</v>
      </c>
      <c r="C428" s="1">
        <v>2</v>
      </c>
      <c r="D428">
        <v>40</v>
      </c>
      <c r="E428">
        <v>1</v>
      </c>
      <c r="F428">
        <v>60</v>
      </c>
      <c r="G428">
        <v>78</v>
      </c>
      <c r="H428">
        <f t="shared" ref="H428" si="1692">AVERAGE(G428:G430)</f>
        <v>76.666666666666671</v>
      </c>
      <c r="I428">
        <f t="shared" ref="I428" si="1693">_xlfn.STDEV.P(G428:G430)</f>
        <v>0.94280904158206336</v>
      </c>
      <c r="J428">
        <v>10</v>
      </c>
      <c r="K428">
        <f t="shared" ref="K428" si="1694">AVERAGE(J428:J430)</f>
        <v>10</v>
      </c>
      <c r="L428">
        <f t="shared" ref="L428" si="1695">_xlfn.STDEV.P(J428:J430)</f>
        <v>2.4494897427831779</v>
      </c>
      <c r="M428">
        <v>98</v>
      </c>
      <c r="N428">
        <f t="shared" ref="N428" si="1696">AVERAGE(M428:M430)</f>
        <v>93.666666666666671</v>
      </c>
      <c r="O428">
        <f t="shared" ref="O428" si="1697">_xlfn.STDEV.P(M428:M430)</f>
        <v>4.1899350299921778</v>
      </c>
      <c r="P428">
        <v>122</v>
      </c>
      <c r="Q428">
        <v>0.65</v>
      </c>
      <c r="R428">
        <v>79.3</v>
      </c>
      <c r="S428">
        <v>0.78</v>
      </c>
      <c r="T428">
        <v>95.16</v>
      </c>
      <c r="U428">
        <v>12.42</v>
      </c>
    </row>
    <row r="429" spans="1:21" x14ac:dyDescent="0.25">
      <c r="A429" t="s">
        <v>461</v>
      </c>
      <c r="B429" s="4" t="s">
        <v>219</v>
      </c>
      <c r="C429" s="1">
        <v>2</v>
      </c>
      <c r="D429">
        <v>40</v>
      </c>
      <c r="E429">
        <v>2</v>
      </c>
      <c r="F429">
        <v>26</v>
      </c>
      <c r="G429">
        <v>76</v>
      </c>
      <c r="H429">
        <f t="shared" ref="H429:I429" si="1698">H428</f>
        <v>76.666666666666671</v>
      </c>
      <c r="I429">
        <f t="shared" si="1698"/>
        <v>0.94280904158206336</v>
      </c>
      <c r="J429">
        <v>7</v>
      </c>
      <c r="K429">
        <f t="shared" ref="K429:L429" si="1699">K428</f>
        <v>10</v>
      </c>
      <c r="L429">
        <f t="shared" si="1699"/>
        <v>2.4494897427831779</v>
      </c>
      <c r="M429">
        <v>88</v>
      </c>
      <c r="N429">
        <f t="shared" ref="N429:O429" si="1700">N428</f>
        <v>93.666666666666671</v>
      </c>
      <c r="O429">
        <f t="shared" si="1700"/>
        <v>4.1899350299921778</v>
      </c>
      <c r="P429">
        <v>122</v>
      </c>
      <c r="Q429">
        <v>0.66</v>
      </c>
      <c r="R429">
        <v>80.52000000000001</v>
      </c>
      <c r="S429">
        <v>0.78</v>
      </c>
      <c r="T429">
        <v>95.16</v>
      </c>
      <c r="U429">
        <v>11.48</v>
      </c>
    </row>
    <row r="430" spans="1:21" x14ac:dyDescent="0.25">
      <c r="A430" t="s">
        <v>461</v>
      </c>
      <c r="B430" s="4" t="s">
        <v>219</v>
      </c>
      <c r="C430" s="1">
        <v>2</v>
      </c>
      <c r="D430">
        <v>40</v>
      </c>
      <c r="E430">
        <v>3</v>
      </c>
      <c r="F430">
        <v>26</v>
      </c>
      <c r="G430">
        <v>76</v>
      </c>
      <c r="H430">
        <f t="shared" ref="H430:I430" si="1701">H428</f>
        <v>76.666666666666671</v>
      </c>
      <c r="I430">
        <f t="shared" si="1701"/>
        <v>0.94280904158206336</v>
      </c>
      <c r="J430">
        <v>13</v>
      </c>
      <c r="K430">
        <f t="shared" ref="K430:L430" si="1702">K428</f>
        <v>10</v>
      </c>
      <c r="L430">
        <f t="shared" si="1702"/>
        <v>2.4494897427831779</v>
      </c>
      <c r="M430">
        <v>95</v>
      </c>
      <c r="N430">
        <f t="shared" ref="N430:O430" si="1703">N428</f>
        <v>93.666666666666671</v>
      </c>
      <c r="O430">
        <f t="shared" si="1703"/>
        <v>4.1899350299921778</v>
      </c>
      <c r="P430">
        <v>122</v>
      </c>
      <c r="Q430">
        <v>0.7</v>
      </c>
      <c r="R430">
        <v>85.399999999999991</v>
      </c>
      <c r="S430">
        <v>0.81</v>
      </c>
      <c r="T430">
        <v>98.820000000000007</v>
      </c>
      <c r="U430" t="s">
        <v>20</v>
      </c>
    </row>
    <row r="431" spans="1:21" x14ac:dyDescent="0.25">
      <c r="A431" t="s">
        <v>462</v>
      </c>
      <c r="B431" s="4" t="s">
        <v>245</v>
      </c>
      <c r="C431" s="1">
        <v>2</v>
      </c>
      <c r="D431">
        <v>40</v>
      </c>
      <c r="E431">
        <v>1</v>
      </c>
      <c r="F431">
        <v>70</v>
      </c>
      <c r="G431">
        <v>84</v>
      </c>
      <c r="H431">
        <f t="shared" ref="H431" si="1704">AVERAGE(G431:G433)</f>
        <v>86</v>
      </c>
      <c r="I431">
        <f t="shared" ref="I431" si="1705">_xlfn.STDEV.P(G431:G433)</f>
        <v>1.4142135623730951</v>
      </c>
      <c r="J431">
        <v>4</v>
      </c>
      <c r="K431">
        <f t="shared" ref="K431" si="1706">AVERAGE(J431:J433)</f>
        <v>6</v>
      </c>
      <c r="L431">
        <f t="shared" ref="L431" si="1707">_xlfn.STDEV.P(J431:J433)</f>
        <v>1.6329931618554521</v>
      </c>
      <c r="M431">
        <v>85</v>
      </c>
      <c r="N431">
        <f t="shared" ref="N431" si="1708">AVERAGE(M431:M433)</f>
        <v>90.333333333333329</v>
      </c>
      <c r="O431">
        <f t="shared" ref="O431" si="1709">_xlfn.STDEV.P(M431:M433)</f>
        <v>4.9888765156985881</v>
      </c>
      <c r="P431">
        <v>131</v>
      </c>
      <c r="Q431">
        <v>0.66</v>
      </c>
      <c r="R431">
        <v>86.460000000000008</v>
      </c>
      <c r="S431">
        <v>0.61</v>
      </c>
      <c r="T431">
        <v>79.91</v>
      </c>
      <c r="U431">
        <v>12.49</v>
      </c>
    </row>
    <row r="432" spans="1:21" x14ac:dyDescent="0.25">
      <c r="A432" t="s">
        <v>462</v>
      </c>
      <c r="B432" s="4" t="s">
        <v>245</v>
      </c>
      <c r="C432" s="1">
        <v>2</v>
      </c>
      <c r="D432">
        <v>40</v>
      </c>
      <c r="E432">
        <v>2</v>
      </c>
      <c r="F432">
        <v>56</v>
      </c>
      <c r="G432">
        <v>87</v>
      </c>
      <c r="H432">
        <f t="shared" ref="H432:I432" si="1710">H431</f>
        <v>86</v>
      </c>
      <c r="I432">
        <f t="shared" si="1710"/>
        <v>1.4142135623730951</v>
      </c>
      <c r="J432">
        <v>8</v>
      </c>
      <c r="K432">
        <f t="shared" ref="K432:L432" si="1711">K431</f>
        <v>6</v>
      </c>
      <c r="L432">
        <f t="shared" si="1711"/>
        <v>1.6329931618554521</v>
      </c>
      <c r="M432">
        <v>89</v>
      </c>
      <c r="N432">
        <f t="shared" ref="N432:O432" si="1712">N431</f>
        <v>90.333333333333329</v>
      </c>
      <c r="O432">
        <f t="shared" si="1712"/>
        <v>4.9888765156985881</v>
      </c>
      <c r="P432">
        <v>132</v>
      </c>
      <c r="Q432">
        <v>0.68</v>
      </c>
      <c r="R432">
        <v>89.76</v>
      </c>
      <c r="S432">
        <v>0.71</v>
      </c>
      <c r="T432">
        <v>93.72</v>
      </c>
      <c r="U432">
        <v>12.17</v>
      </c>
    </row>
    <row r="433" spans="1:21" x14ac:dyDescent="0.25">
      <c r="A433" t="s">
        <v>462</v>
      </c>
      <c r="B433" s="4" t="s">
        <v>245</v>
      </c>
      <c r="C433" s="1">
        <v>2</v>
      </c>
      <c r="D433">
        <v>40</v>
      </c>
      <c r="E433">
        <v>3</v>
      </c>
      <c r="F433">
        <v>70</v>
      </c>
      <c r="G433">
        <v>87</v>
      </c>
      <c r="H433">
        <f t="shared" ref="H433:I433" si="1713">H431</f>
        <v>86</v>
      </c>
      <c r="I433">
        <f t="shared" si="1713"/>
        <v>1.4142135623730951</v>
      </c>
      <c r="J433">
        <v>6</v>
      </c>
      <c r="K433">
        <f t="shared" ref="K433:L433" si="1714">K431</f>
        <v>6</v>
      </c>
      <c r="L433">
        <f t="shared" si="1714"/>
        <v>1.6329931618554521</v>
      </c>
      <c r="M433">
        <v>97</v>
      </c>
      <c r="N433">
        <f t="shared" ref="N433:O433" si="1715">N431</f>
        <v>90.333333333333329</v>
      </c>
      <c r="O433">
        <f t="shared" si="1715"/>
        <v>4.9888765156985881</v>
      </c>
      <c r="P433">
        <v>132</v>
      </c>
      <c r="Q433">
        <v>0.7</v>
      </c>
      <c r="R433">
        <v>92.399999999999991</v>
      </c>
      <c r="S433">
        <v>0.72</v>
      </c>
      <c r="T433">
        <v>95.039999999999992</v>
      </c>
      <c r="U433">
        <v>12.2</v>
      </c>
    </row>
    <row r="434" spans="1:21" x14ac:dyDescent="0.25">
      <c r="A434" t="s">
        <v>463</v>
      </c>
      <c r="B434" s="4" t="s">
        <v>172</v>
      </c>
      <c r="C434" s="1">
        <v>4</v>
      </c>
      <c r="D434">
        <v>40</v>
      </c>
      <c r="E434">
        <v>1</v>
      </c>
      <c r="F434">
        <v>32</v>
      </c>
      <c r="G434">
        <v>99</v>
      </c>
      <c r="H434">
        <f t="shared" ref="H434" si="1716">AVERAGE(G434:G436)</f>
        <v>100</v>
      </c>
      <c r="I434">
        <f t="shared" ref="I434" si="1717">_xlfn.STDEV.P(G434:G436)</f>
        <v>0.81649658092772603</v>
      </c>
      <c r="J434">
        <v>7</v>
      </c>
      <c r="K434">
        <f t="shared" ref="K434" si="1718">AVERAGE(J434:J436)</f>
        <v>4.666666666666667</v>
      </c>
      <c r="L434">
        <f t="shared" ref="L434" si="1719">_xlfn.STDEV.P(J434:J436)</f>
        <v>2.0548046676563256</v>
      </c>
      <c r="M434">
        <v>95</v>
      </c>
      <c r="N434">
        <f t="shared" ref="N434" si="1720">AVERAGE(M434:M436)</f>
        <v>104.66666666666667</v>
      </c>
      <c r="O434">
        <f t="shared" ref="O434" si="1721">_xlfn.STDEV.P(M434:M436)</f>
        <v>6.8475461947247123</v>
      </c>
      <c r="P434">
        <v>152</v>
      </c>
      <c r="Q434">
        <v>0.75</v>
      </c>
      <c r="R434">
        <v>114</v>
      </c>
      <c r="S434">
        <v>0.8</v>
      </c>
      <c r="T434">
        <v>121.60000000000001</v>
      </c>
      <c r="U434">
        <v>14.21</v>
      </c>
    </row>
    <row r="435" spans="1:21" x14ac:dyDescent="0.25">
      <c r="A435" t="s">
        <v>463</v>
      </c>
      <c r="B435" s="4" t="s">
        <v>172</v>
      </c>
      <c r="C435" s="1">
        <v>4</v>
      </c>
      <c r="D435">
        <v>40</v>
      </c>
      <c r="E435">
        <v>2</v>
      </c>
      <c r="F435">
        <v>32</v>
      </c>
      <c r="G435">
        <v>100</v>
      </c>
      <c r="H435">
        <f t="shared" ref="H435:I435" si="1722">H434</f>
        <v>100</v>
      </c>
      <c r="I435">
        <f t="shared" si="1722"/>
        <v>0.81649658092772603</v>
      </c>
      <c r="J435">
        <v>5</v>
      </c>
      <c r="K435">
        <f t="shared" ref="K435:L435" si="1723">K434</f>
        <v>4.666666666666667</v>
      </c>
      <c r="L435">
        <f t="shared" si="1723"/>
        <v>2.0548046676563256</v>
      </c>
      <c r="M435">
        <v>109</v>
      </c>
      <c r="N435">
        <f t="shared" ref="N435:O435" si="1724">N434</f>
        <v>104.66666666666667</v>
      </c>
      <c r="O435">
        <f t="shared" si="1724"/>
        <v>6.8475461947247123</v>
      </c>
      <c r="P435">
        <v>153</v>
      </c>
      <c r="Q435">
        <v>0.72</v>
      </c>
      <c r="R435">
        <v>110.16</v>
      </c>
      <c r="S435">
        <v>0.77</v>
      </c>
      <c r="T435">
        <v>117.81</v>
      </c>
      <c r="U435">
        <v>13.87</v>
      </c>
    </row>
    <row r="436" spans="1:21" x14ac:dyDescent="0.25">
      <c r="A436" t="s">
        <v>463</v>
      </c>
      <c r="B436" s="4" t="s">
        <v>172</v>
      </c>
      <c r="C436" s="1">
        <v>4</v>
      </c>
      <c r="D436">
        <v>40</v>
      </c>
      <c r="E436">
        <v>3</v>
      </c>
      <c r="F436" t="s">
        <v>20</v>
      </c>
      <c r="G436">
        <v>101</v>
      </c>
      <c r="H436">
        <f t="shared" ref="H436:I436" si="1725">H434</f>
        <v>100</v>
      </c>
      <c r="I436">
        <f t="shared" si="1725"/>
        <v>0.81649658092772603</v>
      </c>
      <c r="J436">
        <v>2</v>
      </c>
      <c r="K436">
        <f t="shared" ref="K436:L436" si="1726">K434</f>
        <v>4.666666666666667</v>
      </c>
      <c r="L436">
        <f t="shared" si="1726"/>
        <v>2.0548046676563256</v>
      </c>
      <c r="M436">
        <v>110</v>
      </c>
      <c r="N436">
        <f t="shared" ref="N436:O436" si="1727">N434</f>
        <v>104.66666666666667</v>
      </c>
      <c r="O436">
        <f t="shared" si="1727"/>
        <v>6.8475461947247123</v>
      </c>
      <c r="P436">
        <v>159</v>
      </c>
      <c r="Q436">
        <v>0.67</v>
      </c>
      <c r="R436">
        <v>106.53</v>
      </c>
      <c r="S436">
        <v>0.73</v>
      </c>
      <c r="T436">
        <v>116.07</v>
      </c>
      <c r="U436">
        <v>13.63</v>
      </c>
    </row>
    <row r="437" spans="1:21" x14ac:dyDescent="0.25">
      <c r="A437" t="s">
        <v>464</v>
      </c>
      <c r="B437" s="4" t="s">
        <v>14</v>
      </c>
      <c r="C437" s="1">
        <v>1</v>
      </c>
      <c r="D437">
        <v>40</v>
      </c>
      <c r="E437">
        <v>1</v>
      </c>
      <c r="F437">
        <v>46</v>
      </c>
      <c r="G437">
        <v>118</v>
      </c>
      <c r="H437">
        <f t="shared" ref="H437" si="1728">AVERAGE(G437:G439)</f>
        <v>117.33333333333333</v>
      </c>
      <c r="I437">
        <f t="shared" ref="I437" si="1729">_xlfn.STDEV.P(G437:G439)</f>
        <v>0.94280904158206336</v>
      </c>
      <c r="J437">
        <v>5</v>
      </c>
      <c r="K437">
        <f t="shared" ref="K437" si="1730">AVERAGE(J437:J439)</f>
        <v>3.3333333333333335</v>
      </c>
      <c r="L437">
        <f t="shared" ref="L437" si="1731">_xlfn.STDEV.P(J437:J439)</f>
        <v>1.699673171197595</v>
      </c>
      <c r="M437">
        <v>120</v>
      </c>
      <c r="N437">
        <f t="shared" ref="N437" si="1732">AVERAGE(M437:M439)</f>
        <v>120.33333333333333</v>
      </c>
      <c r="O437">
        <f t="shared" ref="O437" si="1733">_xlfn.STDEV.P(M437:M439)</f>
        <v>4.4969125210773466</v>
      </c>
      <c r="P437">
        <v>177</v>
      </c>
      <c r="Q437">
        <v>0.57999999999999996</v>
      </c>
      <c r="R437">
        <v>102.66</v>
      </c>
      <c r="S437">
        <v>0.55000000000000004</v>
      </c>
      <c r="T437">
        <v>97.350000000000009</v>
      </c>
      <c r="U437" t="s">
        <v>20</v>
      </c>
    </row>
    <row r="438" spans="1:21" x14ac:dyDescent="0.25">
      <c r="A438" t="s">
        <v>464</v>
      </c>
      <c r="B438" s="4" t="s">
        <v>14</v>
      </c>
      <c r="C438" s="1">
        <v>1</v>
      </c>
      <c r="D438">
        <v>40</v>
      </c>
      <c r="E438">
        <v>2</v>
      </c>
      <c r="F438">
        <v>76</v>
      </c>
      <c r="G438">
        <v>116</v>
      </c>
      <c r="H438">
        <f t="shared" ref="H438:I438" si="1734">H437</f>
        <v>117.33333333333333</v>
      </c>
      <c r="I438">
        <f t="shared" si="1734"/>
        <v>0.94280904158206336</v>
      </c>
      <c r="J438">
        <v>4</v>
      </c>
      <c r="K438">
        <f t="shared" ref="K438:L438" si="1735">K437</f>
        <v>3.3333333333333335</v>
      </c>
      <c r="L438">
        <f t="shared" si="1735"/>
        <v>1.699673171197595</v>
      </c>
      <c r="M438">
        <v>115</v>
      </c>
      <c r="N438">
        <f t="shared" ref="N438:O438" si="1736">N437</f>
        <v>120.33333333333333</v>
      </c>
      <c r="O438">
        <f t="shared" si="1736"/>
        <v>4.4969125210773466</v>
      </c>
      <c r="P438">
        <v>186</v>
      </c>
      <c r="Q438">
        <v>0.48</v>
      </c>
      <c r="R438">
        <v>89.28</v>
      </c>
      <c r="S438">
        <v>0.44</v>
      </c>
      <c r="T438">
        <v>81.84</v>
      </c>
      <c r="U438" t="s">
        <v>20</v>
      </c>
    </row>
    <row r="439" spans="1:21" x14ac:dyDescent="0.25">
      <c r="A439" t="s">
        <v>464</v>
      </c>
      <c r="B439" s="4" t="s">
        <v>14</v>
      </c>
      <c r="C439" s="1">
        <v>1</v>
      </c>
      <c r="D439">
        <v>40</v>
      </c>
      <c r="E439">
        <v>3</v>
      </c>
      <c r="F439">
        <v>70</v>
      </c>
      <c r="G439">
        <v>118</v>
      </c>
      <c r="H439">
        <f t="shared" ref="H439:I439" si="1737">H437</f>
        <v>117.33333333333333</v>
      </c>
      <c r="I439">
        <f t="shared" si="1737"/>
        <v>0.94280904158206336</v>
      </c>
      <c r="J439">
        <v>1</v>
      </c>
      <c r="K439">
        <f t="shared" ref="K439:L439" si="1738">K437</f>
        <v>3.3333333333333335</v>
      </c>
      <c r="L439">
        <f t="shared" si="1738"/>
        <v>1.699673171197595</v>
      </c>
      <c r="M439">
        <v>126</v>
      </c>
      <c r="N439">
        <f t="shared" ref="N439:O439" si="1739">N437</f>
        <v>120.33333333333333</v>
      </c>
      <c r="O439">
        <f t="shared" si="1739"/>
        <v>4.4969125210773466</v>
      </c>
      <c r="P439">
        <v>186</v>
      </c>
      <c r="Q439">
        <v>0.44</v>
      </c>
      <c r="R439">
        <v>81.84</v>
      </c>
      <c r="S439">
        <v>0.46</v>
      </c>
      <c r="T439">
        <v>85.56</v>
      </c>
      <c r="U439" t="s">
        <v>20</v>
      </c>
    </row>
    <row r="440" spans="1:21" x14ac:dyDescent="0.25">
      <c r="A440" t="s">
        <v>465</v>
      </c>
      <c r="B440" s="4" t="s">
        <v>14</v>
      </c>
      <c r="C440" s="1">
        <v>1</v>
      </c>
      <c r="D440">
        <v>40</v>
      </c>
      <c r="E440">
        <v>1</v>
      </c>
      <c r="F440">
        <v>2</v>
      </c>
      <c r="G440">
        <v>124</v>
      </c>
      <c r="H440">
        <f t="shared" ref="H440" si="1740">AVERAGE(G440:G442)</f>
        <v>124</v>
      </c>
      <c r="I440">
        <f t="shared" ref="I440" si="1741">_xlfn.STDEV.P(G440:G442)</f>
        <v>0</v>
      </c>
      <c r="J440">
        <v>3</v>
      </c>
      <c r="K440">
        <f t="shared" ref="K440" si="1742">AVERAGE(J440:J442)</f>
        <v>4.5</v>
      </c>
      <c r="L440">
        <f t="shared" ref="L440" si="1743">_xlfn.STDEV.P(J440:J442)</f>
        <v>1.5</v>
      </c>
      <c r="M440">
        <v>75</v>
      </c>
      <c r="N440">
        <f t="shared" ref="N440" si="1744">AVERAGE(M440:M442)</f>
        <v>87.5</v>
      </c>
      <c r="O440">
        <f t="shared" ref="O440" si="1745">_xlfn.STDEV.P(M440:M442)</f>
        <v>12.5</v>
      </c>
      <c r="P440">
        <v>192</v>
      </c>
      <c r="Q440">
        <v>0.43</v>
      </c>
      <c r="R440" t="s">
        <v>20</v>
      </c>
      <c r="S440">
        <v>0.3</v>
      </c>
      <c r="T440" t="s">
        <v>20</v>
      </c>
      <c r="U440" t="s">
        <v>20</v>
      </c>
    </row>
    <row r="441" spans="1:21" x14ac:dyDescent="0.25">
      <c r="A441" t="s">
        <v>465</v>
      </c>
      <c r="B441" s="4" t="s">
        <v>14</v>
      </c>
      <c r="C441" s="1">
        <v>1</v>
      </c>
      <c r="D441">
        <v>40</v>
      </c>
      <c r="E441">
        <v>2</v>
      </c>
      <c r="F441">
        <v>12</v>
      </c>
      <c r="G441" t="s">
        <v>20</v>
      </c>
      <c r="H441">
        <f t="shared" ref="H441:I441" si="1746">H440</f>
        <v>124</v>
      </c>
      <c r="I441">
        <f t="shared" si="1746"/>
        <v>0</v>
      </c>
      <c r="J441" t="s">
        <v>20</v>
      </c>
      <c r="K441">
        <f t="shared" ref="K441:L441" si="1747">K440</f>
        <v>4.5</v>
      </c>
      <c r="L441">
        <f t="shared" si="1747"/>
        <v>1.5</v>
      </c>
      <c r="M441" t="s">
        <v>20</v>
      </c>
      <c r="N441">
        <f t="shared" ref="N441:O441" si="1748">N440</f>
        <v>87.5</v>
      </c>
      <c r="O441">
        <f t="shared" si="1748"/>
        <v>12.5</v>
      </c>
      <c r="Q441" t="s">
        <v>20</v>
      </c>
      <c r="R441" t="s">
        <v>20</v>
      </c>
      <c r="S441" t="s">
        <v>20</v>
      </c>
      <c r="T441" t="s">
        <v>20</v>
      </c>
      <c r="U441" t="s">
        <v>20</v>
      </c>
    </row>
    <row r="442" spans="1:21" x14ac:dyDescent="0.25">
      <c r="A442" t="s">
        <v>465</v>
      </c>
      <c r="B442" s="4" t="s">
        <v>14</v>
      </c>
      <c r="C442" s="1">
        <v>1</v>
      </c>
      <c r="D442">
        <v>40</v>
      </c>
      <c r="E442">
        <v>3</v>
      </c>
      <c r="F442">
        <v>6</v>
      </c>
      <c r="G442">
        <v>124</v>
      </c>
      <c r="H442">
        <f t="shared" ref="H442:I442" si="1749">H440</f>
        <v>124</v>
      </c>
      <c r="I442">
        <f t="shared" si="1749"/>
        <v>0</v>
      </c>
      <c r="J442">
        <v>6</v>
      </c>
      <c r="K442">
        <f t="shared" ref="K442:L442" si="1750">K440</f>
        <v>4.5</v>
      </c>
      <c r="L442">
        <f t="shared" si="1750"/>
        <v>1.5</v>
      </c>
      <c r="M442">
        <v>100</v>
      </c>
      <c r="N442">
        <f t="shared" ref="N442:O442" si="1751">N440</f>
        <v>87.5</v>
      </c>
      <c r="O442">
        <f t="shared" si="1751"/>
        <v>12.5</v>
      </c>
      <c r="P442">
        <v>177</v>
      </c>
      <c r="Q442">
        <v>0.63</v>
      </c>
      <c r="R442" t="s">
        <v>20</v>
      </c>
      <c r="S442">
        <v>0.57999999999999996</v>
      </c>
      <c r="T442" t="s">
        <v>20</v>
      </c>
      <c r="U442" t="s">
        <v>20</v>
      </c>
    </row>
    <row r="443" spans="1:21" x14ac:dyDescent="0.25">
      <c r="A443" t="s">
        <v>466</v>
      </c>
      <c r="B443" s="4" t="s">
        <v>14</v>
      </c>
      <c r="C443" s="1" t="s">
        <v>20</v>
      </c>
      <c r="D443">
        <v>40</v>
      </c>
      <c r="E443">
        <v>1</v>
      </c>
      <c r="F443">
        <v>4</v>
      </c>
      <c r="G443">
        <v>145</v>
      </c>
      <c r="H443">
        <f t="shared" ref="H443" si="1752">AVERAGE(G443:G445)</f>
        <v>145.66666666666666</v>
      </c>
      <c r="I443">
        <f t="shared" ref="I443" si="1753">_xlfn.STDEV.P(G443:G445)</f>
        <v>0.94280904158206336</v>
      </c>
      <c r="J443">
        <v>11</v>
      </c>
      <c r="K443">
        <f t="shared" ref="K443" si="1754">AVERAGE(J443:J445)</f>
        <v>8</v>
      </c>
      <c r="L443">
        <f t="shared" ref="L443" si="1755">_xlfn.STDEV.P(J443:J445)</f>
        <v>2.1602468994692869</v>
      </c>
      <c r="M443">
        <v>82</v>
      </c>
      <c r="N443">
        <f t="shared" ref="N443" si="1756">AVERAGE(M443:M445)</f>
        <v>96.333333333333329</v>
      </c>
      <c r="O443">
        <f t="shared" ref="O443" si="1757">_xlfn.STDEV.P(M443:M445)</f>
        <v>10.530379332620877</v>
      </c>
      <c r="P443">
        <v>183</v>
      </c>
      <c r="Q443">
        <v>0.66</v>
      </c>
      <c r="R443">
        <v>120.78</v>
      </c>
      <c r="S443">
        <v>0.65</v>
      </c>
      <c r="T443">
        <v>118.95</v>
      </c>
      <c r="U443" t="s">
        <v>20</v>
      </c>
    </row>
    <row r="444" spans="1:21" x14ac:dyDescent="0.25">
      <c r="A444" t="s">
        <v>466</v>
      </c>
      <c r="B444" s="4" t="s">
        <v>14</v>
      </c>
      <c r="C444" s="1" t="s">
        <v>20</v>
      </c>
      <c r="D444">
        <v>40</v>
      </c>
      <c r="E444">
        <v>2</v>
      </c>
      <c r="F444">
        <v>38</v>
      </c>
      <c r="G444">
        <v>147</v>
      </c>
      <c r="H444">
        <f t="shared" ref="H444:I444" si="1758">H443</f>
        <v>145.66666666666666</v>
      </c>
      <c r="I444">
        <f t="shared" si="1758"/>
        <v>0.94280904158206336</v>
      </c>
      <c r="J444">
        <v>7</v>
      </c>
      <c r="K444">
        <f t="shared" ref="K444:L444" si="1759">K443</f>
        <v>8</v>
      </c>
      <c r="L444">
        <f t="shared" si="1759"/>
        <v>2.1602468994692869</v>
      </c>
      <c r="M444">
        <v>107</v>
      </c>
      <c r="N444">
        <f t="shared" ref="N444:O444" si="1760">N443</f>
        <v>96.333333333333329</v>
      </c>
      <c r="O444">
        <f t="shared" si="1760"/>
        <v>10.530379332620877</v>
      </c>
      <c r="P444">
        <v>186</v>
      </c>
      <c r="Q444">
        <v>0.63</v>
      </c>
      <c r="R444">
        <v>117.18</v>
      </c>
      <c r="S444">
        <v>0.66</v>
      </c>
      <c r="T444">
        <v>122.76</v>
      </c>
      <c r="U444" t="s">
        <v>20</v>
      </c>
    </row>
    <row r="445" spans="1:21" x14ac:dyDescent="0.25">
      <c r="A445" t="s">
        <v>466</v>
      </c>
      <c r="B445" s="4" t="s">
        <v>14</v>
      </c>
      <c r="C445" s="1" t="s">
        <v>20</v>
      </c>
      <c r="D445">
        <v>40</v>
      </c>
      <c r="E445">
        <v>3</v>
      </c>
      <c r="F445">
        <v>24</v>
      </c>
      <c r="G445">
        <v>145</v>
      </c>
      <c r="H445">
        <f t="shared" ref="H445:I445" si="1761">H443</f>
        <v>145.66666666666666</v>
      </c>
      <c r="I445">
        <f t="shared" si="1761"/>
        <v>0.94280904158206336</v>
      </c>
      <c r="J445">
        <v>6</v>
      </c>
      <c r="K445">
        <f t="shared" ref="K445:L445" si="1762">K443</f>
        <v>8</v>
      </c>
      <c r="L445">
        <f t="shared" si="1762"/>
        <v>2.1602468994692869</v>
      </c>
      <c r="M445">
        <v>100</v>
      </c>
      <c r="N445">
        <f t="shared" ref="N445:O445" si="1763">N443</f>
        <v>96.333333333333329</v>
      </c>
      <c r="O445">
        <f t="shared" si="1763"/>
        <v>10.530379332620877</v>
      </c>
      <c r="P445">
        <v>192</v>
      </c>
      <c r="Q445">
        <v>0.62</v>
      </c>
      <c r="R445">
        <v>119.03999999999999</v>
      </c>
      <c r="S445">
        <v>0.55000000000000004</v>
      </c>
      <c r="T445">
        <v>105.60000000000001</v>
      </c>
      <c r="U445" t="s">
        <v>20</v>
      </c>
    </row>
    <row r="446" spans="1:21" x14ac:dyDescent="0.25">
      <c r="A446" t="s">
        <v>467</v>
      </c>
      <c r="B446" s="4" t="s">
        <v>14</v>
      </c>
      <c r="C446" s="1">
        <v>1</v>
      </c>
      <c r="D446">
        <v>40</v>
      </c>
      <c r="E446">
        <v>1</v>
      </c>
      <c r="F446">
        <v>50</v>
      </c>
      <c r="G446">
        <v>138</v>
      </c>
      <c r="H446">
        <f t="shared" ref="H446" si="1764">AVERAGE(G446:G448)</f>
        <v>140.66666666666666</v>
      </c>
      <c r="I446">
        <f t="shared" ref="I446" si="1765">_xlfn.STDEV.P(G446:G448)</f>
        <v>3.7712361663282534</v>
      </c>
      <c r="J446">
        <v>6</v>
      </c>
      <c r="K446">
        <f t="shared" ref="K446" si="1766">AVERAGE(J446:J448)</f>
        <v>7</v>
      </c>
      <c r="L446">
        <f t="shared" ref="L446" si="1767">_xlfn.STDEV.P(J446:J448)</f>
        <v>2.9439202887759488</v>
      </c>
      <c r="M446">
        <v>90</v>
      </c>
      <c r="N446">
        <f t="shared" ref="N446" si="1768">AVERAGE(M446:M448)</f>
        <v>103</v>
      </c>
      <c r="O446">
        <f t="shared" ref="O446" si="1769">_xlfn.STDEV.P(M446:M448)</f>
        <v>9.2736184954957039</v>
      </c>
      <c r="P446">
        <v>192</v>
      </c>
      <c r="Q446">
        <v>0.59</v>
      </c>
      <c r="R446">
        <v>113.28</v>
      </c>
      <c r="S446">
        <v>0.4</v>
      </c>
      <c r="T446">
        <v>76.800000000000011</v>
      </c>
      <c r="U446" t="s">
        <v>20</v>
      </c>
    </row>
    <row r="447" spans="1:21" x14ac:dyDescent="0.25">
      <c r="A447" t="s">
        <v>467</v>
      </c>
      <c r="B447" s="4" t="s">
        <v>14</v>
      </c>
      <c r="C447" s="1">
        <v>1</v>
      </c>
      <c r="D447">
        <v>40</v>
      </c>
      <c r="E447">
        <v>2</v>
      </c>
      <c r="F447">
        <v>68</v>
      </c>
      <c r="G447">
        <v>138</v>
      </c>
      <c r="H447">
        <f t="shared" ref="H447:I447" si="1770">H446</f>
        <v>140.66666666666666</v>
      </c>
      <c r="I447">
        <f t="shared" si="1770"/>
        <v>3.7712361663282534</v>
      </c>
      <c r="J447">
        <v>11</v>
      </c>
      <c r="K447">
        <f t="shared" ref="K447:L447" si="1771">K446</f>
        <v>7</v>
      </c>
      <c r="L447">
        <f t="shared" si="1771"/>
        <v>2.9439202887759488</v>
      </c>
      <c r="M447">
        <v>111</v>
      </c>
      <c r="N447">
        <f t="shared" ref="N447:O447" si="1772">N446</f>
        <v>103</v>
      </c>
      <c r="O447">
        <f t="shared" si="1772"/>
        <v>9.2736184954957039</v>
      </c>
      <c r="P447">
        <v>181</v>
      </c>
      <c r="Q447">
        <v>0.7</v>
      </c>
      <c r="R447">
        <v>126.69999999999999</v>
      </c>
      <c r="S447">
        <v>0.62</v>
      </c>
      <c r="T447">
        <v>112.22</v>
      </c>
      <c r="U447" t="s">
        <v>20</v>
      </c>
    </row>
    <row r="448" spans="1:21" x14ac:dyDescent="0.25">
      <c r="A448" t="s">
        <v>467</v>
      </c>
      <c r="B448" s="4" t="s">
        <v>14</v>
      </c>
      <c r="C448" s="1">
        <v>1</v>
      </c>
      <c r="D448">
        <v>40</v>
      </c>
      <c r="E448">
        <v>3</v>
      </c>
      <c r="F448">
        <v>82</v>
      </c>
      <c r="G448">
        <v>146</v>
      </c>
      <c r="H448">
        <f t="shared" ref="H448:I448" si="1773">H446</f>
        <v>140.66666666666666</v>
      </c>
      <c r="I448">
        <f t="shared" si="1773"/>
        <v>3.7712361663282534</v>
      </c>
      <c r="J448">
        <v>4</v>
      </c>
      <c r="K448">
        <f t="shared" ref="K448:L448" si="1774">K446</f>
        <v>7</v>
      </c>
      <c r="L448">
        <f t="shared" si="1774"/>
        <v>2.9439202887759488</v>
      </c>
      <c r="M448">
        <v>108</v>
      </c>
      <c r="N448">
        <f t="shared" ref="N448:O448" si="1775">N446</f>
        <v>103</v>
      </c>
      <c r="O448">
        <f t="shared" si="1775"/>
        <v>9.2736184954957039</v>
      </c>
      <c r="P448">
        <v>177</v>
      </c>
      <c r="Q448">
        <v>0.66</v>
      </c>
      <c r="R448">
        <v>116.82000000000001</v>
      </c>
      <c r="S448">
        <v>0.57999999999999996</v>
      </c>
      <c r="T448">
        <v>102.66</v>
      </c>
      <c r="U448" t="s">
        <v>20</v>
      </c>
    </row>
    <row r="449" spans="1:21" x14ac:dyDescent="0.25">
      <c r="A449" t="s">
        <v>468</v>
      </c>
      <c r="B449" s="4" t="s">
        <v>14</v>
      </c>
      <c r="C449" s="4">
        <v>1</v>
      </c>
      <c r="D449">
        <v>40</v>
      </c>
      <c r="E449">
        <v>1</v>
      </c>
      <c r="F449">
        <v>48</v>
      </c>
      <c r="G449">
        <v>0</v>
      </c>
      <c r="H449">
        <f t="shared" ref="H449" si="1776">AVERAGE(G449:G451)</f>
        <v>0</v>
      </c>
      <c r="I449">
        <f t="shared" ref="I449" si="1777">_xlfn.STDEV.P(G449:G451)</f>
        <v>0</v>
      </c>
      <c r="J449">
        <v>0</v>
      </c>
      <c r="K449">
        <f t="shared" ref="K449" si="1778">AVERAGE(J449:J451)</f>
        <v>0.66666666666666663</v>
      </c>
      <c r="L449">
        <f t="shared" ref="L449" si="1779">_xlfn.STDEV.P(J449:J451)</f>
        <v>0.47140452079103168</v>
      </c>
      <c r="M449">
        <v>110</v>
      </c>
      <c r="N449">
        <f t="shared" ref="N449" si="1780">AVERAGE(M449:M451)</f>
        <v>107.33333333333333</v>
      </c>
      <c r="O449">
        <f t="shared" ref="O449" si="1781">_xlfn.STDEV.P(M449:M451)</f>
        <v>5.2493385826745405</v>
      </c>
      <c r="Q449">
        <v>0.72</v>
      </c>
      <c r="R449" t="s">
        <v>20</v>
      </c>
      <c r="S449">
        <v>0.56999999999999995</v>
      </c>
      <c r="T449" t="s">
        <v>20</v>
      </c>
      <c r="U449" t="s">
        <v>20</v>
      </c>
    </row>
    <row r="450" spans="1:21" x14ac:dyDescent="0.25">
      <c r="A450" t="s">
        <v>468</v>
      </c>
      <c r="B450" s="4" t="s">
        <v>14</v>
      </c>
      <c r="C450" s="4">
        <v>1</v>
      </c>
      <c r="D450">
        <v>40</v>
      </c>
      <c r="E450">
        <v>2</v>
      </c>
      <c r="F450">
        <v>42</v>
      </c>
      <c r="G450">
        <v>0</v>
      </c>
      <c r="H450">
        <f t="shared" ref="H450:I450" si="1782">H449</f>
        <v>0</v>
      </c>
      <c r="I450">
        <f t="shared" si="1782"/>
        <v>0</v>
      </c>
      <c r="J450">
        <v>1</v>
      </c>
      <c r="K450">
        <f t="shared" ref="K450:L450" si="1783">K449</f>
        <v>0.66666666666666663</v>
      </c>
      <c r="L450">
        <f t="shared" si="1783"/>
        <v>0.47140452079103168</v>
      </c>
      <c r="M450">
        <v>112</v>
      </c>
      <c r="N450">
        <f t="shared" ref="N450:O450" si="1784">N449</f>
        <v>107.33333333333333</v>
      </c>
      <c r="O450">
        <f t="shared" si="1784"/>
        <v>5.2493385826745405</v>
      </c>
      <c r="Q450">
        <v>0.68</v>
      </c>
      <c r="R450" t="s">
        <v>20</v>
      </c>
      <c r="S450">
        <v>0.53</v>
      </c>
      <c r="T450" t="s">
        <v>20</v>
      </c>
      <c r="U450" t="s">
        <v>20</v>
      </c>
    </row>
    <row r="451" spans="1:21" x14ac:dyDescent="0.25">
      <c r="A451" t="s">
        <v>468</v>
      </c>
      <c r="B451" s="4" t="s">
        <v>14</v>
      </c>
      <c r="C451" s="4">
        <v>1</v>
      </c>
      <c r="D451">
        <v>40</v>
      </c>
      <c r="E451">
        <v>3</v>
      </c>
      <c r="F451">
        <v>76</v>
      </c>
      <c r="G451">
        <v>0</v>
      </c>
      <c r="H451">
        <f t="shared" ref="H451:I451" si="1785">H449</f>
        <v>0</v>
      </c>
      <c r="I451">
        <f t="shared" si="1785"/>
        <v>0</v>
      </c>
      <c r="J451">
        <v>1</v>
      </c>
      <c r="K451">
        <f t="shared" ref="K451:L451" si="1786">K449</f>
        <v>0.66666666666666663</v>
      </c>
      <c r="L451">
        <f t="shared" si="1786"/>
        <v>0.47140452079103168</v>
      </c>
      <c r="M451">
        <v>100</v>
      </c>
      <c r="N451">
        <f t="shared" ref="N451:O451" si="1787">N449</f>
        <v>107.33333333333333</v>
      </c>
      <c r="O451">
        <f t="shared" si="1787"/>
        <v>5.2493385826745405</v>
      </c>
      <c r="Q451">
        <v>0.63</v>
      </c>
      <c r="R451" t="s">
        <v>20</v>
      </c>
      <c r="S451">
        <v>0.59</v>
      </c>
      <c r="T451" t="s">
        <v>20</v>
      </c>
      <c r="U451" t="s">
        <v>20</v>
      </c>
    </row>
    <row r="452" spans="1:21" x14ac:dyDescent="0.25">
      <c r="A452" t="s">
        <v>278</v>
      </c>
      <c r="B452" s="4" t="s">
        <v>24</v>
      </c>
      <c r="C452" s="1">
        <v>3</v>
      </c>
      <c r="D452">
        <v>120</v>
      </c>
      <c r="E452">
        <v>1</v>
      </c>
      <c r="F452">
        <v>6</v>
      </c>
      <c r="G452">
        <v>105</v>
      </c>
      <c r="H452">
        <f t="shared" ref="H452" si="1788">AVERAGE(G452:G454)</f>
        <v>107.33333333333333</v>
      </c>
      <c r="I452">
        <f t="shared" ref="I452" si="1789">_xlfn.STDEV.P(G452:G454)</f>
        <v>3.2998316455372216</v>
      </c>
      <c r="J452">
        <v>30</v>
      </c>
      <c r="K452">
        <f t="shared" ref="K452" si="1790">AVERAGE(J452:J454)</f>
        <v>26.666666666666668</v>
      </c>
      <c r="L452">
        <f t="shared" ref="L452" si="1791">_xlfn.STDEV.P(J452:J454)</f>
        <v>3.39934634239519</v>
      </c>
      <c r="M452">
        <v>60</v>
      </c>
      <c r="N452">
        <f t="shared" ref="N452" si="1792">AVERAGE(M452:M454)</f>
        <v>46.666666666666664</v>
      </c>
      <c r="O452">
        <f t="shared" ref="O452" si="1793">_xlfn.STDEV.P(M452:M454)</f>
        <v>12.472191289246471</v>
      </c>
      <c r="P452">
        <v>159</v>
      </c>
      <c r="Q452">
        <v>0.73</v>
      </c>
      <c r="R452">
        <v>116.07</v>
      </c>
      <c r="S452">
        <v>0.56000000000000005</v>
      </c>
      <c r="T452">
        <v>89.04</v>
      </c>
      <c r="U452" t="s">
        <v>20</v>
      </c>
    </row>
    <row r="453" spans="1:21" x14ac:dyDescent="0.25">
      <c r="A453" t="s">
        <v>278</v>
      </c>
      <c r="B453" s="4" t="s">
        <v>24</v>
      </c>
      <c r="C453" s="1">
        <v>3</v>
      </c>
      <c r="D453">
        <v>120</v>
      </c>
      <c r="E453">
        <v>2</v>
      </c>
      <c r="F453" t="s">
        <v>20</v>
      </c>
      <c r="G453">
        <v>112</v>
      </c>
      <c r="H453">
        <f t="shared" ref="H453:I453" si="1794">H452</f>
        <v>107.33333333333333</v>
      </c>
      <c r="I453">
        <f t="shared" si="1794"/>
        <v>3.2998316455372216</v>
      </c>
      <c r="J453">
        <v>28</v>
      </c>
      <c r="K453">
        <f t="shared" ref="K453:L453" si="1795">K452</f>
        <v>26.666666666666668</v>
      </c>
      <c r="L453">
        <f t="shared" si="1795"/>
        <v>3.39934634239519</v>
      </c>
      <c r="M453">
        <v>30</v>
      </c>
      <c r="N453">
        <f t="shared" ref="N453:O453" si="1796">N452</f>
        <v>46.666666666666664</v>
      </c>
      <c r="O453">
        <f t="shared" si="1796"/>
        <v>12.472191289246471</v>
      </c>
      <c r="P453">
        <v>187</v>
      </c>
      <c r="Q453">
        <v>0.51</v>
      </c>
      <c r="R453">
        <v>95.37</v>
      </c>
      <c r="S453">
        <v>0.21</v>
      </c>
      <c r="T453">
        <v>39.269999999999996</v>
      </c>
      <c r="U453" t="s">
        <v>20</v>
      </c>
    </row>
    <row r="454" spans="1:21" x14ac:dyDescent="0.25">
      <c r="A454" t="s">
        <v>278</v>
      </c>
      <c r="B454" s="4" t="s">
        <v>24</v>
      </c>
      <c r="C454" s="1">
        <v>3</v>
      </c>
      <c r="D454">
        <v>120</v>
      </c>
      <c r="E454">
        <v>3</v>
      </c>
      <c r="F454" t="s">
        <v>20</v>
      </c>
      <c r="G454">
        <v>105</v>
      </c>
      <c r="H454">
        <f t="shared" ref="H454:I454" si="1797">H452</f>
        <v>107.33333333333333</v>
      </c>
      <c r="I454">
        <f t="shared" si="1797"/>
        <v>3.2998316455372216</v>
      </c>
      <c r="J454">
        <v>22</v>
      </c>
      <c r="K454">
        <f t="shared" ref="K454:L454" si="1798">K452</f>
        <v>26.666666666666668</v>
      </c>
      <c r="L454">
        <f t="shared" si="1798"/>
        <v>3.39934634239519</v>
      </c>
      <c r="M454">
        <v>50</v>
      </c>
      <c r="N454">
        <f t="shared" ref="N454:O454" si="1799">N452</f>
        <v>46.666666666666664</v>
      </c>
      <c r="O454">
        <f t="shared" si="1799"/>
        <v>12.472191289246471</v>
      </c>
      <c r="P454">
        <v>167</v>
      </c>
      <c r="Q454">
        <v>0.66</v>
      </c>
      <c r="R454">
        <v>110.22</v>
      </c>
      <c r="S454">
        <v>0.61</v>
      </c>
      <c r="T454">
        <v>101.87</v>
      </c>
      <c r="U454" t="s">
        <v>20</v>
      </c>
    </row>
    <row r="455" spans="1:21" x14ac:dyDescent="0.25">
      <c r="A455" t="s">
        <v>294</v>
      </c>
      <c r="B455" s="4" t="s">
        <v>14</v>
      </c>
      <c r="C455" s="1" t="s">
        <v>20</v>
      </c>
      <c r="D455">
        <v>120</v>
      </c>
      <c r="E455">
        <v>1</v>
      </c>
      <c r="F455">
        <v>30</v>
      </c>
      <c r="G455">
        <v>0</v>
      </c>
      <c r="H455">
        <f t="shared" ref="H455" si="1800">AVERAGE(G455:G457)</f>
        <v>0</v>
      </c>
      <c r="I455">
        <f t="shared" ref="I455" si="1801">_xlfn.STDEV.P(G455:G457)</f>
        <v>0</v>
      </c>
      <c r="J455">
        <v>2</v>
      </c>
      <c r="K455">
        <f t="shared" ref="K455" si="1802">AVERAGE(J455:J457)</f>
        <v>1.6666666666666667</v>
      </c>
      <c r="L455">
        <f t="shared" ref="L455" si="1803">_xlfn.STDEV.P(J455:J457)</f>
        <v>0.47140452079103168</v>
      </c>
      <c r="M455">
        <v>102</v>
      </c>
      <c r="N455">
        <f t="shared" ref="N455" si="1804">AVERAGE(M455:M457)</f>
        <v>103</v>
      </c>
      <c r="O455">
        <f t="shared" ref="O455" si="1805">_xlfn.STDEV.P(M455:M457)</f>
        <v>8.6023252670426267</v>
      </c>
      <c r="Q455">
        <v>0.63</v>
      </c>
      <c r="R455" t="s">
        <v>20</v>
      </c>
      <c r="S455">
        <v>0.59</v>
      </c>
      <c r="T455" t="s">
        <v>20</v>
      </c>
      <c r="U455" t="s">
        <v>20</v>
      </c>
    </row>
    <row r="456" spans="1:21" x14ac:dyDescent="0.25">
      <c r="A456" t="s">
        <v>294</v>
      </c>
      <c r="B456" s="4" t="s">
        <v>14</v>
      </c>
      <c r="C456" s="1" t="s">
        <v>20</v>
      </c>
      <c r="D456">
        <v>120</v>
      </c>
      <c r="E456">
        <v>2</v>
      </c>
      <c r="F456">
        <v>34</v>
      </c>
      <c r="G456">
        <v>0</v>
      </c>
      <c r="H456">
        <f t="shared" ref="H456:I456" si="1806">H455</f>
        <v>0</v>
      </c>
      <c r="I456">
        <f t="shared" si="1806"/>
        <v>0</v>
      </c>
      <c r="J456">
        <v>1</v>
      </c>
      <c r="K456">
        <f t="shared" ref="K456:L456" si="1807">K455</f>
        <v>1.6666666666666667</v>
      </c>
      <c r="L456">
        <f t="shared" si="1807"/>
        <v>0.47140452079103168</v>
      </c>
      <c r="M456">
        <v>114</v>
      </c>
      <c r="N456">
        <f t="shared" ref="N456:O456" si="1808">N455</f>
        <v>103</v>
      </c>
      <c r="O456">
        <f t="shared" si="1808"/>
        <v>8.6023252670426267</v>
      </c>
      <c r="Q456">
        <v>0.55000000000000004</v>
      </c>
      <c r="R456" t="s">
        <v>20</v>
      </c>
      <c r="S456">
        <v>0.6</v>
      </c>
      <c r="T456" t="s">
        <v>20</v>
      </c>
      <c r="U456" t="s">
        <v>20</v>
      </c>
    </row>
    <row r="457" spans="1:21" x14ac:dyDescent="0.25">
      <c r="A457" t="s">
        <v>294</v>
      </c>
      <c r="B457" s="4" t="s">
        <v>14</v>
      </c>
      <c r="C457" s="1" t="s">
        <v>20</v>
      </c>
      <c r="D457">
        <v>120</v>
      </c>
      <c r="E457">
        <v>3</v>
      </c>
      <c r="F457" t="s">
        <v>20</v>
      </c>
      <c r="G457">
        <v>0</v>
      </c>
      <c r="H457">
        <f t="shared" ref="H457:I457" si="1809">H455</f>
        <v>0</v>
      </c>
      <c r="I457">
        <f t="shared" si="1809"/>
        <v>0</v>
      </c>
      <c r="J457">
        <v>2</v>
      </c>
      <c r="K457">
        <f t="shared" ref="K457:L457" si="1810">K455</f>
        <v>1.6666666666666667</v>
      </c>
      <c r="L457">
        <f t="shared" si="1810"/>
        <v>0.47140452079103168</v>
      </c>
      <c r="M457">
        <v>93</v>
      </c>
      <c r="N457">
        <f t="shared" ref="N457:O457" si="1811">N455</f>
        <v>103</v>
      </c>
      <c r="O457">
        <f t="shared" si="1811"/>
        <v>8.6023252670426267</v>
      </c>
      <c r="Q457">
        <v>0.56000000000000005</v>
      </c>
      <c r="R457" t="s">
        <v>20</v>
      </c>
      <c r="S457">
        <v>0.59</v>
      </c>
      <c r="T457" t="s">
        <v>20</v>
      </c>
      <c r="U457" t="s">
        <v>20</v>
      </c>
    </row>
    <row r="458" spans="1:21" x14ac:dyDescent="0.25">
      <c r="A458" t="s">
        <v>306</v>
      </c>
      <c r="B458" s="4" t="s">
        <v>14</v>
      </c>
      <c r="C458" s="4">
        <v>1</v>
      </c>
      <c r="D458">
        <v>120</v>
      </c>
      <c r="E458">
        <v>1</v>
      </c>
      <c r="F458">
        <v>70</v>
      </c>
      <c r="G458">
        <v>0</v>
      </c>
      <c r="H458">
        <f t="shared" ref="H458" si="1812">AVERAGE(G458:G460)</f>
        <v>0</v>
      </c>
      <c r="I458">
        <f t="shared" ref="I458" si="1813">_xlfn.STDEV.P(G458:G460)</f>
        <v>0</v>
      </c>
      <c r="J458">
        <v>4</v>
      </c>
      <c r="K458">
        <f t="shared" ref="K458" si="1814">AVERAGE(J458:J460)</f>
        <v>3</v>
      </c>
      <c r="L458">
        <f t="shared" ref="L458" si="1815">_xlfn.STDEV.P(J458:J460)</f>
        <v>0.81649658092772603</v>
      </c>
      <c r="M458">
        <v>70</v>
      </c>
      <c r="N458">
        <f t="shared" ref="N458" si="1816">AVERAGE(M458:M460)</f>
        <v>63</v>
      </c>
      <c r="O458">
        <f t="shared" ref="O458" si="1817">_xlfn.STDEV.P(M458:M460)</f>
        <v>5.3541261347363367</v>
      </c>
      <c r="Q458">
        <v>0.72</v>
      </c>
      <c r="R458" t="s">
        <v>20</v>
      </c>
      <c r="S458">
        <v>0.65</v>
      </c>
      <c r="T458" t="s">
        <v>20</v>
      </c>
      <c r="U458" t="s">
        <v>20</v>
      </c>
    </row>
    <row r="459" spans="1:21" x14ac:dyDescent="0.25">
      <c r="A459" t="s">
        <v>306</v>
      </c>
      <c r="B459" s="4" t="s">
        <v>14</v>
      </c>
      <c r="C459" s="4">
        <v>1</v>
      </c>
      <c r="D459">
        <v>120</v>
      </c>
      <c r="E459">
        <v>2</v>
      </c>
      <c r="F459" t="s">
        <v>20</v>
      </c>
      <c r="G459">
        <v>0</v>
      </c>
      <c r="H459">
        <f t="shared" ref="H459:I459" si="1818">H458</f>
        <v>0</v>
      </c>
      <c r="I459">
        <f t="shared" si="1818"/>
        <v>0</v>
      </c>
      <c r="J459">
        <v>2</v>
      </c>
      <c r="K459">
        <f t="shared" ref="K459:L459" si="1819">K458</f>
        <v>3</v>
      </c>
      <c r="L459">
        <f t="shared" si="1819"/>
        <v>0.81649658092772603</v>
      </c>
      <c r="M459">
        <v>62</v>
      </c>
      <c r="N459">
        <f t="shared" ref="N459:O459" si="1820">N458</f>
        <v>63</v>
      </c>
      <c r="O459">
        <f t="shared" si="1820"/>
        <v>5.3541261347363367</v>
      </c>
      <c r="Q459">
        <v>0.73</v>
      </c>
      <c r="R459" t="s">
        <v>20</v>
      </c>
      <c r="S459">
        <v>0.75</v>
      </c>
      <c r="T459" t="s">
        <v>20</v>
      </c>
      <c r="U459" t="s">
        <v>20</v>
      </c>
    </row>
    <row r="460" spans="1:21" x14ac:dyDescent="0.25">
      <c r="A460" t="s">
        <v>306</v>
      </c>
      <c r="B460" s="4" t="s">
        <v>14</v>
      </c>
      <c r="C460" s="4">
        <v>1</v>
      </c>
      <c r="D460">
        <v>120</v>
      </c>
      <c r="E460">
        <v>3</v>
      </c>
      <c r="F460" t="s">
        <v>20</v>
      </c>
      <c r="G460">
        <v>0</v>
      </c>
      <c r="H460">
        <f t="shared" ref="H460:I460" si="1821">H458</f>
        <v>0</v>
      </c>
      <c r="I460">
        <f t="shared" si="1821"/>
        <v>0</v>
      </c>
      <c r="J460">
        <v>3</v>
      </c>
      <c r="K460">
        <f t="shared" ref="K460:L460" si="1822">K458</f>
        <v>3</v>
      </c>
      <c r="L460">
        <f t="shared" si="1822"/>
        <v>0.81649658092772603</v>
      </c>
      <c r="M460">
        <v>57</v>
      </c>
      <c r="N460">
        <f t="shared" ref="N460:O460" si="1823">N458</f>
        <v>63</v>
      </c>
      <c r="O460">
        <f t="shared" si="1823"/>
        <v>5.3541261347363367</v>
      </c>
      <c r="Q460">
        <v>0.68</v>
      </c>
      <c r="R460" t="s">
        <v>20</v>
      </c>
      <c r="S460">
        <v>0.67</v>
      </c>
      <c r="T460" t="s">
        <v>20</v>
      </c>
      <c r="U460" t="s">
        <v>20</v>
      </c>
    </row>
    <row r="461" spans="1:21" x14ac:dyDescent="0.25">
      <c r="A461" t="s">
        <v>311</v>
      </c>
      <c r="B461" s="4" t="s">
        <v>14</v>
      </c>
      <c r="C461" s="4">
        <v>1</v>
      </c>
      <c r="D461">
        <v>120</v>
      </c>
      <c r="E461">
        <v>1</v>
      </c>
      <c r="F461">
        <v>18</v>
      </c>
      <c r="G461">
        <v>0</v>
      </c>
      <c r="H461">
        <f t="shared" ref="H461" si="1824">AVERAGE(G461:G463)</f>
        <v>0</v>
      </c>
      <c r="I461">
        <f t="shared" ref="I461" si="1825">_xlfn.STDEV.P(G461:G463)</f>
        <v>0</v>
      </c>
      <c r="J461">
        <v>1</v>
      </c>
      <c r="K461">
        <f t="shared" ref="K461" si="1826">AVERAGE(J461:J463)</f>
        <v>1</v>
      </c>
      <c r="L461">
        <f t="shared" ref="L461" si="1827">_xlfn.STDEV.P(J461:J463)</f>
        <v>0</v>
      </c>
      <c r="M461">
        <v>85</v>
      </c>
      <c r="N461">
        <f t="shared" ref="N461" si="1828">AVERAGE(M461:M463)</f>
        <v>87</v>
      </c>
      <c r="O461">
        <f t="shared" ref="O461" si="1829">_xlfn.STDEV.P(M461:M463)</f>
        <v>2</v>
      </c>
      <c r="Q461">
        <v>0.64</v>
      </c>
      <c r="R461" t="s">
        <v>20</v>
      </c>
      <c r="S461">
        <v>0.51</v>
      </c>
      <c r="T461" t="s">
        <v>20</v>
      </c>
      <c r="U461" t="s">
        <v>20</v>
      </c>
    </row>
    <row r="462" spans="1:21" x14ac:dyDescent="0.25">
      <c r="A462" t="s">
        <v>311</v>
      </c>
      <c r="B462" s="4" t="s">
        <v>14</v>
      </c>
      <c r="C462" s="4">
        <v>1</v>
      </c>
      <c r="D462" t="s">
        <v>20</v>
      </c>
      <c r="E462">
        <v>2</v>
      </c>
      <c r="F462">
        <v>32</v>
      </c>
      <c r="G462" t="s">
        <v>20</v>
      </c>
      <c r="H462">
        <f t="shared" ref="H462:I462" si="1830">H461</f>
        <v>0</v>
      </c>
      <c r="I462">
        <f t="shared" si="1830"/>
        <v>0</v>
      </c>
      <c r="J462" t="s">
        <v>20</v>
      </c>
      <c r="K462">
        <f t="shared" ref="K462:L462" si="1831">K461</f>
        <v>1</v>
      </c>
      <c r="L462">
        <f t="shared" si="1831"/>
        <v>0</v>
      </c>
      <c r="M462" t="s">
        <v>20</v>
      </c>
      <c r="N462">
        <f t="shared" ref="N462:O462" si="1832">N461</f>
        <v>87</v>
      </c>
      <c r="O462">
        <f t="shared" si="1832"/>
        <v>2</v>
      </c>
      <c r="Q462" t="s">
        <v>20</v>
      </c>
      <c r="R462" t="s">
        <v>20</v>
      </c>
      <c r="S462" t="s">
        <v>20</v>
      </c>
      <c r="T462" t="s">
        <v>20</v>
      </c>
      <c r="U462" t="s">
        <v>20</v>
      </c>
    </row>
    <row r="463" spans="1:21" x14ac:dyDescent="0.25">
      <c r="A463" t="s">
        <v>311</v>
      </c>
      <c r="B463" s="4" t="s">
        <v>14</v>
      </c>
      <c r="C463" s="4">
        <v>1</v>
      </c>
      <c r="D463">
        <v>120</v>
      </c>
      <c r="E463">
        <v>3</v>
      </c>
      <c r="F463" t="s">
        <v>20</v>
      </c>
      <c r="G463" t="s">
        <v>20</v>
      </c>
      <c r="H463">
        <f t="shared" ref="H463:I463" si="1833">H461</f>
        <v>0</v>
      </c>
      <c r="I463">
        <f t="shared" si="1833"/>
        <v>0</v>
      </c>
      <c r="J463">
        <v>1</v>
      </c>
      <c r="K463">
        <f t="shared" ref="K463:L463" si="1834">K461</f>
        <v>1</v>
      </c>
      <c r="L463">
        <f t="shared" si="1834"/>
        <v>0</v>
      </c>
      <c r="M463">
        <v>89</v>
      </c>
      <c r="N463">
        <f t="shared" ref="N463:O463" si="1835">N461</f>
        <v>87</v>
      </c>
      <c r="O463">
        <f t="shared" si="1835"/>
        <v>2</v>
      </c>
      <c r="Q463">
        <v>0.69</v>
      </c>
      <c r="R463" t="s">
        <v>20</v>
      </c>
      <c r="S463">
        <v>0.4</v>
      </c>
      <c r="T463" t="s">
        <v>20</v>
      </c>
      <c r="U463" t="s">
        <v>20</v>
      </c>
    </row>
    <row r="464" spans="1:21" x14ac:dyDescent="0.25">
      <c r="A464" t="s">
        <v>314</v>
      </c>
      <c r="B464" s="4" t="s">
        <v>14</v>
      </c>
      <c r="C464" s="4">
        <v>1</v>
      </c>
      <c r="D464">
        <v>120</v>
      </c>
      <c r="E464">
        <v>1</v>
      </c>
      <c r="F464">
        <v>30</v>
      </c>
      <c r="G464">
        <v>138</v>
      </c>
      <c r="H464">
        <f t="shared" ref="H464" si="1836">AVERAGE(G464:G466)</f>
        <v>138</v>
      </c>
      <c r="I464">
        <f t="shared" ref="I464" si="1837">_xlfn.STDEV.P(G464:G466)</f>
        <v>6.5319726474218083</v>
      </c>
      <c r="J464">
        <v>3</v>
      </c>
      <c r="K464">
        <f t="shared" ref="K464" si="1838">AVERAGE(J464:J466)</f>
        <v>2.6666666666666665</v>
      </c>
      <c r="L464">
        <f t="shared" ref="L464" si="1839">_xlfn.STDEV.P(J464:J466)</f>
        <v>0.47140452079103168</v>
      </c>
      <c r="M464">
        <v>102</v>
      </c>
      <c r="N464">
        <f t="shared" ref="N464" si="1840">AVERAGE(M464:M466)</f>
        <v>107.66666666666667</v>
      </c>
      <c r="O464">
        <f t="shared" ref="O464" si="1841">_xlfn.STDEV.P(M464:M466)</f>
        <v>7.3181661333667165</v>
      </c>
      <c r="P464">
        <v>186</v>
      </c>
      <c r="Q464">
        <v>0.61</v>
      </c>
      <c r="R464">
        <v>113.46</v>
      </c>
      <c r="S464">
        <v>0.74</v>
      </c>
      <c r="T464">
        <v>137.63999999999999</v>
      </c>
      <c r="U464" t="s">
        <v>20</v>
      </c>
    </row>
    <row r="465" spans="1:21" x14ac:dyDescent="0.25">
      <c r="A465" t="s">
        <v>314</v>
      </c>
      <c r="B465" s="4" t="s">
        <v>14</v>
      </c>
      <c r="C465" s="4">
        <v>1</v>
      </c>
      <c r="D465">
        <v>120</v>
      </c>
      <c r="E465">
        <v>2</v>
      </c>
      <c r="F465">
        <v>22</v>
      </c>
      <c r="G465">
        <v>146</v>
      </c>
      <c r="H465">
        <f t="shared" ref="H465:I465" si="1842">H464</f>
        <v>138</v>
      </c>
      <c r="I465">
        <f t="shared" si="1842"/>
        <v>6.5319726474218083</v>
      </c>
      <c r="J465">
        <v>3</v>
      </c>
      <c r="K465">
        <f t="shared" ref="K465:L465" si="1843">K464</f>
        <v>2.6666666666666665</v>
      </c>
      <c r="L465">
        <f t="shared" si="1843"/>
        <v>0.47140452079103168</v>
      </c>
      <c r="M465">
        <v>118</v>
      </c>
      <c r="N465">
        <f t="shared" ref="N465:O465" si="1844">N464</f>
        <v>107.66666666666667</v>
      </c>
      <c r="O465">
        <f t="shared" si="1844"/>
        <v>7.3181661333667165</v>
      </c>
      <c r="P465">
        <v>181</v>
      </c>
      <c r="Q465">
        <v>0.63</v>
      </c>
      <c r="R465">
        <v>114.03</v>
      </c>
      <c r="S465">
        <v>0.72</v>
      </c>
      <c r="T465">
        <v>130.32</v>
      </c>
      <c r="U465" t="s">
        <v>20</v>
      </c>
    </row>
    <row r="466" spans="1:21" x14ac:dyDescent="0.25">
      <c r="A466" t="s">
        <v>314</v>
      </c>
      <c r="B466" s="4" t="s">
        <v>14</v>
      </c>
      <c r="C466" s="4">
        <v>1</v>
      </c>
      <c r="D466">
        <v>120</v>
      </c>
      <c r="E466">
        <v>3</v>
      </c>
      <c r="F466" t="s">
        <v>20</v>
      </c>
      <c r="G466">
        <v>130</v>
      </c>
      <c r="H466">
        <f t="shared" ref="H466:I466" si="1845">H464</f>
        <v>138</v>
      </c>
      <c r="I466">
        <f t="shared" si="1845"/>
        <v>6.5319726474218083</v>
      </c>
      <c r="J466">
        <v>2</v>
      </c>
      <c r="K466">
        <f t="shared" ref="K466:L466" si="1846">K464</f>
        <v>2.6666666666666665</v>
      </c>
      <c r="L466">
        <f t="shared" si="1846"/>
        <v>0.47140452079103168</v>
      </c>
      <c r="M466">
        <v>103</v>
      </c>
      <c r="N466">
        <f t="shared" ref="N466:O466" si="1847">N464</f>
        <v>107.66666666666667</v>
      </c>
      <c r="O466">
        <f t="shared" si="1847"/>
        <v>7.3181661333667165</v>
      </c>
      <c r="P466">
        <v>186</v>
      </c>
      <c r="Q466">
        <v>0.51</v>
      </c>
      <c r="R466">
        <v>94.86</v>
      </c>
      <c r="S466">
        <v>0.3</v>
      </c>
      <c r="T466">
        <v>55.8</v>
      </c>
      <c r="U466" t="s">
        <v>20</v>
      </c>
    </row>
    <row r="467" spans="1:21" x14ac:dyDescent="0.25">
      <c r="A467" t="s">
        <v>315</v>
      </c>
      <c r="B467" s="4" t="s">
        <v>14</v>
      </c>
      <c r="C467" s="4">
        <v>1</v>
      </c>
      <c r="D467">
        <v>120</v>
      </c>
      <c r="E467">
        <v>1</v>
      </c>
      <c r="F467">
        <v>44</v>
      </c>
      <c r="G467">
        <v>137</v>
      </c>
      <c r="H467">
        <f t="shared" ref="H467" si="1848">AVERAGE(G467:G469)</f>
        <v>132</v>
      </c>
      <c r="I467">
        <f t="shared" ref="I467" si="1849">_xlfn.STDEV.P(G467:G469)</f>
        <v>7.7888809636986149</v>
      </c>
      <c r="J467">
        <v>7</v>
      </c>
      <c r="K467">
        <f t="shared" ref="K467" si="1850">AVERAGE(J467:J469)</f>
        <v>8.3333333333333339</v>
      </c>
      <c r="L467">
        <f t="shared" ref="L467" si="1851">_xlfn.STDEV.P(J467:J469)</f>
        <v>1.8856180831641267</v>
      </c>
      <c r="M467">
        <v>104</v>
      </c>
      <c r="N467">
        <f t="shared" ref="N467" si="1852">AVERAGE(M467:M469)</f>
        <v>103</v>
      </c>
      <c r="O467">
        <f t="shared" ref="O467" si="1853">_xlfn.STDEV.P(M467:M469)</f>
        <v>4.5460605656619517</v>
      </c>
      <c r="P467">
        <v>187</v>
      </c>
      <c r="Q467">
        <v>0.73</v>
      </c>
      <c r="R467">
        <v>136.51</v>
      </c>
      <c r="S467">
        <v>0.6</v>
      </c>
      <c r="T467">
        <v>112.2</v>
      </c>
      <c r="U467" t="s">
        <v>20</v>
      </c>
    </row>
    <row r="468" spans="1:21" x14ac:dyDescent="0.25">
      <c r="A468" t="s">
        <v>315</v>
      </c>
      <c r="B468" s="4" t="s">
        <v>14</v>
      </c>
      <c r="C468" s="4">
        <v>1</v>
      </c>
      <c r="D468">
        <v>120</v>
      </c>
      <c r="E468">
        <v>2</v>
      </c>
      <c r="F468" t="s">
        <v>20</v>
      </c>
      <c r="G468">
        <v>138</v>
      </c>
      <c r="H468">
        <f t="shared" ref="H468:I468" si="1854">H467</f>
        <v>132</v>
      </c>
      <c r="I468">
        <f t="shared" si="1854"/>
        <v>7.7888809636986149</v>
      </c>
      <c r="J468">
        <v>7</v>
      </c>
      <c r="K468">
        <f t="shared" ref="K468:L468" si="1855">K467</f>
        <v>8.3333333333333339</v>
      </c>
      <c r="L468">
        <f t="shared" si="1855"/>
        <v>1.8856180831641267</v>
      </c>
      <c r="M468">
        <v>97</v>
      </c>
      <c r="N468">
        <f t="shared" ref="N468:O468" si="1856">N467</f>
        <v>103</v>
      </c>
      <c r="O468">
        <f t="shared" si="1856"/>
        <v>4.5460605656619517</v>
      </c>
      <c r="P468">
        <v>186</v>
      </c>
      <c r="Q468">
        <v>0.73</v>
      </c>
      <c r="R468">
        <v>135.78</v>
      </c>
      <c r="S468">
        <v>0.79</v>
      </c>
      <c r="T468">
        <v>146.94</v>
      </c>
      <c r="U468" t="s">
        <v>20</v>
      </c>
    </row>
    <row r="469" spans="1:21" x14ac:dyDescent="0.25">
      <c r="A469" t="s">
        <v>315</v>
      </c>
      <c r="B469" s="4" t="s">
        <v>14</v>
      </c>
      <c r="C469" s="4">
        <v>1</v>
      </c>
      <c r="D469">
        <v>120</v>
      </c>
      <c r="E469">
        <v>3</v>
      </c>
      <c r="F469" t="s">
        <v>20</v>
      </c>
      <c r="G469">
        <v>121</v>
      </c>
      <c r="H469">
        <f t="shared" ref="H469:I469" si="1857">H467</f>
        <v>132</v>
      </c>
      <c r="I469">
        <f t="shared" si="1857"/>
        <v>7.7888809636986149</v>
      </c>
      <c r="J469">
        <v>11</v>
      </c>
      <c r="K469">
        <f t="shared" ref="K469:L469" si="1858">K467</f>
        <v>8.3333333333333339</v>
      </c>
      <c r="L469">
        <f t="shared" si="1858"/>
        <v>1.8856180831641267</v>
      </c>
      <c r="M469">
        <v>108</v>
      </c>
      <c r="N469">
        <f t="shared" ref="N469:O469" si="1859">N467</f>
        <v>103</v>
      </c>
      <c r="O469">
        <f t="shared" si="1859"/>
        <v>4.5460605656619517</v>
      </c>
      <c r="P469">
        <v>192</v>
      </c>
      <c r="Q469">
        <v>0.66</v>
      </c>
      <c r="R469">
        <v>126.72</v>
      </c>
      <c r="S469">
        <v>0.6</v>
      </c>
      <c r="T469">
        <v>115.19999999999999</v>
      </c>
      <c r="U469" t="s">
        <v>20</v>
      </c>
    </row>
    <row r="470" spans="1:21" x14ac:dyDescent="0.25">
      <c r="A470" t="s">
        <v>316</v>
      </c>
      <c r="B470" s="4" t="s">
        <v>14</v>
      </c>
      <c r="C470" s="4">
        <v>1</v>
      </c>
      <c r="D470">
        <v>120</v>
      </c>
      <c r="E470">
        <v>1</v>
      </c>
      <c r="F470">
        <v>26</v>
      </c>
      <c r="G470">
        <v>141</v>
      </c>
      <c r="H470">
        <f t="shared" ref="H470" si="1860">AVERAGE(G470:G472)</f>
        <v>139.33333333333334</v>
      </c>
      <c r="I470">
        <f t="shared" ref="I470" si="1861">_xlfn.STDEV.P(G470:G472)</f>
        <v>1.247219128924647</v>
      </c>
      <c r="J470">
        <v>6</v>
      </c>
      <c r="K470">
        <f t="shared" ref="K470" si="1862">AVERAGE(J470:J472)</f>
        <v>7.666666666666667</v>
      </c>
      <c r="L470">
        <f t="shared" ref="L470" si="1863">_xlfn.STDEV.P(J470:J472)</f>
        <v>2.3570226039551585</v>
      </c>
      <c r="M470">
        <v>88</v>
      </c>
      <c r="N470">
        <f t="shared" ref="N470" si="1864">AVERAGE(M470:M472)</f>
        <v>90.666666666666671</v>
      </c>
      <c r="O470">
        <f t="shared" ref="O470" si="1865">_xlfn.STDEV.P(M470:M472)</f>
        <v>3.0912061651652345</v>
      </c>
      <c r="P470">
        <v>180</v>
      </c>
      <c r="Q470">
        <v>0.74</v>
      </c>
      <c r="R470">
        <v>133.19999999999999</v>
      </c>
      <c r="S470">
        <v>0.65</v>
      </c>
      <c r="T470">
        <v>117</v>
      </c>
      <c r="U470" t="s">
        <v>20</v>
      </c>
    </row>
    <row r="471" spans="1:21" x14ac:dyDescent="0.25">
      <c r="A471" t="s">
        <v>316</v>
      </c>
      <c r="B471" s="4" t="s">
        <v>14</v>
      </c>
      <c r="C471" s="4">
        <v>1</v>
      </c>
      <c r="D471">
        <v>120</v>
      </c>
      <c r="E471">
        <v>2</v>
      </c>
      <c r="F471">
        <v>22</v>
      </c>
      <c r="G471">
        <v>139</v>
      </c>
      <c r="H471">
        <f t="shared" ref="H471:I471" si="1866">H470</f>
        <v>139.33333333333334</v>
      </c>
      <c r="I471">
        <f t="shared" si="1866"/>
        <v>1.247219128924647</v>
      </c>
      <c r="J471">
        <v>6</v>
      </c>
      <c r="K471">
        <f t="shared" ref="K471:L471" si="1867">K470</f>
        <v>7.666666666666667</v>
      </c>
      <c r="L471">
        <f t="shared" si="1867"/>
        <v>2.3570226039551585</v>
      </c>
      <c r="M471">
        <v>95</v>
      </c>
      <c r="N471">
        <f t="shared" ref="N471:O471" si="1868">N470</f>
        <v>90.666666666666671</v>
      </c>
      <c r="O471">
        <f t="shared" si="1868"/>
        <v>3.0912061651652345</v>
      </c>
      <c r="P471">
        <v>177</v>
      </c>
      <c r="Q471">
        <v>0.72</v>
      </c>
      <c r="R471">
        <v>127.44</v>
      </c>
      <c r="S471">
        <v>0.68</v>
      </c>
      <c r="T471">
        <v>120.36000000000001</v>
      </c>
      <c r="U471" t="s">
        <v>20</v>
      </c>
    </row>
    <row r="472" spans="1:21" x14ac:dyDescent="0.25">
      <c r="A472" t="s">
        <v>316</v>
      </c>
      <c r="B472" s="4" t="s">
        <v>14</v>
      </c>
      <c r="C472" s="4">
        <v>1</v>
      </c>
      <c r="D472">
        <v>120</v>
      </c>
      <c r="E472">
        <v>3</v>
      </c>
      <c r="F472" t="s">
        <v>20</v>
      </c>
      <c r="G472">
        <v>138</v>
      </c>
      <c r="H472">
        <f t="shared" ref="H472:I472" si="1869">H470</f>
        <v>139.33333333333334</v>
      </c>
      <c r="I472">
        <f t="shared" si="1869"/>
        <v>1.247219128924647</v>
      </c>
      <c r="J472">
        <v>11</v>
      </c>
      <c r="K472">
        <f t="shared" ref="K472:L472" si="1870">K470</f>
        <v>7.666666666666667</v>
      </c>
      <c r="L472">
        <f t="shared" si="1870"/>
        <v>2.3570226039551585</v>
      </c>
      <c r="M472">
        <v>89</v>
      </c>
      <c r="N472">
        <f t="shared" ref="N472:O472" si="1871">N470</f>
        <v>90.666666666666671</v>
      </c>
      <c r="O472">
        <f t="shared" si="1871"/>
        <v>3.0912061651652345</v>
      </c>
      <c r="P472">
        <v>186</v>
      </c>
      <c r="Q472">
        <v>0.73</v>
      </c>
      <c r="R472">
        <v>135.78</v>
      </c>
      <c r="S472">
        <v>0.67</v>
      </c>
      <c r="T472">
        <v>124.62</v>
      </c>
      <c r="U472" t="s">
        <v>20</v>
      </c>
    </row>
    <row r="473" spans="1:21" x14ac:dyDescent="0.25">
      <c r="A473" t="s">
        <v>317</v>
      </c>
      <c r="B473" s="4" t="s">
        <v>14</v>
      </c>
      <c r="C473" s="4">
        <v>1</v>
      </c>
      <c r="D473">
        <v>120</v>
      </c>
      <c r="E473">
        <v>1</v>
      </c>
      <c r="F473">
        <v>18</v>
      </c>
      <c r="G473">
        <v>120</v>
      </c>
      <c r="H473">
        <f t="shared" ref="H473" si="1872">AVERAGE(G473:G475)</f>
        <v>128.66666666666666</v>
      </c>
      <c r="I473">
        <f t="shared" ref="I473" si="1873">_xlfn.STDEV.P(G473:G475)</f>
        <v>6.5996632910744433</v>
      </c>
      <c r="J473">
        <v>4</v>
      </c>
      <c r="K473">
        <f t="shared" ref="K473" si="1874">AVERAGE(J473:J475)</f>
        <v>4.333333333333333</v>
      </c>
      <c r="L473">
        <f t="shared" ref="L473" si="1875">_xlfn.STDEV.P(J473:J475)</f>
        <v>1.247219128924647</v>
      </c>
      <c r="M473">
        <v>102</v>
      </c>
      <c r="N473">
        <f t="shared" ref="N473" si="1876">AVERAGE(M473:M475)</f>
        <v>90.666666666666671</v>
      </c>
      <c r="O473">
        <f t="shared" ref="O473" si="1877">_xlfn.STDEV.P(M473:M475)</f>
        <v>9.3926685357369148</v>
      </c>
      <c r="P473">
        <v>187</v>
      </c>
      <c r="Q473">
        <v>0.48</v>
      </c>
      <c r="R473">
        <v>89.759999999999991</v>
      </c>
      <c r="S473">
        <v>0.65</v>
      </c>
      <c r="T473">
        <v>121.55</v>
      </c>
      <c r="U473" t="s">
        <v>20</v>
      </c>
    </row>
    <row r="474" spans="1:21" x14ac:dyDescent="0.25">
      <c r="A474" t="s">
        <v>317</v>
      </c>
      <c r="B474" s="4" t="s">
        <v>14</v>
      </c>
      <c r="C474" s="4">
        <v>1</v>
      </c>
      <c r="D474">
        <v>120</v>
      </c>
      <c r="E474">
        <v>2</v>
      </c>
      <c r="F474" t="s">
        <v>20</v>
      </c>
      <c r="G474">
        <v>136</v>
      </c>
      <c r="H474">
        <f t="shared" ref="H474:I474" si="1878">H473</f>
        <v>128.66666666666666</v>
      </c>
      <c r="I474">
        <f t="shared" si="1878"/>
        <v>6.5996632910744433</v>
      </c>
      <c r="J474">
        <v>6</v>
      </c>
      <c r="K474">
        <f t="shared" ref="K474:L474" si="1879">K473</f>
        <v>4.333333333333333</v>
      </c>
      <c r="L474">
        <f t="shared" si="1879"/>
        <v>1.247219128924647</v>
      </c>
      <c r="M474">
        <v>91</v>
      </c>
      <c r="N474">
        <f t="shared" ref="N474:O474" si="1880">N473</f>
        <v>90.666666666666671</v>
      </c>
      <c r="O474">
        <f t="shared" si="1880"/>
        <v>9.3926685357369148</v>
      </c>
      <c r="P474">
        <v>181</v>
      </c>
      <c r="Q474">
        <v>0.56000000000000005</v>
      </c>
      <c r="R474">
        <v>101.36000000000001</v>
      </c>
      <c r="S474">
        <v>0.34</v>
      </c>
      <c r="T474">
        <v>61.540000000000006</v>
      </c>
      <c r="U474" t="s">
        <v>20</v>
      </c>
    </row>
    <row r="475" spans="1:21" x14ac:dyDescent="0.25">
      <c r="A475" t="s">
        <v>317</v>
      </c>
      <c r="B475" s="4" t="s">
        <v>14</v>
      </c>
      <c r="C475" s="4">
        <v>1</v>
      </c>
      <c r="D475">
        <v>120</v>
      </c>
      <c r="E475">
        <v>3</v>
      </c>
      <c r="F475" t="s">
        <v>20</v>
      </c>
      <c r="G475">
        <v>130</v>
      </c>
      <c r="H475">
        <f t="shared" ref="H475:I475" si="1881">H473</f>
        <v>128.66666666666666</v>
      </c>
      <c r="I475">
        <f t="shared" si="1881"/>
        <v>6.5996632910744433</v>
      </c>
      <c r="J475">
        <v>3</v>
      </c>
      <c r="K475">
        <f t="shared" ref="K475:L475" si="1882">K473</f>
        <v>4.333333333333333</v>
      </c>
      <c r="L475">
        <f t="shared" si="1882"/>
        <v>1.247219128924647</v>
      </c>
      <c r="M475">
        <v>79</v>
      </c>
      <c r="N475">
        <f t="shared" ref="N475:O475" si="1883">N473</f>
        <v>90.666666666666671</v>
      </c>
      <c r="O475">
        <f t="shared" si="1883"/>
        <v>9.3926685357369148</v>
      </c>
      <c r="P475">
        <v>192</v>
      </c>
      <c r="Q475">
        <v>0.46</v>
      </c>
      <c r="R475">
        <v>88.320000000000007</v>
      </c>
      <c r="S475">
        <v>0.3</v>
      </c>
      <c r="T475">
        <v>57.599999999999994</v>
      </c>
      <c r="U475" t="s">
        <v>20</v>
      </c>
    </row>
    <row r="476" spans="1:21" x14ac:dyDescent="0.25">
      <c r="A476" t="s">
        <v>318</v>
      </c>
      <c r="B476" s="4" t="s">
        <v>14</v>
      </c>
      <c r="C476" s="1">
        <v>2</v>
      </c>
      <c r="D476">
        <v>120</v>
      </c>
      <c r="E476">
        <v>1</v>
      </c>
      <c r="F476">
        <v>68</v>
      </c>
      <c r="G476">
        <v>82</v>
      </c>
      <c r="H476">
        <f t="shared" ref="H476" si="1884">AVERAGE(G476:G478)</f>
        <v>82.333333333333329</v>
      </c>
      <c r="I476">
        <f t="shared" ref="I476" si="1885">_xlfn.STDEV.P(G476:G478)</f>
        <v>0.47140452079103168</v>
      </c>
      <c r="J476">
        <v>2</v>
      </c>
      <c r="K476">
        <f t="shared" ref="K476" si="1886">AVERAGE(J476:J478)</f>
        <v>3.3333333333333335</v>
      </c>
      <c r="L476">
        <f t="shared" ref="L476" si="1887">_xlfn.STDEV.P(J476:J478)</f>
        <v>1.247219128924647</v>
      </c>
      <c r="M476">
        <v>97</v>
      </c>
      <c r="N476">
        <f t="shared" ref="N476" si="1888">AVERAGE(M476:M478)</f>
        <v>91</v>
      </c>
      <c r="O476">
        <f t="shared" ref="O476" si="1889">_xlfn.STDEV.P(M476:M478)</f>
        <v>9.2014491612281741</v>
      </c>
      <c r="P476">
        <v>128</v>
      </c>
      <c r="Q476">
        <v>0.61</v>
      </c>
      <c r="R476">
        <v>78.08</v>
      </c>
      <c r="S476">
        <v>0.69</v>
      </c>
      <c r="T476">
        <v>88.32</v>
      </c>
      <c r="U476">
        <v>13.48</v>
      </c>
    </row>
    <row r="477" spans="1:21" x14ac:dyDescent="0.25">
      <c r="A477" t="s">
        <v>318</v>
      </c>
      <c r="B477" s="4" t="s">
        <v>14</v>
      </c>
      <c r="C477" s="1">
        <v>2</v>
      </c>
      <c r="D477">
        <v>120</v>
      </c>
      <c r="E477">
        <v>2</v>
      </c>
      <c r="F477" t="s">
        <v>20</v>
      </c>
      <c r="G477">
        <v>82</v>
      </c>
      <c r="H477">
        <f t="shared" ref="H477:I477" si="1890">H476</f>
        <v>82.333333333333329</v>
      </c>
      <c r="I477">
        <f t="shared" si="1890"/>
        <v>0.47140452079103168</v>
      </c>
      <c r="J477">
        <v>5</v>
      </c>
      <c r="K477">
        <f t="shared" ref="K477:L477" si="1891">K476</f>
        <v>3.3333333333333335</v>
      </c>
      <c r="L477">
        <f t="shared" si="1891"/>
        <v>1.247219128924647</v>
      </c>
      <c r="M477">
        <v>78</v>
      </c>
      <c r="N477">
        <f t="shared" ref="N477:O477" si="1892">N476</f>
        <v>91</v>
      </c>
      <c r="O477">
        <f t="shared" si="1892"/>
        <v>9.2014491612281741</v>
      </c>
      <c r="P477">
        <v>128</v>
      </c>
      <c r="Q477">
        <v>0.56000000000000005</v>
      </c>
      <c r="R477">
        <v>71.680000000000007</v>
      </c>
      <c r="S477">
        <v>0.65</v>
      </c>
      <c r="T477">
        <v>83.2</v>
      </c>
      <c r="U477">
        <v>13.88</v>
      </c>
    </row>
    <row r="478" spans="1:21" x14ac:dyDescent="0.25">
      <c r="A478" t="s">
        <v>318</v>
      </c>
      <c r="B478" s="4" t="s">
        <v>14</v>
      </c>
      <c r="C478" s="1">
        <v>2</v>
      </c>
      <c r="D478">
        <v>120</v>
      </c>
      <c r="E478">
        <v>3</v>
      </c>
      <c r="F478" t="s">
        <v>20</v>
      </c>
      <c r="G478">
        <v>83</v>
      </c>
      <c r="H478">
        <f t="shared" ref="H478:I478" si="1893">H476</f>
        <v>82.333333333333329</v>
      </c>
      <c r="I478">
        <f t="shared" si="1893"/>
        <v>0.47140452079103168</v>
      </c>
      <c r="J478">
        <v>3</v>
      </c>
      <c r="K478">
        <f t="shared" ref="K478:L478" si="1894">K476</f>
        <v>3.3333333333333335</v>
      </c>
      <c r="L478">
        <f t="shared" si="1894"/>
        <v>1.247219128924647</v>
      </c>
      <c r="M478">
        <v>98</v>
      </c>
      <c r="N478">
        <f t="shared" ref="N478:O478" si="1895">N476</f>
        <v>91</v>
      </c>
      <c r="O478">
        <f t="shared" si="1895"/>
        <v>9.2014491612281741</v>
      </c>
      <c r="P478">
        <v>128</v>
      </c>
      <c r="Q478">
        <v>0.57999999999999996</v>
      </c>
      <c r="R478">
        <v>74.239999999999995</v>
      </c>
      <c r="S478">
        <v>0.61</v>
      </c>
      <c r="T478">
        <v>78.08</v>
      </c>
      <c r="U478">
        <v>15.63</v>
      </c>
    </row>
    <row r="479" spans="1:21" x14ac:dyDescent="0.25">
      <c r="A479" t="s">
        <v>319</v>
      </c>
      <c r="B479" s="4" t="s">
        <v>14</v>
      </c>
      <c r="C479" s="1">
        <v>1</v>
      </c>
      <c r="D479">
        <v>120</v>
      </c>
      <c r="E479">
        <v>1</v>
      </c>
      <c r="F479">
        <v>50</v>
      </c>
      <c r="G479">
        <v>121</v>
      </c>
      <c r="H479">
        <f t="shared" ref="H479" si="1896">AVERAGE(G479:G481)</f>
        <v>120</v>
      </c>
      <c r="I479">
        <f t="shared" ref="I479" si="1897">_xlfn.STDEV.P(G479:G481)</f>
        <v>1.4142135623730951</v>
      </c>
      <c r="J479">
        <v>2</v>
      </c>
      <c r="K479">
        <f t="shared" ref="K479" si="1898">AVERAGE(J479:J481)</f>
        <v>1</v>
      </c>
      <c r="L479">
        <f t="shared" ref="L479" si="1899">_xlfn.STDEV.P(J479:J481)</f>
        <v>0.81649658092772603</v>
      </c>
      <c r="M479">
        <v>111</v>
      </c>
      <c r="N479">
        <f t="shared" ref="N479" si="1900">AVERAGE(M479:M481)</f>
        <v>106</v>
      </c>
      <c r="O479">
        <f t="shared" ref="O479" si="1901">_xlfn.STDEV.P(M479:M481)</f>
        <v>3.7416573867739413</v>
      </c>
      <c r="P479">
        <v>183</v>
      </c>
      <c r="Q479">
        <v>0.42</v>
      </c>
      <c r="R479">
        <v>76.86</v>
      </c>
      <c r="S479">
        <v>0.43</v>
      </c>
      <c r="T479">
        <v>78.69</v>
      </c>
      <c r="U479" t="s">
        <v>20</v>
      </c>
    </row>
    <row r="480" spans="1:21" x14ac:dyDescent="0.25">
      <c r="A480" t="s">
        <v>319</v>
      </c>
      <c r="B480" s="4" t="s">
        <v>14</v>
      </c>
      <c r="C480" s="1">
        <v>1</v>
      </c>
      <c r="D480">
        <v>120</v>
      </c>
      <c r="E480">
        <v>2</v>
      </c>
      <c r="F480" t="s">
        <v>20</v>
      </c>
      <c r="G480">
        <v>121</v>
      </c>
      <c r="H480">
        <f t="shared" ref="H480:I480" si="1902">H479</f>
        <v>120</v>
      </c>
      <c r="I480">
        <f t="shared" si="1902"/>
        <v>1.4142135623730951</v>
      </c>
      <c r="J480">
        <v>0</v>
      </c>
      <c r="K480">
        <f t="shared" ref="K480:L480" si="1903">K479</f>
        <v>1</v>
      </c>
      <c r="L480">
        <f t="shared" si="1903"/>
        <v>0.81649658092772603</v>
      </c>
      <c r="M480">
        <v>102</v>
      </c>
      <c r="N480">
        <f t="shared" ref="N480:O480" si="1904">N479</f>
        <v>106</v>
      </c>
      <c r="O480">
        <f t="shared" si="1904"/>
        <v>3.7416573867739413</v>
      </c>
      <c r="P480">
        <v>177</v>
      </c>
      <c r="Q480">
        <v>0.34</v>
      </c>
      <c r="R480">
        <v>60.180000000000007</v>
      </c>
      <c r="S480">
        <v>0.3</v>
      </c>
      <c r="T480">
        <v>53.1</v>
      </c>
      <c r="U480" t="s">
        <v>20</v>
      </c>
    </row>
    <row r="481" spans="1:21" x14ac:dyDescent="0.25">
      <c r="A481" t="s">
        <v>319</v>
      </c>
      <c r="B481" s="4" t="s">
        <v>14</v>
      </c>
      <c r="C481" s="1">
        <v>1</v>
      </c>
      <c r="D481">
        <v>120</v>
      </c>
      <c r="E481">
        <v>3</v>
      </c>
      <c r="F481" t="s">
        <v>20</v>
      </c>
      <c r="G481">
        <v>118</v>
      </c>
      <c r="H481">
        <f t="shared" ref="H481:I481" si="1905">H479</f>
        <v>120</v>
      </c>
      <c r="I481">
        <f t="shared" si="1905"/>
        <v>1.4142135623730951</v>
      </c>
      <c r="J481">
        <v>1</v>
      </c>
      <c r="K481">
        <f t="shared" ref="K481:L481" si="1906">K479</f>
        <v>1</v>
      </c>
      <c r="L481">
        <f t="shared" si="1906"/>
        <v>0.81649658092772603</v>
      </c>
      <c r="M481">
        <v>105</v>
      </c>
      <c r="N481">
        <f t="shared" ref="N481:O481" si="1907">N479</f>
        <v>106</v>
      </c>
      <c r="O481">
        <f t="shared" si="1907"/>
        <v>3.7416573867739413</v>
      </c>
      <c r="P481">
        <v>192</v>
      </c>
      <c r="Q481">
        <v>0.38</v>
      </c>
      <c r="R481">
        <v>72.960000000000008</v>
      </c>
      <c r="S481">
        <v>0.4</v>
      </c>
      <c r="T481">
        <v>76.800000000000011</v>
      </c>
      <c r="U481" t="s">
        <v>20</v>
      </c>
    </row>
    <row r="482" spans="1:21" x14ac:dyDescent="0.25">
      <c r="A482" t="s">
        <v>320</v>
      </c>
      <c r="B482" s="4" t="s">
        <v>49</v>
      </c>
      <c r="C482" s="1">
        <v>4</v>
      </c>
      <c r="D482">
        <v>120</v>
      </c>
      <c r="E482">
        <v>1</v>
      </c>
      <c r="F482">
        <v>58</v>
      </c>
      <c r="G482">
        <v>91</v>
      </c>
      <c r="H482">
        <f t="shared" ref="H482" si="1908">AVERAGE(G482:G484)</f>
        <v>96.333333333333329</v>
      </c>
      <c r="I482">
        <f t="shared" ref="I482" si="1909">_xlfn.STDEV.P(G482:G484)</f>
        <v>3.7712361663282534</v>
      </c>
      <c r="J482">
        <v>2</v>
      </c>
      <c r="K482">
        <f t="shared" ref="K482" si="1910">AVERAGE(J482:J484)</f>
        <v>1.3333333333333333</v>
      </c>
      <c r="L482">
        <f t="shared" ref="L482" si="1911">_xlfn.STDEV.P(J482:J484)</f>
        <v>0.47140452079103168</v>
      </c>
      <c r="M482">
        <v>102</v>
      </c>
      <c r="N482">
        <f t="shared" ref="N482" si="1912">AVERAGE(M482:M484)</f>
        <v>110</v>
      </c>
      <c r="O482">
        <f t="shared" ref="O482" si="1913">_xlfn.STDEV.P(M482:M484)</f>
        <v>14.236104336041748</v>
      </c>
      <c r="P482">
        <v>152</v>
      </c>
      <c r="Q482">
        <v>0.6</v>
      </c>
      <c r="R482">
        <v>91.2</v>
      </c>
      <c r="S482">
        <v>0.77</v>
      </c>
      <c r="T482">
        <v>117.04</v>
      </c>
      <c r="U482">
        <v>13.83</v>
      </c>
    </row>
    <row r="483" spans="1:21" x14ac:dyDescent="0.25">
      <c r="A483" t="s">
        <v>320</v>
      </c>
      <c r="B483" s="4" t="s">
        <v>49</v>
      </c>
      <c r="C483" s="1">
        <v>4</v>
      </c>
      <c r="D483">
        <v>120</v>
      </c>
      <c r="E483">
        <v>2</v>
      </c>
      <c r="F483" t="s">
        <v>20</v>
      </c>
      <c r="G483">
        <v>99</v>
      </c>
      <c r="H483">
        <f t="shared" ref="H483:I483" si="1914">H482</f>
        <v>96.333333333333329</v>
      </c>
      <c r="I483">
        <f t="shared" si="1914"/>
        <v>3.7712361663282534</v>
      </c>
      <c r="J483">
        <v>1</v>
      </c>
      <c r="K483">
        <f t="shared" ref="K483:L483" si="1915">K482</f>
        <v>1.3333333333333333</v>
      </c>
      <c r="L483">
        <f t="shared" si="1915"/>
        <v>0.47140452079103168</v>
      </c>
      <c r="M483">
        <v>130</v>
      </c>
      <c r="N483">
        <f t="shared" ref="N483:O483" si="1916">N482</f>
        <v>110</v>
      </c>
      <c r="O483">
        <f t="shared" si="1916"/>
        <v>14.236104336041748</v>
      </c>
      <c r="P483">
        <v>138</v>
      </c>
      <c r="Q483">
        <v>0.66</v>
      </c>
      <c r="R483">
        <v>91.08</v>
      </c>
      <c r="S483">
        <v>0.75</v>
      </c>
      <c r="T483">
        <v>103.5</v>
      </c>
      <c r="U483">
        <v>17.16</v>
      </c>
    </row>
    <row r="484" spans="1:21" x14ac:dyDescent="0.25">
      <c r="A484" t="s">
        <v>320</v>
      </c>
      <c r="B484" s="4" t="s">
        <v>49</v>
      </c>
      <c r="C484" s="1">
        <v>4</v>
      </c>
      <c r="D484">
        <v>120</v>
      </c>
      <c r="E484">
        <v>3</v>
      </c>
      <c r="F484" t="s">
        <v>20</v>
      </c>
      <c r="G484">
        <v>99</v>
      </c>
      <c r="H484">
        <f t="shared" ref="H484:I484" si="1917">H482</f>
        <v>96.333333333333329</v>
      </c>
      <c r="I484">
        <f t="shared" si="1917"/>
        <v>3.7712361663282534</v>
      </c>
      <c r="J484">
        <v>1</v>
      </c>
      <c r="K484">
        <f t="shared" ref="K484:L484" si="1918">K482</f>
        <v>1.3333333333333333</v>
      </c>
      <c r="L484">
        <f t="shared" si="1918"/>
        <v>0.47140452079103168</v>
      </c>
      <c r="M484">
        <v>98</v>
      </c>
      <c r="N484">
        <f t="shared" ref="N484:O484" si="1919">N482</f>
        <v>110</v>
      </c>
      <c r="O484">
        <f t="shared" si="1919"/>
        <v>14.236104336041748</v>
      </c>
      <c r="P484">
        <v>153</v>
      </c>
      <c r="Q484">
        <v>0.68</v>
      </c>
      <c r="R484">
        <v>104.04</v>
      </c>
      <c r="S484">
        <v>0.76</v>
      </c>
      <c r="T484">
        <v>116.28</v>
      </c>
      <c r="U484">
        <v>13.9</v>
      </c>
    </row>
    <row r="485" spans="1:21" x14ac:dyDescent="0.25">
      <c r="A485" t="s">
        <v>321</v>
      </c>
      <c r="B485" s="4" t="s">
        <v>52</v>
      </c>
      <c r="C485" s="1">
        <v>4</v>
      </c>
      <c r="D485">
        <v>120</v>
      </c>
      <c r="E485">
        <v>1</v>
      </c>
      <c r="F485">
        <v>87</v>
      </c>
      <c r="G485">
        <v>99</v>
      </c>
      <c r="H485">
        <f t="shared" ref="H485" si="1920">AVERAGE(G485:G487)</f>
        <v>97.333333333333329</v>
      </c>
      <c r="I485">
        <f t="shared" ref="I485" si="1921">_xlfn.STDEV.P(G485:G487)</f>
        <v>2.3570226039551581</v>
      </c>
      <c r="J485">
        <v>1</v>
      </c>
      <c r="K485">
        <f t="shared" ref="K485" si="1922">AVERAGE(J485:J487)</f>
        <v>1</v>
      </c>
      <c r="L485">
        <f t="shared" ref="L485" si="1923">_xlfn.STDEV.P(J485:J487)</f>
        <v>0.81649658092772603</v>
      </c>
      <c r="M485">
        <v>94</v>
      </c>
      <c r="N485">
        <f t="shared" ref="N485" si="1924">AVERAGE(M485:M487)</f>
        <v>98.666666666666671</v>
      </c>
      <c r="O485">
        <f t="shared" ref="O485" si="1925">_xlfn.STDEV.P(M485:M487)</f>
        <v>4.1096093353126513</v>
      </c>
      <c r="P485">
        <v>152</v>
      </c>
      <c r="Q485">
        <v>0.57999999999999996</v>
      </c>
      <c r="R485">
        <v>88.16</v>
      </c>
      <c r="S485">
        <v>0.66</v>
      </c>
      <c r="T485">
        <v>100.32000000000001</v>
      </c>
      <c r="U485">
        <v>15.77</v>
      </c>
    </row>
    <row r="486" spans="1:21" x14ac:dyDescent="0.25">
      <c r="A486" t="s">
        <v>321</v>
      </c>
      <c r="B486" s="4" t="s">
        <v>52</v>
      </c>
      <c r="C486" s="1">
        <v>4</v>
      </c>
      <c r="D486">
        <v>120</v>
      </c>
      <c r="E486">
        <v>2</v>
      </c>
      <c r="F486">
        <v>90</v>
      </c>
      <c r="G486">
        <v>94</v>
      </c>
      <c r="H486">
        <f t="shared" ref="H486:I486" si="1926">H485</f>
        <v>97.333333333333329</v>
      </c>
      <c r="I486">
        <f t="shared" si="1926"/>
        <v>2.3570226039551581</v>
      </c>
      <c r="J486">
        <v>2</v>
      </c>
      <c r="K486">
        <f t="shared" ref="K486:L486" si="1927">K485</f>
        <v>1</v>
      </c>
      <c r="L486">
        <f t="shared" si="1927"/>
        <v>0.81649658092772603</v>
      </c>
      <c r="M486">
        <v>104</v>
      </c>
      <c r="N486">
        <f t="shared" ref="N486:O486" si="1928">N485</f>
        <v>98.666666666666671</v>
      </c>
      <c r="O486">
        <f t="shared" si="1928"/>
        <v>4.1096093353126513</v>
      </c>
      <c r="P486">
        <v>139</v>
      </c>
      <c r="Q486">
        <v>0.63</v>
      </c>
      <c r="R486">
        <v>87.570000000000007</v>
      </c>
      <c r="S486">
        <v>0.68</v>
      </c>
      <c r="T486">
        <v>94.52000000000001</v>
      </c>
      <c r="U486">
        <v>15.36</v>
      </c>
    </row>
    <row r="487" spans="1:21" x14ac:dyDescent="0.25">
      <c r="A487" t="s">
        <v>321</v>
      </c>
      <c r="B487" s="4" t="s">
        <v>52</v>
      </c>
      <c r="C487" s="1">
        <v>4</v>
      </c>
      <c r="D487">
        <v>120</v>
      </c>
      <c r="E487">
        <v>3</v>
      </c>
      <c r="F487" t="s">
        <v>20</v>
      </c>
      <c r="G487">
        <v>99</v>
      </c>
      <c r="H487">
        <f t="shared" ref="H487:I487" si="1929">H485</f>
        <v>97.333333333333329</v>
      </c>
      <c r="I487">
        <f t="shared" si="1929"/>
        <v>2.3570226039551581</v>
      </c>
      <c r="J487">
        <v>0</v>
      </c>
      <c r="K487">
        <f t="shared" ref="K487:L487" si="1930">K485</f>
        <v>1</v>
      </c>
      <c r="L487">
        <f t="shared" si="1930"/>
        <v>0.81649658092772603</v>
      </c>
      <c r="M487">
        <v>98</v>
      </c>
      <c r="N487">
        <f t="shared" ref="N487:O487" si="1931">N485</f>
        <v>98.666666666666671</v>
      </c>
      <c r="O487">
        <f t="shared" si="1931"/>
        <v>4.1096093353126513</v>
      </c>
      <c r="P487">
        <v>150</v>
      </c>
      <c r="Q487">
        <v>0.57999999999999996</v>
      </c>
      <c r="R487">
        <v>87</v>
      </c>
      <c r="S487">
        <v>0.55000000000000004</v>
      </c>
      <c r="T487">
        <v>82.5</v>
      </c>
      <c r="U487">
        <v>15.2</v>
      </c>
    </row>
    <row r="488" spans="1:21" x14ac:dyDescent="0.25">
      <c r="A488" t="s">
        <v>323</v>
      </c>
      <c r="B488" s="4" t="s">
        <v>49</v>
      </c>
      <c r="C488" s="1">
        <v>4</v>
      </c>
      <c r="D488">
        <v>120</v>
      </c>
      <c r="E488">
        <v>1</v>
      </c>
      <c r="F488" t="s">
        <v>20</v>
      </c>
      <c r="G488">
        <v>99</v>
      </c>
      <c r="H488">
        <f t="shared" ref="H488" si="1932">AVERAGE(G488:G490)</f>
        <v>99</v>
      </c>
      <c r="I488">
        <f t="shared" ref="I488" si="1933">_xlfn.STDEV.P(G488:G490)</f>
        <v>0</v>
      </c>
      <c r="J488">
        <v>2</v>
      </c>
      <c r="K488">
        <f t="shared" ref="K488" si="1934">AVERAGE(J488:J490)</f>
        <v>1.3333333333333333</v>
      </c>
      <c r="L488">
        <f t="shared" ref="L488" si="1935">_xlfn.STDEV.P(J488:J490)</f>
        <v>0.47140452079103168</v>
      </c>
      <c r="M488">
        <v>80</v>
      </c>
      <c r="N488">
        <f t="shared" ref="N488" si="1936">AVERAGE(M488:M490)</f>
        <v>83</v>
      </c>
      <c r="O488">
        <f t="shared" ref="O488" si="1937">_xlfn.STDEV.P(M488:M490)</f>
        <v>3.5590260840104371</v>
      </c>
      <c r="P488">
        <v>159</v>
      </c>
      <c r="Q488">
        <v>0.57999999999999996</v>
      </c>
      <c r="R488">
        <v>92.22</v>
      </c>
      <c r="S488">
        <v>0.67</v>
      </c>
      <c r="T488">
        <v>106.53</v>
      </c>
      <c r="U488">
        <v>14.77</v>
      </c>
    </row>
    <row r="489" spans="1:21" x14ac:dyDescent="0.25">
      <c r="A489" t="s">
        <v>323</v>
      </c>
      <c r="B489" s="4" t="s">
        <v>49</v>
      </c>
      <c r="C489" s="1">
        <v>4</v>
      </c>
      <c r="D489">
        <v>120</v>
      </c>
      <c r="E489">
        <v>2</v>
      </c>
      <c r="F489">
        <v>28</v>
      </c>
      <c r="G489">
        <v>99</v>
      </c>
      <c r="H489">
        <f t="shared" ref="H489:I489" si="1938">H488</f>
        <v>99</v>
      </c>
      <c r="I489">
        <f t="shared" si="1938"/>
        <v>0</v>
      </c>
      <c r="J489">
        <v>1</v>
      </c>
      <c r="K489">
        <f t="shared" ref="K489:L489" si="1939">K488</f>
        <v>1.3333333333333333</v>
      </c>
      <c r="L489">
        <f t="shared" si="1939"/>
        <v>0.47140452079103168</v>
      </c>
      <c r="M489">
        <v>88</v>
      </c>
      <c r="N489">
        <f t="shared" ref="N489:O489" si="1940">N488</f>
        <v>83</v>
      </c>
      <c r="O489">
        <f t="shared" si="1940"/>
        <v>3.5590260840104371</v>
      </c>
      <c r="P489">
        <v>159</v>
      </c>
      <c r="Q489">
        <v>0.59</v>
      </c>
      <c r="R489">
        <v>93.809999999999988</v>
      </c>
      <c r="S489">
        <v>0.56999999999999995</v>
      </c>
      <c r="T489">
        <v>90.63</v>
      </c>
      <c r="U489">
        <v>13.35</v>
      </c>
    </row>
    <row r="490" spans="1:21" x14ac:dyDescent="0.25">
      <c r="A490" t="s">
        <v>323</v>
      </c>
      <c r="B490" s="4" t="s">
        <v>49</v>
      </c>
      <c r="C490" s="1">
        <v>4</v>
      </c>
      <c r="D490">
        <v>120</v>
      </c>
      <c r="E490">
        <v>3</v>
      </c>
      <c r="F490">
        <v>20</v>
      </c>
      <c r="G490">
        <v>99</v>
      </c>
      <c r="H490">
        <f t="shared" ref="H490:I490" si="1941">H488</f>
        <v>99</v>
      </c>
      <c r="I490">
        <f t="shared" si="1941"/>
        <v>0</v>
      </c>
      <c r="J490">
        <v>1</v>
      </c>
      <c r="K490">
        <f t="shared" ref="K490:L490" si="1942">K488</f>
        <v>1.3333333333333333</v>
      </c>
      <c r="L490">
        <f t="shared" si="1942"/>
        <v>0.47140452079103168</v>
      </c>
      <c r="M490">
        <v>81</v>
      </c>
      <c r="N490">
        <f t="shared" ref="N490:O490" si="1943">N488</f>
        <v>83</v>
      </c>
      <c r="O490">
        <f t="shared" si="1943"/>
        <v>3.5590260840104371</v>
      </c>
      <c r="P490">
        <v>160</v>
      </c>
      <c r="Q490">
        <v>0.47</v>
      </c>
      <c r="R490">
        <v>75.199999999999989</v>
      </c>
      <c r="S490">
        <v>0.67</v>
      </c>
      <c r="T490">
        <v>107.2</v>
      </c>
      <c r="U490">
        <v>14.44</v>
      </c>
    </row>
    <row r="491" spans="1:21" x14ac:dyDescent="0.25">
      <c r="A491" t="s">
        <v>324</v>
      </c>
      <c r="B491" s="4" t="s">
        <v>55</v>
      </c>
      <c r="C491" s="1">
        <v>2</v>
      </c>
      <c r="D491">
        <v>120</v>
      </c>
      <c r="E491">
        <v>1</v>
      </c>
      <c r="F491">
        <v>52</v>
      </c>
      <c r="G491">
        <v>106</v>
      </c>
      <c r="H491">
        <f t="shared" ref="H491" si="1944">AVERAGE(G491:G493)</f>
        <v>106.33333333333333</v>
      </c>
      <c r="I491">
        <f t="shared" ref="I491" si="1945">_xlfn.STDEV.P(G491:G493)</f>
        <v>0.47140452079103168</v>
      </c>
      <c r="J491">
        <v>0</v>
      </c>
      <c r="K491">
        <f t="shared" ref="K491" si="1946">AVERAGE(J491:J493)</f>
        <v>0</v>
      </c>
      <c r="L491">
        <f t="shared" ref="L491" si="1947">_xlfn.STDEV.P(J491:J493)</f>
        <v>0</v>
      </c>
      <c r="M491">
        <v>125</v>
      </c>
      <c r="N491">
        <f t="shared" ref="N491" si="1948">AVERAGE(M491:M493)</f>
        <v>131.66666666666666</v>
      </c>
      <c r="O491">
        <f t="shared" ref="O491" si="1949">_xlfn.STDEV.P(M491:M493)</f>
        <v>4.7140452079103161</v>
      </c>
      <c r="P491">
        <v>159</v>
      </c>
      <c r="Q491">
        <v>0.63</v>
      </c>
      <c r="R491">
        <v>100.17</v>
      </c>
      <c r="S491">
        <v>0.67</v>
      </c>
      <c r="T491">
        <v>106.53</v>
      </c>
      <c r="U491">
        <v>18.48</v>
      </c>
    </row>
    <row r="492" spans="1:21" x14ac:dyDescent="0.25">
      <c r="A492" t="s">
        <v>324</v>
      </c>
      <c r="B492" s="4" t="s">
        <v>55</v>
      </c>
      <c r="C492" s="1">
        <v>2</v>
      </c>
      <c r="D492">
        <v>120</v>
      </c>
      <c r="E492">
        <v>2</v>
      </c>
      <c r="F492" t="s">
        <v>20</v>
      </c>
      <c r="G492">
        <v>106</v>
      </c>
      <c r="H492">
        <f t="shared" ref="H492:I492" si="1950">H491</f>
        <v>106.33333333333333</v>
      </c>
      <c r="I492">
        <f t="shared" si="1950"/>
        <v>0.47140452079103168</v>
      </c>
      <c r="J492">
        <v>0</v>
      </c>
      <c r="K492">
        <f t="shared" ref="K492:L492" si="1951">K491</f>
        <v>0</v>
      </c>
      <c r="L492">
        <f t="shared" si="1951"/>
        <v>0</v>
      </c>
      <c r="M492">
        <v>135</v>
      </c>
      <c r="N492">
        <f t="shared" ref="N492:O492" si="1952">N491</f>
        <v>131.66666666666666</v>
      </c>
      <c r="O492">
        <f t="shared" si="1952"/>
        <v>4.7140452079103161</v>
      </c>
      <c r="P492">
        <v>156</v>
      </c>
      <c r="Q492">
        <v>0.69</v>
      </c>
      <c r="R492">
        <v>107.63999999999999</v>
      </c>
      <c r="S492">
        <v>0.75</v>
      </c>
      <c r="T492">
        <v>117</v>
      </c>
      <c r="U492">
        <v>17.29</v>
      </c>
    </row>
    <row r="493" spans="1:21" x14ac:dyDescent="0.25">
      <c r="A493" t="s">
        <v>324</v>
      </c>
      <c r="B493" s="4" t="s">
        <v>55</v>
      </c>
      <c r="C493" s="1">
        <v>2</v>
      </c>
      <c r="D493">
        <v>120</v>
      </c>
      <c r="E493">
        <v>3</v>
      </c>
      <c r="F493" t="s">
        <v>20</v>
      </c>
      <c r="G493">
        <v>107</v>
      </c>
      <c r="H493">
        <f t="shared" ref="H493:I493" si="1953">H491</f>
        <v>106.33333333333333</v>
      </c>
      <c r="I493">
        <f t="shared" si="1953"/>
        <v>0.47140452079103168</v>
      </c>
      <c r="J493">
        <v>0</v>
      </c>
      <c r="K493">
        <f t="shared" ref="K493:L493" si="1954">K491</f>
        <v>0</v>
      </c>
      <c r="L493">
        <f t="shared" si="1954"/>
        <v>0</v>
      </c>
      <c r="M493">
        <v>135</v>
      </c>
      <c r="N493">
        <f t="shared" ref="N493:O493" si="1955">N491</f>
        <v>131.66666666666666</v>
      </c>
      <c r="O493">
        <f t="shared" si="1955"/>
        <v>4.7140452079103161</v>
      </c>
      <c r="P493">
        <v>160</v>
      </c>
      <c r="Q493">
        <v>0.57999999999999996</v>
      </c>
      <c r="R493">
        <v>92.8</v>
      </c>
      <c r="S493">
        <v>0.72</v>
      </c>
      <c r="T493">
        <v>115.19999999999999</v>
      </c>
      <c r="U493">
        <v>21.8</v>
      </c>
    </row>
    <row r="494" spans="1:21" x14ac:dyDescent="0.25">
      <c r="A494" t="s">
        <v>325</v>
      </c>
      <c r="B494" s="4" t="s">
        <v>14</v>
      </c>
      <c r="C494" s="4">
        <v>1</v>
      </c>
      <c r="D494">
        <v>120</v>
      </c>
      <c r="E494">
        <v>1</v>
      </c>
      <c r="F494">
        <v>64</v>
      </c>
      <c r="G494">
        <v>0</v>
      </c>
      <c r="H494">
        <f t="shared" ref="H494" si="1956">AVERAGE(G494:G496)</f>
        <v>0</v>
      </c>
      <c r="I494">
        <f t="shared" ref="I494" si="1957">_xlfn.STDEV.P(G494:G496)</f>
        <v>0</v>
      </c>
      <c r="J494">
        <v>1</v>
      </c>
      <c r="K494">
        <f t="shared" ref="K494" si="1958">AVERAGE(J494:J496)</f>
        <v>0.66666666666666663</v>
      </c>
      <c r="L494">
        <f t="shared" ref="L494" si="1959">_xlfn.STDEV.P(J494:J496)</f>
        <v>0.47140452079103168</v>
      </c>
      <c r="M494">
        <v>101</v>
      </c>
      <c r="N494">
        <f t="shared" ref="N494" si="1960">AVERAGE(M494:M496)</f>
        <v>92.333333333333329</v>
      </c>
      <c r="O494">
        <f t="shared" ref="O494" si="1961">_xlfn.STDEV.P(M494:M496)</f>
        <v>8.3798700599843574</v>
      </c>
      <c r="Q494">
        <v>0.68</v>
      </c>
      <c r="R494" t="s">
        <v>20</v>
      </c>
      <c r="S494">
        <v>0.64</v>
      </c>
      <c r="T494" t="s">
        <v>20</v>
      </c>
      <c r="U494" t="s">
        <v>20</v>
      </c>
    </row>
    <row r="495" spans="1:21" x14ac:dyDescent="0.25">
      <c r="A495" t="s">
        <v>325</v>
      </c>
      <c r="B495" s="4" t="s">
        <v>14</v>
      </c>
      <c r="C495" s="4">
        <v>1</v>
      </c>
      <c r="D495">
        <v>120</v>
      </c>
      <c r="E495">
        <v>2</v>
      </c>
      <c r="F495">
        <v>76</v>
      </c>
      <c r="G495">
        <v>0</v>
      </c>
      <c r="H495">
        <f t="shared" ref="H495:I495" si="1962">H494</f>
        <v>0</v>
      </c>
      <c r="I495">
        <f t="shared" si="1962"/>
        <v>0</v>
      </c>
      <c r="J495">
        <v>0</v>
      </c>
      <c r="K495">
        <f t="shared" ref="K495:L495" si="1963">K494</f>
        <v>0.66666666666666663</v>
      </c>
      <c r="L495">
        <f t="shared" si="1963"/>
        <v>0.47140452079103168</v>
      </c>
      <c r="M495">
        <v>95</v>
      </c>
      <c r="N495">
        <f t="shared" ref="N495:O495" si="1964">N494</f>
        <v>92.333333333333329</v>
      </c>
      <c r="O495">
        <f t="shared" si="1964"/>
        <v>8.3798700599843574</v>
      </c>
      <c r="Q495">
        <v>0.52</v>
      </c>
      <c r="R495" t="s">
        <v>20</v>
      </c>
      <c r="S495">
        <v>0.62</v>
      </c>
      <c r="T495" t="s">
        <v>20</v>
      </c>
      <c r="U495" t="s">
        <v>20</v>
      </c>
    </row>
    <row r="496" spans="1:21" x14ac:dyDescent="0.25">
      <c r="A496" t="s">
        <v>325</v>
      </c>
      <c r="B496" s="4" t="s">
        <v>14</v>
      </c>
      <c r="C496" s="4">
        <v>1</v>
      </c>
      <c r="D496">
        <v>120</v>
      </c>
      <c r="E496">
        <v>3</v>
      </c>
      <c r="F496">
        <v>84</v>
      </c>
      <c r="G496">
        <v>0</v>
      </c>
      <c r="H496">
        <f t="shared" ref="H496:I496" si="1965">H494</f>
        <v>0</v>
      </c>
      <c r="I496">
        <f t="shared" si="1965"/>
        <v>0</v>
      </c>
      <c r="J496">
        <v>1</v>
      </c>
      <c r="K496">
        <f t="shared" ref="K496:L496" si="1966">K494</f>
        <v>0.66666666666666663</v>
      </c>
      <c r="L496">
        <f t="shared" si="1966"/>
        <v>0.47140452079103168</v>
      </c>
      <c r="M496">
        <v>81</v>
      </c>
      <c r="N496">
        <f t="shared" ref="N496:O496" si="1967">N494</f>
        <v>92.333333333333329</v>
      </c>
      <c r="O496">
        <f t="shared" si="1967"/>
        <v>8.3798700599843574</v>
      </c>
      <c r="Q496">
        <v>0.56000000000000005</v>
      </c>
      <c r="R496" t="s">
        <v>20</v>
      </c>
      <c r="S496">
        <v>0.62</v>
      </c>
      <c r="T496" t="s">
        <v>20</v>
      </c>
      <c r="U496" t="s">
        <v>20</v>
      </c>
    </row>
    <row r="497" spans="1:21" x14ac:dyDescent="0.25">
      <c r="A497" t="s">
        <v>326</v>
      </c>
      <c r="B497" s="4" t="s">
        <v>49</v>
      </c>
      <c r="C497" s="1">
        <v>3</v>
      </c>
      <c r="D497">
        <v>120</v>
      </c>
      <c r="E497">
        <v>1</v>
      </c>
      <c r="F497">
        <v>22</v>
      </c>
      <c r="G497">
        <v>86</v>
      </c>
      <c r="H497">
        <f t="shared" ref="H497" si="1968">AVERAGE(G497:G499)</f>
        <v>86</v>
      </c>
      <c r="I497">
        <f t="shared" ref="I497" si="1969">_xlfn.STDEV.P(G497:G499)</f>
        <v>0</v>
      </c>
      <c r="J497">
        <v>7</v>
      </c>
      <c r="K497">
        <f t="shared" ref="K497" si="1970">AVERAGE(J497:J499)</f>
        <v>5</v>
      </c>
      <c r="L497">
        <f t="shared" ref="L497" si="1971">_xlfn.STDEV.P(J497:J499)</f>
        <v>1.4142135623730951</v>
      </c>
      <c r="M497">
        <v>104</v>
      </c>
      <c r="N497">
        <f t="shared" ref="N497" si="1972">AVERAGE(M497:M499)</f>
        <v>105</v>
      </c>
      <c r="O497">
        <f t="shared" ref="O497" si="1973">_xlfn.STDEV.P(M497:M499)</f>
        <v>5.3541261347363367</v>
      </c>
      <c r="P497">
        <v>132</v>
      </c>
      <c r="Q497">
        <v>0.63</v>
      </c>
      <c r="R497">
        <v>83.16</v>
      </c>
      <c r="S497">
        <v>0.73</v>
      </c>
      <c r="T497">
        <v>96.36</v>
      </c>
      <c r="U497">
        <v>13.67</v>
      </c>
    </row>
    <row r="498" spans="1:21" x14ac:dyDescent="0.25">
      <c r="A498" t="s">
        <v>326</v>
      </c>
      <c r="B498" s="4" t="s">
        <v>49</v>
      </c>
      <c r="C498" s="1">
        <v>3</v>
      </c>
      <c r="D498">
        <v>120</v>
      </c>
      <c r="E498">
        <v>2</v>
      </c>
      <c r="F498">
        <v>42</v>
      </c>
      <c r="G498">
        <v>86</v>
      </c>
      <c r="H498">
        <f t="shared" ref="H498:I498" si="1974">H497</f>
        <v>86</v>
      </c>
      <c r="I498">
        <f t="shared" si="1974"/>
        <v>0</v>
      </c>
      <c r="J498">
        <v>4</v>
      </c>
      <c r="K498">
        <f t="shared" ref="K498:L498" si="1975">K497</f>
        <v>5</v>
      </c>
      <c r="L498">
        <f t="shared" si="1975"/>
        <v>1.4142135623730951</v>
      </c>
      <c r="M498">
        <v>99</v>
      </c>
      <c r="N498">
        <f t="shared" ref="N498:O498" si="1976">N497</f>
        <v>105</v>
      </c>
      <c r="O498">
        <f t="shared" si="1976"/>
        <v>5.3541261347363367</v>
      </c>
      <c r="P498">
        <v>132</v>
      </c>
      <c r="Q498">
        <v>0.68</v>
      </c>
      <c r="R498">
        <v>89.76</v>
      </c>
      <c r="S498">
        <v>0.79</v>
      </c>
      <c r="T498">
        <v>104.28</v>
      </c>
      <c r="U498">
        <v>11.78</v>
      </c>
    </row>
    <row r="499" spans="1:21" x14ac:dyDescent="0.25">
      <c r="A499" t="s">
        <v>326</v>
      </c>
      <c r="B499" s="4" t="s">
        <v>49</v>
      </c>
      <c r="C499" s="1">
        <v>3</v>
      </c>
      <c r="D499">
        <v>120</v>
      </c>
      <c r="E499">
        <v>3</v>
      </c>
      <c r="F499" t="s">
        <v>20</v>
      </c>
      <c r="G499">
        <v>86</v>
      </c>
      <c r="H499">
        <f t="shared" ref="H499:I499" si="1977">H497</f>
        <v>86</v>
      </c>
      <c r="I499">
        <f t="shared" si="1977"/>
        <v>0</v>
      </c>
      <c r="J499">
        <v>4</v>
      </c>
      <c r="K499">
        <f t="shared" ref="K499:L499" si="1978">K497</f>
        <v>5</v>
      </c>
      <c r="L499">
        <f t="shared" si="1978"/>
        <v>1.4142135623730951</v>
      </c>
      <c r="M499">
        <v>112</v>
      </c>
      <c r="N499">
        <f t="shared" ref="N499:O499" si="1979">N497</f>
        <v>105</v>
      </c>
      <c r="O499">
        <f t="shared" si="1979"/>
        <v>5.3541261347363367</v>
      </c>
      <c r="P499">
        <v>132</v>
      </c>
      <c r="Q499">
        <v>0.64</v>
      </c>
      <c r="R499">
        <v>84.48</v>
      </c>
      <c r="S499">
        <v>0.76</v>
      </c>
      <c r="T499">
        <v>100.32000000000001</v>
      </c>
      <c r="U499">
        <v>13.43</v>
      </c>
    </row>
    <row r="500" spans="1:21" x14ac:dyDescent="0.25">
      <c r="A500" t="s">
        <v>328</v>
      </c>
      <c r="B500" s="4" t="s">
        <v>58</v>
      </c>
      <c r="C500" s="1">
        <v>2</v>
      </c>
      <c r="D500">
        <v>120</v>
      </c>
      <c r="E500">
        <v>1</v>
      </c>
      <c r="F500">
        <v>8</v>
      </c>
      <c r="G500">
        <v>124</v>
      </c>
      <c r="H500">
        <f t="shared" ref="H500" si="1980">AVERAGE(G500:G502)</f>
        <v>136.66666666666666</v>
      </c>
      <c r="I500">
        <f t="shared" ref="I500" si="1981">_xlfn.STDEV.P(G500:G502)</f>
        <v>18.624953392931992</v>
      </c>
      <c r="J500">
        <v>1</v>
      </c>
      <c r="K500">
        <f t="shared" ref="K500" si="1982">AVERAGE(J500:J502)</f>
        <v>0.66666666666666663</v>
      </c>
      <c r="L500">
        <f t="shared" ref="L500" si="1983">_xlfn.STDEV.P(J500:J502)</f>
        <v>0.47140452079103168</v>
      </c>
      <c r="M500">
        <v>88</v>
      </c>
      <c r="N500">
        <f t="shared" ref="N500" si="1984">AVERAGE(M500:M502)</f>
        <v>95.333333333333329</v>
      </c>
      <c r="O500">
        <f t="shared" ref="O500" si="1985">_xlfn.STDEV.P(M500:M502)</f>
        <v>8.993825042154695</v>
      </c>
      <c r="P500">
        <v>180</v>
      </c>
      <c r="Q500">
        <v>0.56999999999999995</v>
      </c>
      <c r="R500">
        <v>102.6</v>
      </c>
      <c r="S500">
        <v>0.67</v>
      </c>
      <c r="T500">
        <v>120.60000000000001</v>
      </c>
      <c r="U500" t="s">
        <v>20</v>
      </c>
    </row>
    <row r="501" spans="1:21" x14ac:dyDescent="0.25">
      <c r="A501" t="s">
        <v>328</v>
      </c>
      <c r="B501" s="4" t="s">
        <v>58</v>
      </c>
      <c r="C501" s="1">
        <v>2</v>
      </c>
      <c r="D501">
        <v>120</v>
      </c>
      <c r="E501">
        <v>2</v>
      </c>
      <c r="F501">
        <v>24</v>
      </c>
      <c r="G501">
        <v>123</v>
      </c>
      <c r="H501">
        <f t="shared" ref="H501:I501" si="1986">H500</f>
        <v>136.66666666666666</v>
      </c>
      <c r="I501">
        <f t="shared" si="1986"/>
        <v>18.624953392931992</v>
      </c>
      <c r="J501">
        <v>1</v>
      </c>
      <c r="K501">
        <f t="shared" ref="K501:L501" si="1987">K500</f>
        <v>0.66666666666666663</v>
      </c>
      <c r="L501">
        <f t="shared" si="1987"/>
        <v>0.47140452079103168</v>
      </c>
      <c r="M501">
        <v>108</v>
      </c>
      <c r="N501">
        <f t="shared" ref="N501:O501" si="1988">N500</f>
        <v>95.333333333333329</v>
      </c>
      <c r="O501">
        <f t="shared" si="1988"/>
        <v>8.993825042154695</v>
      </c>
      <c r="P501">
        <v>177</v>
      </c>
      <c r="Q501">
        <v>0.59</v>
      </c>
      <c r="R501">
        <v>104.42999999999999</v>
      </c>
      <c r="S501">
        <v>0.72</v>
      </c>
      <c r="T501">
        <v>127.44</v>
      </c>
      <c r="U501" t="s">
        <v>20</v>
      </c>
    </row>
    <row r="502" spans="1:21" x14ac:dyDescent="0.25">
      <c r="A502" t="s">
        <v>328</v>
      </c>
      <c r="B502" s="4" t="s">
        <v>58</v>
      </c>
      <c r="C502" s="1">
        <v>2</v>
      </c>
      <c r="D502">
        <v>120</v>
      </c>
      <c r="E502">
        <v>3</v>
      </c>
      <c r="F502">
        <v>12</v>
      </c>
      <c r="G502">
        <v>163</v>
      </c>
      <c r="H502">
        <f t="shared" ref="H502:I502" si="1989">H500</f>
        <v>136.66666666666666</v>
      </c>
      <c r="I502">
        <f t="shared" si="1989"/>
        <v>18.624953392931992</v>
      </c>
      <c r="J502">
        <v>0</v>
      </c>
      <c r="K502">
        <f t="shared" ref="K502:L502" si="1990">K500</f>
        <v>0.66666666666666663</v>
      </c>
      <c r="L502">
        <f t="shared" si="1990"/>
        <v>0.47140452079103168</v>
      </c>
      <c r="M502">
        <v>90</v>
      </c>
      <c r="N502">
        <f t="shared" ref="N502:O502" si="1991">N500</f>
        <v>95.333333333333329</v>
      </c>
      <c r="O502">
        <f t="shared" si="1991"/>
        <v>8.993825042154695</v>
      </c>
      <c r="P502">
        <v>186</v>
      </c>
      <c r="Q502">
        <v>0.69</v>
      </c>
      <c r="R502">
        <v>128.34</v>
      </c>
      <c r="S502">
        <v>0.67</v>
      </c>
      <c r="T502">
        <v>124.62</v>
      </c>
      <c r="U502" t="s">
        <v>20</v>
      </c>
    </row>
    <row r="503" spans="1:21" x14ac:dyDescent="0.25">
      <c r="A503" t="s">
        <v>329</v>
      </c>
      <c r="B503" s="4" t="s">
        <v>52</v>
      </c>
      <c r="C503" s="1">
        <v>5</v>
      </c>
      <c r="D503">
        <v>120</v>
      </c>
      <c r="E503">
        <v>1</v>
      </c>
      <c r="F503">
        <v>58</v>
      </c>
      <c r="G503">
        <v>91</v>
      </c>
      <c r="H503">
        <f t="shared" ref="H503" si="1992">AVERAGE(G503:G505)</f>
        <v>92.333333333333329</v>
      </c>
      <c r="I503">
        <f t="shared" ref="I503" si="1993">_xlfn.STDEV.P(G503:G505)</f>
        <v>4.9888765156985881</v>
      </c>
      <c r="J503">
        <v>3</v>
      </c>
      <c r="K503">
        <f t="shared" ref="K503" si="1994">AVERAGE(J503:J505)</f>
        <v>3</v>
      </c>
      <c r="L503">
        <f t="shared" ref="L503" si="1995">_xlfn.STDEV.P(J503:J505)</f>
        <v>0</v>
      </c>
      <c r="M503">
        <v>110</v>
      </c>
      <c r="N503">
        <f t="shared" ref="N503" si="1996">AVERAGE(M503:M505)</f>
        <v>105</v>
      </c>
      <c r="O503">
        <f t="shared" ref="O503" si="1997">_xlfn.STDEV.P(M503:M505)</f>
        <v>10.801234497346433</v>
      </c>
      <c r="P503">
        <v>132</v>
      </c>
      <c r="Q503">
        <v>0.66</v>
      </c>
      <c r="R503">
        <v>87.12</v>
      </c>
      <c r="S503">
        <v>0.81</v>
      </c>
      <c r="T503">
        <v>106.92</v>
      </c>
      <c r="U503">
        <v>14.12</v>
      </c>
    </row>
    <row r="504" spans="1:21" x14ac:dyDescent="0.25">
      <c r="A504" t="s">
        <v>329</v>
      </c>
      <c r="B504" s="4" t="s">
        <v>52</v>
      </c>
      <c r="C504" s="1">
        <v>5</v>
      </c>
      <c r="D504">
        <v>120</v>
      </c>
      <c r="E504">
        <v>2</v>
      </c>
      <c r="F504">
        <v>62</v>
      </c>
      <c r="G504">
        <v>99</v>
      </c>
      <c r="H504">
        <f t="shared" ref="H504:I504" si="1998">H503</f>
        <v>92.333333333333329</v>
      </c>
      <c r="I504">
        <f t="shared" si="1998"/>
        <v>4.9888765156985881</v>
      </c>
      <c r="J504">
        <v>3</v>
      </c>
      <c r="K504">
        <f t="shared" ref="K504:L504" si="1999">K503</f>
        <v>3</v>
      </c>
      <c r="L504">
        <f t="shared" si="1999"/>
        <v>0</v>
      </c>
      <c r="M504">
        <v>90</v>
      </c>
      <c r="N504">
        <f t="shared" ref="N504:O504" si="2000">N503</f>
        <v>105</v>
      </c>
      <c r="O504">
        <f t="shared" si="2000"/>
        <v>10.801234497346433</v>
      </c>
      <c r="P504">
        <v>138</v>
      </c>
      <c r="Q504">
        <v>0.6</v>
      </c>
      <c r="R504">
        <v>82.8</v>
      </c>
      <c r="S504">
        <v>0.67</v>
      </c>
      <c r="T504">
        <v>92.460000000000008</v>
      </c>
      <c r="U504">
        <v>12.15</v>
      </c>
    </row>
    <row r="505" spans="1:21" x14ac:dyDescent="0.25">
      <c r="A505" t="s">
        <v>329</v>
      </c>
      <c r="B505" s="4" t="s">
        <v>52</v>
      </c>
      <c r="C505" s="1">
        <v>5</v>
      </c>
      <c r="D505">
        <v>120</v>
      </c>
      <c r="E505">
        <v>3</v>
      </c>
      <c r="F505" t="s">
        <v>20</v>
      </c>
      <c r="G505">
        <v>87</v>
      </c>
      <c r="H505">
        <f t="shared" ref="H505:I505" si="2001">H503</f>
        <v>92.333333333333329</v>
      </c>
      <c r="I505">
        <f t="shared" si="2001"/>
        <v>4.9888765156985881</v>
      </c>
      <c r="J505">
        <v>3</v>
      </c>
      <c r="K505">
        <f t="shared" ref="K505:L505" si="2002">K503</f>
        <v>3</v>
      </c>
      <c r="L505">
        <f t="shared" si="2002"/>
        <v>0</v>
      </c>
      <c r="M505">
        <v>115</v>
      </c>
      <c r="N505">
        <f t="shared" ref="N505:O505" si="2003">N503</f>
        <v>105</v>
      </c>
      <c r="O505">
        <f t="shared" si="2003"/>
        <v>10.801234497346433</v>
      </c>
      <c r="P505">
        <v>132</v>
      </c>
      <c r="Q505">
        <v>0.67</v>
      </c>
      <c r="R505">
        <v>88.440000000000012</v>
      </c>
      <c r="S505">
        <v>0.73</v>
      </c>
      <c r="T505">
        <v>96.36</v>
      </c>
      <c r="U505">
        <v>14.58</v>
      </c>
    </row>
    <row r="506" spans="1:21" x14ac:dyDescent="0.25">
      <c r="A506" t="s">
        <v>330</v>
      </c>
      <c r="B506" s="4" t="s">
        <v>64</v>
      </c>
      <c r="C506" s="1">
        <v>2</v>
      </c>
      <c r="D506">
        <v>120</v>
      </c>
      <c r="E506">
        <v>1</v>
      </c>
      <c r="F506">
        <v>74</v>
      </c>
      <c r="G506">
        <v>75</v>
      </c>
      <c r="H506">
        <f t="shared" ref="H506" si="2004">AVERAGE(G506:G508)</f>
        <v>76</v>
      </c>
      <c r="I506">
        <f t="shared" ref="I506" si="2005">_xlfn.STDEV.P(G506:G508)</f>
        <v>0.81649658092772603</v>
      </c>
      <c r="J506">
        <v>2</v>
      </c>
      <c r="K506">
        <f t="shared" ref="K506" si="2006">AVERAGE(J506:J508)</f>
        <v>1.3333333333333333</v>
      </c>
      <c r="L506">
        <f t="shared" ref="L506" si="2007">_xlfn.STDEV.P(J506:J508)</f>
        <v>0.47140452079103168</v>
      </c>
      <c r="M506">
        <v>129</v>
      </c>
      <c r="N506">
        <f t="shared" ref="N506" si="2008">AVERAGE(M506:M508)</f>
        <v>127.33333333333333</v>
      </c>
      <c r="O506">
        <f t="shared" ref="O506" si="2009">_xlfn.STDEV.P(M506:M508)</f>
        <v>2.3570226039551581</v>
      </c>
      <c r="P506">
        <v>125</v>
      </c>
      <c r="Q506">
        <v>0.56000000000000005</v>
      </c>
      <c r="R506">
        <v>70</v>
      </c>
      <c r="S506">
        <v>0.73</v>
      </c>
      <c r="T506">
        <v>91.25</v>
      </c>
      <c r="U506">
        <v>13.77</v>
      </c>
    </row>
    <row r="507" spans="1:21" x14ac:dyDescent="0.25">
      <c r="A507" t="s">
        <v>330</v>
      </c>
      <c r="B507" s="4" t="s">
        <v>64</v>
      </c>
      <c r="C507" s="1">
        <v>2</v>
      </c>
      <c r="D507">
        <v>120</v>
      </c>
      <c r="E507">
        <v>2</v>
      </c>
      <c r="F507" t="s">
        <v>20</v>
      </c>
      <c r="G507">
        <v>77</v>
      </c>
      <c r="H507">
        <f t="shared" ref="H507:I507" si="2010">H506</f>
        <v>76</v>
      </c>
      <c r="I507">
        <f t="shared" si="2010"/>
        <v>0.81649658092772603</v>
      </c>
      <c r="J507">
        <v>1</v>
      </c>
      <c r="K507">
        <f t="shared" ref="K507:L507" si="2011">K506</f>
        <v>1.3333333333333333</v>
      </c>
      <c r="L507">
        <f t="shared" si="2011"/>
        <v>0.47140452079103168</v>
      </c>
      <c r="M507">
        <v>129</v>
      </c>
      <c r="N507">
        <f t="shared" ref="N507:O507" si="2012">N506</f>
        <v>127.33333333333333</v>
      </c>
      <c r="O507">
        <f t="shared" si="2012"/>
        <v>2.3570226039551581</v>
      </c>
      <c r="P507">
        <v>124</v>
      </c>
      <c r="Q507">
        <v>0.6</v>
      </c>
      <c r="R507">
        <v>74.399999999999991</v>
      </c>
      <c r="S507">
        <v>0.73</v>
      </c>
      <c r="T507">
        <v>90.52</v>
      </c>
      <c r="U507">
        <v>12.21</v>
      </c>
    </row>
    <row r="508" spans="1:21" x14ac:dyDescent="0.25">
      <c r="A508" t="s">
        <v>330</v>
      </c>
      <c r="B508" s="4" t="s">
        <v>64</v>
      </c>
      <c r="C508" s="1">
        <v>2</v>
      </c>
      <c r="D508">
        <v>120</v>
      </c>
      <c r="E508">
        <v>3</v>
      </c>
      <c r="F508" t="s">
        <v>20</v>
      </c>
      <c r="G508">
        <v>76</v>
      </c>
      <c r="H508">
        <f t="shared" ref="H508:I508" si="2013">H506</f>
        <v>76</v>
      </c>
      <c r="I508">
        <f t="shared" si="2013"/>
        <v>0.81649658092772603</v>
      </c>
      <c r="J508">
        <v>1</v>
      </c>
      <c r="K508">
        <f t="shared" ref="K508:L508" si="2014">K506</f>
        <v>1.3333333333333333</v>
      </c>
      <c r="L508">
        <f t="shared" si="2014"/>
        <v>0.47140452079103168</v>
      </c>
      <c r="M508">
        <v>124</v>
      </c>
      <c r="N508">
        <f t="shared" ref="N508:O508" si="2015">N506</f>
        <v>127.33333333333333</v>
      </c>
      <c r="O508">
        <f t="shared" si="2015"/>
        <v>2.3570226039551581</v>
      </c>
      <c r="P508">
        <v>124</v>
      </c>
      <c r="Q508">
        <v>0.57999999999999996</v>
      </c>
      <c r="R508">
        <v>71.92</v>
      </c>
      <c r="S508">
        <v>0.79</v>
      </c>
      <c r="T508">
        <v>97.960000000000008</v>
      </c>
      <c r="U508">
        <v>14.59</v>
      </c>
    </row>
    <row r="509" spans="1:21" x14ac:dyDescent="0.25">
      <c r="A509" t="s">
        <v>331</v>
      </c>
      <c r="B509" s="4" t="s">
        <v>66</v>
      </c>
      <c r="C509" s="1">
        <v>4</v>
      </c>
      <c r="D509">
        <v>120</v>
      </c>
      <c r="E509">
        <v>1</v>
      </c>
      <c r="F509">
        <v>2</v>
      </c>
      <c r="G509">
        <v>103</v>
      </c>
      <c r="H509">
        <f t="shared" ref="H509" si="2016">AVERAGE(G509:G511)</f>
        <v>105.66666666666667</v>
      </c>
      <c r="I509">
        <f t="shared" ref="I509" si="2017">_xlfn.STDEV.P(G509:G511)</f>
        <v>2.4944382578492941</v>
      </c>
      <c r="J509" t="s">
        <v>20</v>
      </c>
      <c r="K509">
        <f t="shared" ref="K509" si="2018">AVERAGE(J509:J511)</f>
        <v>1.5</v>
      </c>
      <c r="L509">
        <f t="shared" ref="L509" si="2019">_xlfn.STDEV.P(J509:J511)</f>
        <v>0.5</v>
      </c>
      <c r="M509">
        <v>88</v>
      </c>
      <c r="N509">
        <f t="shared" ref="N509" si="2020">AVERAGE(M509:M511)</f>
        <v>96</v>
      </c>
      <c r="O509">
        <f t="shared" ref="O509" si="2021">_xlfn.STDEV.P(M509:M511)</f>
        <v>5.6568542494923806</v>
      </c>
      <c r="P509">
        <v>155</v>
      </c>
      <c r="Q509">
        <v>0.64</v>
      </c>
      <c r="R509">
        <v>99.2</v>
      </c>
      <c r="S509">
        <v>0.72</v>
      </c>
      <c r="T509">
        <v>111.6</v>
      </c>
      <c r="U509">
        <v>16.12</v>
      </c>
    </row>
    <row r="510" spans="1:21" x14ac:dyDescent="0.25">
      <c r="A510" t="s">
        <v>331</v>
      </c>
      <c r="B510" s="4" t="s">
        <v>66</v>
      </c>
      <c r="C510" s="1">
        <v>4</v>
      </c>
      <c r="D510">
        <v>120</v>
      </c>
      <c r="E510">
        <v>2</v>
      </c>
      <c r="F510">
        <v>4</v>
      </c>
      <c r="G510">
        <v>109</v>
      </c>
      <c r="H510">
        <f t="shared" ref="H510:I510" si="2022">H509</f>
        <v>105.66666666666667</v>
      </c>
      <c r="I510">
        <f t="shared" si="2022"/>
        <v>2.4944382578492941</v>
      </c>
      <c r="J510">
        <v>1</v>
      </c>
      <c r="K510">
        <f t="shared" ref="K510:L510" si="2023">K509</f>
        <v>1.5</v>
      </c>
      <c r="L510">
        <f t="shared" si="2023"/>
        <v>0.5</v>
      </c>
      <c r="M510">
        <v>100</v>
      </c>
      <c r="N510">
        <f t="shared" ref="N510:O510" si="2024">N509</f>
        <v>96</v>
      </c>
      <c r="O510">
        <f t="shared" si="2024"/>
        <v>5.6568542494923806</v>
      </c>
      <c r="P510">
        <v>166</v>
      </c>
      <c r="Q510">
        <v>0.59</v>
      </c>
      <c r="R510">
        <v>97.94</v>
      </c>
      <c r="S510">
        <v>0.74</v>
      </c>
      <c r="T510">
        <v>122.84</v>
      </c>
      <c r="U510">
        <v>16.739999999999998</v>
      </c>
    </row>
    <row r="511" spans="1:21" x14ac:dyDescent="0.25">
      <c r="A511" t="s">
        <v>331</v>
      </c>
      <c r="B511" s="4" t="s">
        <v>66</v>
      </c>
      <c r="C511" s="1">
        <v>4</v>
      </c>
      <c r="D511">
        <v>120</v>
      </c>
      <c r="E511">
        <v>3</v>
      </c>
      <c r="F511">
        <v>6</v>
      </c>
      <c r="G511">
        <v>105</v>
      </c>
      <c r="H511">
        <f t="shared" ref="H511:I511" si="2025">H509</f>
        <v>105.66666666666667</v>
      </c>
      <c r="I511">
        <f t="shared" si="2025"/>
        <v>2.4944382578492941</v>
      </c>
      <c r="J511">
        <v>2</v>
      </c>
      <c r="K511">
        <f t="shared" ref="K511:L511" si="2026">K509</f>
        <v>1.5</v>
      </c>
      <c r="L511">
        <f t="shared" si="2026"/>
        <v>0.5</v>
      </c>
      <c r="M511">
        <v>100</v>
      </c>
      <c r="N511">
        <f t="shared" ref="N511:O511" si="2027">N509</f>
        <v>96</v>
      </c>
      <c r="O511">
        <f t="shared" si="2027"/>
        <v>5.6568542494923806</v>
      </c>
      <c r="P511">
        <v>160</v>
      </c>
      <c r="Q511">
        <v>0.7</v>
      </c>
      <c r="R511">
        <v>112</v>
      </c>
      <c r="S511">
        <v>0.74</v>
      </c>
      <c r="T511">
        <v>118.4</v>
      </c>
      <c r="U511">
        <v>18.71</v>
      </c>
    </row>
    <row r="512" spans="1:21" x14ac:dyDescent="0.25">
      <c r="A512" t="s">
        <v>332</v>
      </c>
      <c r="B512" s="4" t="s">
        <v>64</v>
      </c>
      <c r="C512" s="1">
        <v>2</v>
      </c>
      <c r="D512">
        <v>120</v>
      </c>
      <c r="E512">
        <v>1</v>
      </c>
      <c r="F512">
        <v>80</v>
      </c>
      <c r="G512">
        <v>74</v>
      </c>
      <c r="H512">
        <f t="shared" ref="H512" si="2028">AVERAGE(G512:G514)</f>
        <v>73.333333333333329</v>
      </c>
      <c r="I512">
        <f t="shared" ref="I512" si="2029">_xlfn.STDEV.P(G512:G514)</f>
        <v>0.47140452079103168</v>
      </c>
      <c r="J512">
        <v>5</v>
      </c>
      <c r="K512">
        <f t="shared" ref="K512" si="2030">AVERAGE(J512:J514)</f>
        <v>3.6666666666666665</v>
      </c>
      <c r="L512">
        <f t="shared" ref="L512" si="2031">_xlfn.STDEV.P(J512:J514)</f>
        <v>1.247219128924647</v>
      </c>
      <c r="M512">
        <v>107</v>
      </c>
      <c r="N512">
        <f t="shared" ref="N512" si="2032">AVERAGE(M512:M514)</f>
        <v>109.66666666666667</v>
      </c>
      <c r="O512">
        <f t="shared" ref="O512" si="2033">_xlfn.STDEV.P(M512:M514)</f>
        <v>7.5865377844940287</v>
      </c>
      <c r="P512">
        <v>121</v>
      </c>
      <c r="Q512">
        <v>0.62</v>
      </c>
      <c r="R512" t="s">
        <v>20</v>
      </c>
      <c r="S512">
        <v>0.75</v>
      </c>
      <c r="T512" t="s">
        <v>20</v>
      </c>
      <c r="U512">
        <v>13.37</v>
      </c>
    </row>
    <row r="513" spans="1:21" x14ac:dyDescent="0.25">
      <c r="A513" t="s">
        <v>332</v>
      </c>
      <c r="B513" s="4" t="s">
        <v>64</v>
      </c>
      <c r="C513" s="1">
        <v>2</v>
      </c>
      <c r="D513">
        <v>120</v>
      </c>
      <c r="E513">
        <v>2</v>
      </c>
      <c r="F513">
        <v>96</v>
      </c>
      <c r="G513">
        <v>73</v>
      </c>
      <c r="H513">
        <f t="shared" ref="H513:I513" si="2034">H512</f>
        <v>73.333333333333329</v>
      </c>
      <c r="I513">
        <f t="shared" si="2034"/>
        <v>0.47140452079103168</v>
      </c>
      <c r="J513">
        <v>2</v>
      </c>
      <c r="K513">
        <f t="shared" ref="K513:L513" si="2035">K512</f>
        <v>3.6666666666666665</v>
      </c>
      <c r="L513">
        <f t="shared" si="2035"/>
        <v>1.247219128924647</v>
      </c>
      <c r="M513">
        <v>120</v>
      </c>
      <c r="N513">
        <f t="shared" ref="N513:O513" si="2036">N512</f>
        <v>109.66666666666667</v>
      </c>
      <c r="O513">
        <f t="shared" si="2036"/>
        <v>7.5865377844940287</v>
      </c>
      <c r="Q513">
        <v>0.59</v>
      </c>
      <c r="R513" t="s">
        <v>20</v>
      </c>
      <c r="S513">
        <v>0.76</v>
      </c>
      <c r="T513" t="s">
        <v>20</v>
      </c>
      <c r="U513">
        <v>12.88</v>
      </c>
    </row>
    <row r="514" spans="1:21" x14ac:dyDescent="0.25">
      <c r="A514" t="s">
        <v>332</v>
      </c>
      <c r="B514" s="4" t="s">
        <v>64</v>
      </c>
      <c r="C514" s="1">
        <v>2</v>
      </c>
      <c r="D514">
        <v>120</v>
      </c>
      <c r="E514">
        <v>3</v>
      </c>
      <c r="F514">
        <v>100</v>
      </c>
      <c r="G514">
        <v>73</v>
      </c>
      <c r="H514">
        <f t="shared" ref="H514:I514" si="2037">H512</f>
        <v>73.333333333333329</v>
      </c>
      <c r="I514">
        <f t="shared" si="2037"/>
        <v>0.47140452079103168</v>
      </c>
      <c r="J514">
        <v>4</v>
      </c>
      <c r="K514">
        <f t="shared" ref="K514:L514" si="2038">K512</f>
        <v>3.6666666666666665</v>
      </c>
      <c r="L514">
        <f t="shared" si="2038"/>
        <v>1.247219128924647</v>
      </c>
      <c r="M514">
        <v>102</v>
      </c>
      <c r="N514">
        <f t="shared" ref="N514:O514" si="2039">N512</f>
        <v>109.66666666666667</v>
      </c>
      <c r="O514">
        <f t="shared" si="2039"/>
        <v>7.5865377844940287</v>
      </c>
      <c r="P514">
        <v>125</v>
      </c>
      <c r="Q514">
        <v>0.55000000000000004</v>
      </c>
      <c r="R514" t="s">
        <v>20</v>
      </c>
      <c r="S514">
        <v>0.74</v>
      </c>
      <c r="T514" t="s">
        <v>20</v>
      </c>
      <c r="U514">
        <v>11.14</v>
      </c>
    </row>
    <row r="515" spans="1:21" x14ac:dyDescent="0.25">
      <c r="A515" t="s">
        <v>333</v>
      </c>
      <c r="B515" s="4" t="s">
        <v>52</v>
      </c>
      <c r="C515" s="1">
        <v>5</v>
      </c>
      <c r="D515">
        <v>120</v>
      </c>
      <c r="E515">
        <v>1</v>
      </c>
      <c r="F515">
        <v>28</v>
      </c>
      <c r="G515">
        <v>101</v>
      </c>
      <c r="H515">
        <f t="shared" ref="H515" si="2040">AVERAGE(G515:G517)</f>
        <v>111.33333333333333</v>
      </c>
      <c r="I515">
        <f t="shared" ref="I515" si="2041">_xlfn.STDEV.P(G515:G517)</f>
        <v>14.613540144521982</v>
      </c>
      <c r="J515">
        <v>2</v>
      </c>
      <c r="K515">
        <f t="shared" ref="K515" si="2042">AVERAGE(J515:J517)</f>
        <v>1.3333333333333333</v>
      </c>
      <c r="L515">
        <f t="shared" ref="L515" si="2043">_xlfn.STDEV.P(J515:J517)</f>
        <v>0.47140452079103168</v>
      </c>
      <c r="M515">
        <v>93</v>
      </c>
      <c r="N515">
        <f t="shared" ref="N515" si="2044">AVERAGE(M515:M517)</f>
        <v>103.66666666666667</v>
      </c>
      <c r="O515">
        <f t="shared" ref="O515" si="2045">_xlfn.STDEV.P(M515:M517)</f>
        <v>7.5865377844940287</v>
      </c>
      <c r="P515">
        <v>153</v>
      </c>
      <c r="Q515">
        <v>0.61</v>
      </c>
      <c r="R515">
        <v>93.33</v>
      </c>
      <c r="S515">
        <v>0.67</v>
      </c>
      <c r="T515">
        <v>102.51</v>
      </c>
      <c r="U515">
        <v>12.95</v>
      </c>
    </row>
    <row r="516" spans="1:21" x14ac:dyDescent="0.25">
      <c r="A516" t="s">
        <v>333</v>
      </c>
      <c r="B516" s="4" t="s">
        <v>52</v>
      </c>
      <c r="C516" s="1">
        <v>5</v>
      </c>
      <c r="D516">
        <v>120</v>
      </c>
      <c r="E516">
        <v>2</v>
      </c>
      <c r="F516">
        <v>24</v>
      </c>
      <c r="G516">
        <v>101</v>
      </c>
      <c r="H516">
        <f t="shared" ref="H516:I516" si="2046">H515</f>
        <v>111.33333333333333</v>
      </c>
      <c r="I516">
        <f t="shared" si="2046"/>
        <v>14.613540144521982</v>
      </c>
      <c r="J516">
        <v>1</v>
      </c>
      <c r="K516">
        <f t="shared" ref="K516:L516" si="2047">K515</f>
        <v>1.3333333333333333</v>
      </c>
      <c r="L516">
        <f t="shared" si="2047"/>
        <v>0.47140452079103168</v>
      </c>
      <c r="M516">
        <v>108</v>
      </c>
      <c r="N516">
        <f t="shared" ref="N516:O516" si="2048">N515</f>
        <v>103.66666666666667</v>
      </c>
      <c r="O516">
        <f t="shared" si="2048"/>
        <v>7.5865377844940287</v>
      </c>
      <c r="P516">
        <v>152</v>
      </c>
      <c r="Q516">
        <v>0.7</v>
      </c>
      <c r="R516">
        <v>106.39999999999999</v>
      </c>
      <c r="S516">
        <v>0.77</v>
      </c>
      <c r="T516">
        <v>117.04</v>
      </c>
      <c r="U516">
        <v>14.87</v>
      </c>
    </row>
    <row r="517" spans="1:21" x14ac:dyDescent="0.25">
      <c r="A517" t="s">
        <v>333</v>
      </c>
      <c r="B517" s="4" t="s">
        <v>52</v>
      </c>
      <c r="C517" s="1">
        <v>5</v>
      </c>
      <c r="D517">
        <v>120</v>
      </c>
      <c r="E517">
        <v>3</v>
      </c>
      <c r="F517">
        <v>30</v>
      </c>
      <c r="G517">
        <v>132</v>
      </c>
      <c r="H517">
        <f t="shared" ref="H517:I517" si="2049">H515</f>
        <v>111.33333333333333</v>
      </c>
      <c r="I517">
        <f t="shared" si="2049"/>
        <v>14.613540144521982</v>
      </c>
      <c r="J517">
        <v>1</v>
      </c>
      <c r="K517">
        <f t="shared" ref="K517:L517" si="2050">K515</f>
        <v>1.3333333333333333</v>
      </c>
      <c r="L517">
        <f t="shared" si="2050"/>
        <v>0.47140452079103168</v>
      </c>
      <c r="M517">
        <v>110</v>
      </c>
      <c r="N517">
        <f t="shared" ref="N517:O517" si="2051">N515</f>
        <v>103.66666666666667</v>
      </c>
      <c r="O517">
        <f t="shared" si="2051"/>
        <v>7.5865377844940287</v>
      </c>
      <c r="P517">
        <v>153</v>
      </c>
      <c r="Q517">
        <v>0.4</v>
      </c>
      <c r="R517">
        <v>61.2</v>
      </c>
      <c r="S517">
        <v>0.44</v>
      </c>
      <c r="T517">
        <v>67.320000000000007</v>
      </c>
      <c r="U517">
        <v>14.21</v>
      </c>
    </row>
    <row r="518" spans="1:21" x14ac:dyDescent="0.25">
      <c r="A518" t="s">
        <v>335</v>
      </c>
      <c r="B518" s="4" t="s">
        <v>69</v>
      </c>
      <c r="C518" s="1">
        <v>2</v>
      </c>
      <c r="D518">
        <v>120</v>
      </c>
      <c r="E518">
        <v>1</v>
      </c>
      <c r="F518">
        <v>88</v>
      </c>
      <c r="G518">
        <v>84</v>
      </c>
      <c r="H518">
        <f t="shared" ref="H518" si="2052">AVERAGE(G518:G520)</f>
        <v>82.333333333333329</v>
      </c>
      <c r="I518">
        <f t="shared" ref="I518" si="2053">_xlfn.STDEV.P(G518:G520)</f>
        <v>2.3570226039551581</v>
      </c>
      <c r="J518">
        <v>4</v>
      </c>
      <c r="K518">
        <f t="shared" ref="K518" si="2054">AVERAGE(J518:J520)</f>
        <v>3.3333333333333335</v>
      </c>
      <c r="L518">
        <f t="shared" ref="L518" si="2055">_xlfn.STDEV.P(J518:J520)</f>
        <v>0.94280904158206336</v>
      </c>
      <c r="M518">
        <v>97</v>
      </c>
      <c r="N518">
        <f t="shared" ref="N518" si="2056">AVERAGE(M518:M520)</f>
        <v>101.33333333333333</v>
      </c>
      <c r="O518">
        <f t="shared" ref="O518" si="2057">_xlfn.STDEV.P(M518:M520)</f>
        <v>4.1899350299921778</v>
      </c>
      <c r="P518">
        <v>131</v>
      </c>
      <c r="Q518">
        <v>0.63</v>
      </c>
      <c r="R518">
        <v>82.53</v>
      </c>
      <c r="S518">
        <v>0.57999999999999996</v>
      </c>
      <c r="T518">
        <v>75.97999999999999</v>
      </c>
      <c r="U518">
        <v>13.07</v>
      </c>
    </row>
    <row r="519" spans="1:21" x14ac:dyDescent="0.25">
      <c r="A519" t="s">
        <v>335</v>
      </c>
      <c r="B519" s="4" t="s">
        <v>69</v>
      </c>
      <c r="C519" s="1">
        <v>2</v>
      </c>
      <c r="D519">
        <v>120</v>
      </c>
      <c r="E519">
        <v>2</v>
      </c>
      <c r="F519">
        <v>88</v>
      </c>
      <c r="G519">
        <v>79</v>
      </c>
      <c r="H519">
        <f t="shared" ref="H519:I519" si="2058">H518</f>
        <v>82.333333333333329</v>
      </c>
      <c r="I519">
        <f t="shared" si="2058"/>
        <v>2.3570226039551581</v>
      </c>
      <c r="J519">
        <v>4</v>
      </c>
      <c r="K519">
        <f t="shared" ref="K519:L519" si="2059">K518</f>
        <v>3.3333333333333335</v>
      </c>
      <c r="L519">
        <f t="shared" si="2059"/>
        <v>0.94280904158206336</v>
      </c>
      <c r="M519">
        <v>107</v>
      </c>
      <c r="N519">
        <f t="shared" ref="N519:O519" si="2060">N518</f>
        <v>101.33333333333333</v>
      </c>
      <c r="O519">
        <f t="shared" si="2060"/>
        <v>4.1899350299921778</v>
      </c>
      <c r="P519">
        <v>131</v>
      </c>
      <c r="Q519">
        <v>0.6</v>
      </c>
      <c r="R519">
        <v>78.599999999999994</v>
      </c>
      <c r="S519">
        <v>0.71</v>
      </c>
      <c r="T519">
        <v>93.009999999999991</v>
      </c>
      <c r="U519">
        <v>13.31</v>
      </c>
    </row>
    <row r="520" spans="1:21" x14ac:dyDescent="0.25">
      <c r="A520" t="s">
        <v>335</v>
      </c>
      <c r="B520" s="4" t="s">
        <v>69</v>
      </c>
      <c r="C520" s="1">
        <v>2</v>
      </c>
      <c r="D520">
        <v>120</v>
      </c>
      <c r="E520">
        <v>3</v>
      </c>
      <c r="F520" t="s">
        <v>20</v>
      </c>
      <c r="G520">
        <v>84</v>
      </c>
      <c r="H520">
        <f t="shared" ref="H520:I520" si="2061">H518</f>
        <v>82.333333333333329</v>
      </c>
      <c r="I520">
        <f t="shared" si="2061"/>
        <v>2.3570226039551581</v>
      </c>
      <c r="J520">
        <v>2</v>
      </c>
      <c r="K520">
        <f t="shared" ref="K520:L520" si="2062">K518</f>
        <v>3.3333333333333335</v>
      </c>
      <c r="L520">
        <f t="shared" si="2062"/>
        <v>0.94280904158206336</v>
      </c>
      <c r="M520">
        <v>100</v>
      </c>
      <c r="N520">
        <f t="shared" ref="N520:O520" si="2063">N518</f>
        <v>101.33333333333333</v>
      </c>
      <c r="O520">
        <f t="shared" si="2063"/>
        <v>4.1899350299921778</v>
      </c>
      <c r="P520">
        <v>131</v>
      </c>
      <c r="Q520">
        <v>0.57999999999999996</v>
      </c>
      <c r="R520">
        <v>75.97999999999999</v>
      </c>
      <c r="S520">
        <v>0.57999999999999996</v>
      </c>
      <c r="T520">
        <v>75.97999999999999</v>
      </c>
      <c r="U520">
        <v>14.14</v>
      </c>
    </row>
    <row r="521" spans="1:21" x14ac:dyDescent="0.25">
      <c r="A521" t="s">
        <v>338</v>
      </c>
      <c r="B521" s="4" t="s">
        <v>52</v>
      </c>
      <c r="C521" s="1">
        <v>4</v>
      </c>
      <c r="D521">
        <v>120</v>
      </c>
      <c r="E521">
        <v>1</v>
      </c>
      <c r="F521">
        <v>10</v>
      </c>
      <c r="G521">
        <v>106</v>
      </c>
      <c r="H521">
        <f t="shared" ref="H521" si="2064">AVERAGE(G521:G523)</f>
        <v>108</v>
      </c>
      <c r="I521">
        <f t="shared" ref="I521" si="2065">_xlfn.STDEV.P(G521:G523)</f>
        <v>2.8284271247461903</v>
      </c>
      <c r="J521">
        <v>1</v>
      </c>
      <c r="K521">
        <f t="shared" ref="K521" si="2066">AVERAGE(J521:J523)</f>
        <v>1.6666666666666667</v>
      </c>
      <c r="L521">
        <f t="shared" ref="L521" si="2067">_xlfn.STDEV.P(J521:J523)</f>
        <v>0.94280904158206336</v>
      </c>
      <c r="M521">
        <v>110</v>
      </c>
      <c r="N521">
        <f t="shared" ref="N521" si="2068">AVERAGE(M521:M523)</f>
        <v>99.333333333333329</v>
      </c>
      <c r="O521">
        <f t="shared" ref="O521" si="2069">_xlfn.STDEV.P(M521:M523)</f>
        <v>8.2192186706253025</v>
      </c>
      <c r="P521">
        <v>177</v>
      </c>
      <c r="Q521">
        <v>0.6</v>
      </c>
      <c r="R521">
        <v>106.2</v>
      </c>
      <c r="S521">
        <v>0.66</v>
      </c>
      <c r="T521">
        <v>116.82000000000001</v>
      </c>
      <c r="U521">
        <v>18.53</v>
      </c>
    </row>
    <row r="522" spans="1:21" x14ac:dyDescent="0.25">
      <c r="A522" t="s">
        <v>338</v>
      </c>
      <c r="B522" s="4" t="s">
        <v>52</v>
      </c>
      <c r="C522" s="1">
        <v>4</v>
      </c>
      <c r="D522">
        <v>120</v>
      </c>
      <c r="E522">
        <v>2</v>
      </c>
      <c r="F522">
        <v>12</v>
      </c>
      <c r="G522">
        <v>112</v>
      </c>
      <c r="H522">
        <f t="shared" ref="H522:I522" si="2070">H521</f>
        <v>108</v>
      </c>
      <c r="I522">
        <f t="shared" si="2070"/>
        <v>2.8284271247461903</v>
      </c>
      <c r="J522">
        <v>1</v>
      </c>
      <c r="K522">
        <f t="shared" ref="K522:L522" si="2071">K521</f>
        <v>1.6666666666666667</v>
      </c>
      <c r="L522">
        <f t="shared" si="2071"/>
        <v>0.94280904158206336</v>
      </c>
      <c r="M522">
        <v>90</v>
      </c>
      <c r="N522">
        <f t="shared" ref="N522:O522" si="2072">N521</f>
        <v>99.333333333333329</v>
      </c>
      <c r="O522">
        <f t="shared" si="2072"/>
        <v>8.2192186706253025</v>
      </c>
      <c r="P522">
        <v>168</v>
      </c>
      <c r="Q522">
        <v>0.43</v>
      </c>
      <c r="R522">
        <v>72.239999999999995</v>
      </c>
      <c r="S522">
        <v>0.33</v>
      </c>
      <c r="T522">
        <v>55.440000000000005</v>
      </c>
      <c r="U522">
        <v>19.649999999999999</v>
      </c>
    </row>
    <row r="523" spans="1:21" x14ac:dyDescent="0.25">
      <c r="A523" t="s">
        <v>338</v>
      </c>
      <c r="B523" s="4" t="s">
        <v>52</v>
      </c>
      <c r="C523" s="1">
        <v>4</v>
      </c>
      <c r="D523">
        <v>120</v>
      </c>
      <c r="E523">
        <v>3</v>
      </c>
      <c r="F523">
        <v>2</v>
      </c>
      <c r="G523">
        <v>106</v>
      </c>
      <c r="H523">
        <f t="shared" ref="H523:I523" si="2073">H521</f>
        <v>108</v>
      </c>
      <c r="I523">
        <f t="shared" si="2073"/>
        <v>2.8284271247461903</v>
      </c>
      <c r="J523">
        <v>3</v>
      </c>
      <c r="K523">
        <f t="shared" ref="K523:L523" si="2074">K521</f>
        <v>1.6666666666666667</v>
      </c>
      <c r="L523">
        <f t="shared" si="2074"/>
        <v>0.94280904158206336</v>
      </c>
      <c r="M523">
        <v>98</v>
      </c>
      <c r="N523">
        <f t="shared" ref="N523:O523" si="2075">N521</f>
        <v>99.333333333333329</v>
      </c>
      <c r="O523">
        <f t="shared" si="2075"/>
        <v>8.2192186706253025</v>
      </c>
      <c r="P523">
        <v>177</v>
      </c>
      <c r="Q523">
        <v>0.55000000000000004</v>
      </c>
      <c r="R523">
        <v>97.350000000000009</v>
      </c>
      <c r="S523">
        <v>0.7</v>
      </c>
      <c r="T523">
        <v>123.89999999999999</v>
      </c>
      <c r="U523" t="s">
        <v>20</v>
      </c>
    </row>
    <row r="524" spans="1:21" x14ac:dyDescent="0.25">
      <c r="A524" t="s">
        <v>340</v>
      </c>
      <c r="B524" s="4" t="s">
        <v>75</v>
      </c>
      <c r="C524" s="1">
        <v>4</v>
      </c>
      <c r="D524">
        <v>120</v>
      </c>
      <c r="E524">
        <v>1</v>
      </c>
      <c r="F524">
        <v>40</v>
      </c>
      <c r="G524">
        <v>116</v>
      </c>
      <c r="H524">
        <f t="shared" ref="H524" si="2076">AVERAGE(G524:G526)</f>
        <v>117</v>
      </c>
      <c r="I524">
        <f t="shared" ref="I524" si="2077">_xlfn.STDEV.P(G524:G526)</f>
        <v>1.4142135623730951</v>
      </c>
      <c r="J524">
        <v>0</v>
      </c>
      <c r="K524">
        <f t="shared" ref="K524" si="2078">AVERAGE(J524:J526)</f>
        <v>0.33333333333333331</v>
      </c>
      <c r="L524">
        <f t="shared" ref="L524" si="2079">_xlfn.STDEV.P(J524:J526)</f>
        <v>0.47140452079103168</v>
      </c>
      <c r="M524">
        <v>93</v>
      </c>
      <c r="N524">
        <f t="shared" ref="N524" si="2080">AVERAGE(M524:M526)</f>
        <v>99</v>
      </c>
      <c r="O524">
        <f t="shared" ref="O524" si="2081">_xlfn.STDEV.P(M524:M526)</f>
        <v>5.3541261347363367</v>
      </c>
      <c r="P524">
        <v>186</v>
      </c>
      <c r="Q524">
        <v>0.54</v>
      </c>
      <c r="R524">
        <v>100.44000000000001</v>
      </c>
      <c r="S524">
        <v>0.55000000000000004</v>
      </c>
      <c r="T524">
        <v>102.30000000000001</v>
      </c>
      <c r="U524">
        <v>17.61</v>
      </c>
    </row>
    <row r="525" spans="1:21" x14ac:dyDescent="0.25">
      <c r="A525" t="s">
        <v>340</v>
      </c>
      <c r="B525" s="4" t="s">
        <v>75</v>
      </c>
      <c r="C525" s="1">
        <v>4</v>
      </c>
      <c r="D525">
        <v>120</v>
      </c>
      <c r="E525">
        <v>2</v>
      </c>
      <c r="F525">
        <v>40</v>
      </c>
      <c r="G525">
        <v>116</v>
      </c>
      <c r="H525">
        <f t="shared" ref="H525:I525" si="2082">H524</f>
        <v>117</v>
      </c>
      <c r="I525">
        <f t="shared" si="2082"/>
        <v>1.4142135623730951</v>
      </c>
      <c r="J525">
        <v>0</v>
      </c>
      <c r="K525">
        <f t="shared" ref="K525:L525" si="2083">K524</f>
        <v>0.33333333333333331</v>
      </c>
      <c r="L525">
        <f t="shared" si="2083"/>
        <v>0.47140452079103168</v>
      </c>
      <c r="M525">
        <v>106</v>
      </c>
      <c r="N525">
        <f t="shared" ref="N525:O525" si="2084">N524</f>
        <v>99</v>
      </c>
      <c r="O525">
        <f t="shared" si="2084"/>
        <v>5.3541261347363367</v>
      </c>
      <c r="P525">
        <v>177</v>
      </c>
      <c r="Q525">
        <v>0.66</v>
      </c>
      <c r="R525">
        <v>116.82000000000001</v>
      </c>
      <c r="S525">
        <v>0.62</v>
      </c>
      <c r="T525">
        <v>109.74</v>
      </c>
      <c r="U525">
        <v>19.68</v>
      </c>
    </row>
    <row r="526" spans="1:21" x14ac:dyDescent="0.25">
      <c r="A526" t="s">
        <v>340</v>
      </c>
      <c r="B526" s="4" t="s">
        <v>75</v>
      </c>
      <c r="C526" s="1">
        <v>4</v>
      </c>
      <c r="D526">
        <v>120</v>
      </c>
      <c r="E526">
        <v>3</v>
      </c>
      <c r="F526">
        <v>44</v>
      </c>
      <c r="G526">
        <v>119</v>
      </c>
      <c r="H526">
        <f t="shared" ref="H526:I526" si="2085">H524</f>
        <v>117</v>
      </c>
      <c r="I526">
        <f t="shared" si="2085"/>
        <v>1.4142135623730951</v>
      </c>
      <c r="J526">
        <v>1</v>
      </c>
      <c r="K526">
        <f t="shared" ref="K526:L526" si="2086">K524</f>
        <v>0.33333333333333331</v>
      </c>
      <c r="L526">
        <f t="shared" si="2086"/>
        <v>0.47140452079103168</v>
      </c>
      <c r="M526">
        <v>98</v>
      </c>
      <c r="N526">
        <f t="shared" ref="N526:O526" si="2087">N524</f>
        <v>99</v>
      </c>
      <c r="O526">
        <f t="shared" si="2087"/>
        <v>5.3541261347363367</v>
      </c>
      <c r="P526">
        <v>192</v>
      </c>
      <c r="Q526">
        <v>0.56999999999999995</v>
      </c>
      <c r="R526">
        <v>109.44</v>
      </c>
      <c r="S526">
        <v>0.53</v>
      </c>
      <c r="T526">
        <v>101.76</v>
      </c>
      <c r="U526">
        <v>18.59</v>
      </c>
    </row>
    <row r="527" spans="1:21" x14ac:dyDescent="0.25">
      <c r="A527" t="s">
        <v>342</v>
      </c>
      <c r="B527" s="4" t="s">
        <v>75</v>
      </c>
      <c r="C527" s="1">
        <v>4</v>
      </c>
      <c r="D527">
        <v>120</v>
      </c>
      <c r="E527">
        <v>1</v>
      </c>
      <c r="F527">
        <v>20</v>
      </c>
      <c r="G527">
        <v>121</v>
      </c>
      <c r="H527">
        <f t="shared" ref="H527" si="2088">AVERAGE(G527:G529)</f>
        <v>130.66666666666666</v>
      </c>
      <c r="I527">
        <f t="shared" ref="I527" si="2089">_xlfn.STDEV.P(G527:G529)</f>
        <v>11.61416759345623</v>
      </c>
      <c r="J527">
        <v>1</v>
      </c>
      <c r="K527">
        <f t="shared" ref="K527" si="2090">AVERAGE(J527:J529)</f>
        <v>1</v>
      </c>
      <c r="L527">
        <f t="shared" ref="L527" si="2091">_xlfn.STDEV.P(J527:J529)</f>
        <v>0</v>
      </c>
      <c r="M527">
        <v>105</v>
      </c>
      <c r="N527">
        <f t="shared" ref="N527" si="2092">AVERAGE(M527:M529)</f>
        <v>100.33333333333333</v>
      </c>
      <c r="O527">
        <f t="shared" ref="O527" si="2093">_xlfn.STDEV.P(M527:M529)</f>
        <v>6.5996632910744442</v>
      </c>
      <c r="P527">
        <v>183</v>
      </c>
      <c r="Q527">
        <v>0.52</v>
      </c>
      <c r="R527">
        <v>95.16</v>
      </c>
      <c r="S527">
        <v>0.42</v>
      </c>
      <c r="T527">
        <v>76.86</v>
      </c>
      <c r="U527" t="s">
        <v>20</v>
      </c>
    </row>
    <row r="528" spans="1:21" x14ac:dyDescent="0.25">
      <c r="A528" t="s">
        <v>342</v>
      </c>
      <c r="B528" s="4" t="s">
        <v>75</v>
      </c>
      <c r="C528" s="1">
        <v>4</v>
      </c>
      <c r="D528">
        <v>120</v>
      </c>
      <c r="E528">
        <v>2</v>
      </c>
      <c r="F528">
        <v>24</v>
      </c>
      <c r="G528">
        <v>124</v>
      </c>
      <c r="H528">
        <f t="shared" ref="H528:I528" si="2094">H527</f>
        <v>130.66666666666666</v>
      </c>
      <c r="I528">
        <f t="shared" si="2094"/>
        <v>11.61416759345623</v>
      </c>
      <c r="J528">
        <v>1</v>
      </c>
      <c r="K528">
        <f t="shared" ref="K528:L528" si="2095">K527</f>
        <v>1</v>
      </c>
      <c r="L528">
        <f t="shared" si="2095"/>
        <v>0</v>
      </c>
      <c r="M528">
        <v>105</v>
      </c>
      <c r="N528">
        <f t="shared" ref="N528:O528" si="2096">N527</f>
        <v>100.33333333333333</v>
      </c>
      <c r="O528">
        <f t="shared" si="2096"/>
        <v>6.5996632910744442</v>
      </c>
      <c r="P528">
        <v>181</v>
      </c>
      <c r="Q528">
        <v>0.6</v>
      </c>
      <c r="R528">
        <v>108.6</v>
      </c>
      <c r="S528">
        <v>0.47</v>
      </c>
      <c r="T528">
        <v>85.07</v>
      </c>
      <c r="U528" t="s">
        <v>20</v>
      </c>
    </row>
    <row r="529" spans="1:21" x14ac:dyDescent="0.25">
      <c r="A529" t="s">
        <v>342</v>
      </c>
      <c r="B529" s="4" t="s">
        <v>75</v>
      </c>
      <c r="C529" s="1">
        <v>4</v>
      </c>
      <c r="D529">
        <v>120</v>
      </c>
      <c r="E529">
        <v>3</v>
      </c>
      <c r="F529" t="s">
        <v>20</v>
      </c>
      <c r="G529">
        <v>147</v>
      </c>
      <c r="H529">
        <f t="shared" ref="H529:I529" si="2097">H527</f>
        <v>130.66666666666666</v>
      </c>
      <c r="I529">
        <f t="shared" si="2097"/>
        <v>11.61416759345623</v>
      </c>
      <c r="J529">
        <v>1</v>
      </c>
      <c r="K529">
        <f t="shared" ref="K529:L529" si="2098">K527</f>
        <v>1</v>
      </c>
      <c r="L529">
        <f t="shared" si="2098"/>
        <v>0</v>
      </c>
      <c r="M529">
        <v>91</v>
      </c>
      <c r="N529">
        <f t="shared" ref="N529:O529" si="2099">N527</f>
        <v>100.33333333333333</v>
      </c>
      <c r="O529">
        <f t="shared" si="2099"/>
        <v>6.5996632910744442</v>
      </c>
      <c r="P529">
        <v>177</v>
      </c>
      <c r="Q529">
        <v>0.68</v>
      </c>
      <c r="R529">
        <v>120.36000000000001</v>
      </c>
      <c r="S529">
        <v>0.63</v>
      </c>
      <c r="T529">
        <v>111.51</v>
      </c>
      <c r="U529" t="s">
        <v>20</v>
      </c>
    </row>
    <row r="530" spans="1:21" x14ac:dyDescent="0.25">
      <c r="A530" t="s">
        <v>344</v>
      </c>
      <c r="B530" s="4" t="s">
        <v>64</v>
      </c>
      <c r="C530" s="1">
        <v>3</v>
      </c>
      <c r="D530">
        <v>120</v>
      </c>
      <c r="E530">
        <v>1</v>
      </c>
      <c r="F530">
        <v>54</v>
      </c>
      <c r="G530">
        <v>95</v>
      </c>
      <c r="H530">
        <f t="shared" ref="H530" si="2100">AVERAGE(G530:G532)</f>
        <v>96.333333333333329</v>
      </c>
      <c r="I530">
        <f t="shared" ref="I530" si="2101">_xlfn.STDEV.P(G530:G532)</f>
        <v>1.8856180831641267</v>
      </c>
      <c r="J530">
        <v>1</v>
      </c>
      <c r="K530">
        <f t="shared" ref="K530" si="2102">AVERAGE(J530:J532)</f>
        <v>0.66666666666666663</v>
      </c>
      <c r="L530">
        <f t="shared" ref="L530" si="2103">_xlfn.STDEV.P(J530:J532)</f>
        <v>0.47140452079103168</v>
      </c>
      <c r="M530">
        <v>116</v>
      </c>
      <c r="N530">
        <f t="shared" ref="N530" si="2104">AVERAGE(M530:M532)</f>
        <v>117.66666666666667</v>
      </c>
      <c r="O530">
        <f t="shared" ref="O530" si="2105">_xlfn.STDEV.P(M530:M532)</f>
        <v>3.0912061651652345</v>
      </c>
      <c r="P530">
        <v>147</v>
      </c>
      <c r="Q530">
        <v>0.61</v>
      </c>
      <c r="R530">
        <v>89.67</v>
      </c>
      <c r="S530">
        <v>0.78</v>
      </c>
      <c r="T530">
        <v>114.66000000000001</v>
      </c>
      <c r="U530">
        <v>15.71</v>
      </c>
    </row>
    <row r="531" spans="1:21" x14ac:dyDescent="0.25">
      <c r="A531" t="s">
        <v>344</v>
      </c>
      <c r="B531" s="4" t="s">
        <v>64</v>
      </c>
      <c r="C531" s="1">
        <v>3</v>
      </c>
      <c r="D531">
        <v>120</v>
      </c>
      <c r="E531">
        <v>2</v>
      </c>
      <c r="F531">
        <v>64</v>
      </c>
      <c r="G531">
        <v>95</v>
      </c>
      <c r="H531">
        <f t="shared" ref="H531:I531" si="2106">H530</f>
        <v>96.333333333333329</v>
      </c>
      <c r="I531">
        <f t="shared" si="2106"/>
        <v>1.8856180831641267</v>
      </c>
      <c r="J531">
        <v>0</v>
      </c>
      <c r="K531">
        <f t="shared" ref="K531:L531" si="2107">K530</f>
        <v>0.66666666666666663</v>
      </c>
      <c r="L531">
        <f t="shared" si="2107"/>
        <v>0.47140452079103168</v>
      </c>
      <c r="M531">
        <v>122</v>
      </c>
      <c r="N531">
        <f t="shared" ref="N531:O531" si="2108">N530</f>
        <v>117.66666666666667</v>
      </c>
      <c r="O531">
        <f t="shared" si="2108"/>
        <v>3.0912061651652345</v>
      </c>
      <c r="P531">
        <v>147</v>
      </c>
      <c r="Q531">
        <v>0.59</v>
      </c>
      <c r="R531">
        <v>86.72999999999999</v>
      </c>
      <c r="S531">
        <v>0.65</v>
      </c>
      <c r="T531">
        <v>95.55</v>
      </c>
      <c r="U531">
        <v>15.5</v>
      </c>
    </row>
    <row r="532" spans="1:21" x14ac:dyDescent="0.25">
      <c r="A532" t="s">
        <v>344</v>
      </c>
      <c r="B532" s="4" t="s">
        <v>64</v>
      </c>
      <c r="C532" s="1">
        <v>3</v>
      </c>
      <c r="D532">
        <v>120</v>
      </c>
      <c r="E532">
        <v>3</v>
      </c>
      <c r="F532" t="s">
        <v>20</v>
      </c>
      <c r="G532">
        <v>99</v>
      </c>
      <c r="H532">
        <f t="shared" ref="H532:I532" si="2109">H530</f>
        <v>96.333333333333329</v>
      </c>
      <c r="I532">
        <f t="shared" si="2109"/>
        <v>1.8856180831641267</v>
      </c>
      <c r="J532">
        <v>1</v>
      </c>
      <c r="K532">
        <f t="shared" ref="K532:L532" si="2110">K530</f>
        <v>0.66666666666666663</v>
      </c>
      <c r="L532">
        <f t="shared" si="2110"/>
        <v>0.47140452079103168</v>
      </c>
      <c r="M532">
        <v>115</v>
      </c>
      <c r="N532">
        <f t="shared" ref="N532:O532" si="2111">N530</f>
        <v>117.66666666666667</v>
      </c>
      <c r="O532">
        <f t="shared" si="2111"/>
        <v>3.0912061651652345</v>
      </c>
      <c r="P532">
        <v>153</v>
      </c>
      <c r="Q532">
        <v>0.55000000000000004</v>
      </c>
      <c r="R532">
        <v>84.15</v>
      </c>
      <c r="S532">
        <v>0.56000000000000005</v>
      </c>
      <c r="T532">
        <v>85.68</v>
      </c>
      <c r="U532" t="s">
        <v>20</v>
      </c>
    </row>
    <row r="533" spans="1:21" x14ac:dyDescent="0.25">
      <c r="A533" t="s">
        <v>345</v>
      </c>
      <c r="B533" s="4" t="s">
        <v>81</v>
      </c>
      <c r="C533" s="1">
        <v>4</v>
      </c>
      <c r="D533">
        <v>120</v>
      </c>
      <c r="E533">
        <v>1</v>
      </c>
      <c r="F533">
        <v>34</v>
      </c>
      <c r="G533">
        <v>119</v>
      </c>
      <c r="H533">
        <f t="shared" ref="H533" si="2112">AVERAGE(G533:G535)</f>
        <v>118.66666666666667</v>
      </c>
      <c r="I533">
        <f t="shared" ref="I533" si="2113">_xlfn.STDEV.P(G533:G535)</f>
        <v>2.0548046676563256</v>
      </c>
      <c r="J533">
        <v>4</v>
      </c>
      <c r="K533">
        <f t="shared" ref="K533" si="2114">AVERAGE(J533:J535)</f>
        <v>4</v>
      </c>
      <c r="L533">
        <f t="shared" ref="L533" si="2115">_xlfn.STDEV.P(J533:J535)</f>
        <v>0</v>
      </c>
      <c r="M533">
        <v>111</v>
      </c>
      <c r="N533">
        <f t="shared" ref="N533" si="2116">AVERAGE(M533:M535)</f>
        <v>114.33333333333333</v>
      </c>
      <c r="O533">
        <f t="shared" ref="O533" si="2117">_xlfn.STDEV.P(M533:M535)</f>
        <v>5.4365021434333629</v>
      </c>
      <c r="P533">
        <v>181</v>
      </c>
      <c r="Q533">
        <v>0.45</v>
      </c>
      <c r="R533">
        <v>81.45</v>
      </c>
      <c r="S533">
        <v>0.57999999999999996</v>
      </c>
      <c r="T533">
        <v>104.97999999999999</v>
      </c>
      <c r="U533">
        <v>15.25</v>
      </c>
    </row>
    <row r="534" spans="1:21" x14ac:dyDescent="0.25">
      <c r="A534" t="s">
        <v>345</v>
      </c>
      <c r="B534" s="4" t="s">
        <v>81</v>
      </c>
      <c r="C534" s="1">
        <v>4</v>
      </c>
      <c r="D534">
        <v>120</v>
      </c>
      <c r="E534">
        <v>2</v>
      </c>
      <c r="F534" t="s">
        <v>20</v>
      </c>
      <c r="G534">
        <v>116</v>
      </c>
      <c r="H534">
        <f t="shared" ref="H534:I534" si="2118">H533</f>
        <v>118.66666666666667</v>
      </c>
      <c r="I534">
        <f t="shared" si="2118"/>
        <v>2.0548046676563256</v>
      </c>
      <c r="J534">
        <v>4</v>
      </c>
      <c r="K534">
        <f t="shared" ref="K534:L534" si="2119">K533</f>
        <v>4</v>
      </c>
      <c r="L534">
        <f t="shared" si="2119"/>
        <v>0</v>
      </c>
      <c r="M534">
        <v>122</v>
      </c>
      <c r="N534">
        <f t="shared" ref="N534:O534" si="2120">N533</f>
        <v>114.33333333333333</v>
      </c>
      <c r="O534">
        <f t="shared" si="2120"/>
        <v>5.4365021434333629</v>
      </c>
      <c r="P534">
        <v>180</v>
      </c>
      <c r="Q534">
        <v>0.5</v>
      </c>
      <c r="R534">
        <v>90</v>
      </c>
      <c r="S534">
        <v>0.67</v>
      </c>
      <c r="T534">
        <v>120.60000000000001</v>
      </c>
      <c r="U534">
        <v>15.51</v>
      </c>
    </row>
    <row r="535" spans="1:21" x14ac:dyDescent="0.25">
      <c r="A535" t="s">
        <v>345</v>
      </c>
      <c r="B535" s="4" t="s">
        <v>81</v>
      </c>
      <c r="C535" s="1">
        <v>4</v>
      </c>
      <c r="D535">
        <v>120</v>
      </c>
      <c r="E535">
        <v>3</v>
      </c>
      <c r="F535" t="s">
        <v>20</v>
      </c>
      <c r="G535">
        <v>121</v>
      </c>
      <c r="H535">
        <f t="shared" ref="H535:I535" si="2121">H533</f>
        <v>118.66666666666667</v>
      </c>
      <c r="I535">
        <f t="shared" si="2121"/>
        <v>2.0548046676563256</v>
      </c>
      <c r="J535">
        <v>4</v>
      </c>
      <c r="K535">
        <f t="shared" ref="K535:L535" si="2122">K533</f>
        <v>4</v>
      </c>
      <c r="L535">
        <f t="shared" si="2122"/>
        <v>0</v>
      </c>
      <c r="M535">
        <v>110</v>
      </c>
      <c r="N535">
        <f t="shared" ref="N535:O535" si="2123">N533</f>
        <v>114.33333333333333</v>
      </c>
      <c r="O535">
        <f t="shared" si="2123"/>
        <v>5.4365021434333629</v>
      </c>
      <c r="P535">
        <v>192</v>
      </c>
      <c r="Q535">
        <v>0.41</v>
      </c>
      <c r="R535">
        <v>78.72</v>
      </c>
      <c r="S535">
        <v>0.45</v>
      </c>
      <c r="T535">
        <v>86.4</v>
      </c>
      <c r="U535" t="s">
        <v>20</v>
      </c>
    </row>
    <row r="536" spans="1:21" x14ac:dyDescent="0.25">
      <c r="A536" t="s">
        <v>347</v>
      </c>
      <c r="B536" s="4" t="s">
        <v>58</v>
      </c>
      <c r="C536" s="1">
        <v>2</v>
      </c>
      <c r="D536">
        <v>120</v>
      </c>
      <c r="E536">
        <v>1</v>
      </c>
      <c r="F536">
        <v>48</v>
      </c>
      <c r="G536">
        <v>137</v>
      </c>
      <c r="H536">
        <f t="shared" ref="H536" si="2124">AVERAGE(G536:G538)</f>
        <v>137.33333333333334</v>
      </c>
      <c r="I536">
        <f t="shared" ref="I536" si="2125">_xlfn.STDEV.P(G536:G538)</f>
        <v>0.47140452079103168</v>
      </c>
      <c r="J536">
        <v>0</v>
      </c>
      <c r="K536">
        <f t="shared" ref="K536" si="2126">AVERAGE(J536:J538)</f>
        <v>0</v>
      </c>
      <c r="L536">
        <f t="shared" ref="L536" si="2127">_xlfn.STDEV.P(J536:J538)</f>
        <v>0</v>
      </c>
      <c r="M536">
        <v>120</v>
      </c>
      <c r="N536">
        <f t="shared" ref="N536" si="2128">AVERAGE(M536:M538)</f>
        <v>116</v>
      </c>
      <c r="O536">
        <f t="shared" ref="O536" si="2129">_xlfn.STDEV.P(M536:M538)</f>
        <v>4.9665548085837798</v>
      </c>
      <c r="P536">
        <v>183</v>
      </c>
      <c r="Q536">
        <v>0.64</v>
      </c>
      <c r="R536">
        <v>117.12</v>
      </c>
      <c r="S536">
        <v>0.7</v>
      </c>
      <c r="T536">
        <v>128.1</v>
      </c>
      <c r="U536" t="s">
        <v>20</v>
      </c>
    </row>
    <row r="537" spans="1:21" x14ac:dyDescent="0.25">
      <c r="A537" t="s">
        <v>347</v>
      </c>
      <c r="B537" s="4" t="s">
        <v>58</v>
      </c>
      <c r="C537" s="1">
        <v>2</v>
      </c>
      <c r="D537">
        <v>120</v>
      </c>
      <c r="E537">
        <v>2</v>
      </c>
      <c r="F537" t="s">
        <v>20</v>
      </c>
      <c r="G537">
        <v>138</v>
      </c>
      <c r="H537">
        <f t="shared" ref="H537:I537" si="2130">H536</f>
        <v>137.33333333333334</v>
      </c>
      <c r="I537">
        <f t="shared" si="2130"/>
        <v>0.47140452079103168</v>
      </c>
      <c r="J537">
        <v>0</v>
      </c>
      <c r="K537">
        <f t="shared" ref="K537:L537" si="2131">K536</f>
        <v>0</v>
      </c>
      <c r="L537">
        <f t="shared" si="2131"/>
        <v>0</v>
      </c>
      <c r="M537">
        <v>119</v>
      </c>
      <c r="N537">
        <f t="shared" ref="N537:O537" si="2132">N536</f>
        <v>116</v>
      </c>
      <c r="O537">
        <f t="shared" si="2132"/>
        <v>4.9665548085837798</v>
      </c>
      <c r="P537">
        <v>181</v>
      </c>
      <c r="Q537">
        <v>0.65</v>
      </c>
      <c r="R537">
        <v>117.65</v>
      </c>
      <c r="S537">
        <v>0.69</v>
      </c>
      <c r="T537">
        <v>124.88999999999999</v>
      </c>
      <c r="U537" t="s">
        <v>20</v>
      </c>
    </row>
    <row r="538" spans="1:21" x14ac:dyDescent="0.25">
      <c r="A538" t="s">
        <v>347</v>
      </c>
      <c r="B538" s="4" t="s">
        <v>58</v>
      </c>
      <c r="C538" s="1">
        <v>2</v>
      </c>
      <c r="D538">
        <v>120</v>
      </c>
      <c r="E538">
        <v>3</v>
      </c>
      <c r="F538" t="s">
        <v>20</v>
      </c>
      <c r="G538">
        <v>137</v>
      </c>
      <c r="H538">
        <f t="shared" ref="H538:I538" si="2133">H536</f>
        <v>137.33333333333334</v>
      </c>
      <c r="I538">
        <f t="shared" si="2133"/>
        <v>0.47140452079103168</v>
      </c>
      <c r="J538">
        <v>0</v>
      </c>
      <c r="K538">
        <f t="shared" ref="K538:L538" si="2134">K536</f>
        <v>0</v>
      </c>
      <c r="L538">
        <f t="shared" si="2134"/>
        <v>0</v>
      </c>
      <c r="M538">
        <v>109</v>
      </c>
      <c r="N538">
        <f t="shared" ref="N538:O538" si="2135">N536</f>
        <v>116</v>
      </c>
      <c r="O538">
        <f t="shared" si="2135"/>
        <v>4.9665548085837798</v>
      </c>
      <c r="P538">
        <v>186</v>
      </c>
      <c r="Q538">
        <v>0.64</v>
      </c>
      <c r="R538">
        <v>119.04</v>
      </c>
      <c r="S538">
        <v>0.66</v>
      </c>
      <c r="T538">
        <v>122.76</v>
      </c>
      <c r="U538" t="s">
        <v>20</v>
      </c>
    </row>
    <row r="539" spans="1:21" x14ac:dyDescent="0.25">
      <c r="A539" t="s">
        <v>348</v>
      </c>
      <c r="B539" s="4" t="s">
        <v>58</v>
      </c>
      <c r="C539" s="1">
        <v>2</v>
      </c>
      <c r="D539">
        <v>120</v>
      </c>
      <c r="E539">
        <v>1</v>
      </c>
      <c r="F539" t="s">
        <v>20</v>
      </c>
      <c r="G539">
        <v>122</v>
      </c>
      <c r="H539">
        <f t="shared" ref="H539" si="2136">AVERAGE(G539:G541)</f>
        <v>131</v>
      </c>
      <c r="I539">
        <f t="shared" ref="I539" si="2137">_xlfn.STDEV.P(G539:G541)</f>
        <v>6.4807406984078604</v>
      </c>
      <c r="J539">
        <v>0</v>
      </c>
      <c r="K539">
        <f t="shared" ref="K539" si="2138">AVERAGE(J539:J541)</f>
        <v>0.33333333333333331</v>
      </c>
      <c r="L539">
        <f t="shared" ref="L539" si="2139">_xlfn.STDEV.P(J539:J541)</f>
        <v>0.47140452079103168</v>
      </c>
      <c r="M539">
        <v>130</v>
      </c>
      <c r="N539">
        <f t="shared" ref="N539" si="2140">AVERAGE(M539:M541)</f>
        <v>125</v>
      </c>
      <c r="O539">
        <f t="shared" ref="O539" si="2141">_xlfn.STDEV.P(M539:M541)</f>
        <v>8.5244745683629475</v>
      </c>
      <c r="P539">
        <v>187</v>
      </c>
      <c r="Q539">
        <v>0.62</v>
      </c>
      <c r="R539">
        <v>115.94</v>
      </c>
      <c r="S539">
        <v>0.71</v>
      </c>
      <c r="T539">
        <v>132.76999999999998</v>
      </c>
      <c r="U539" t="s">
        <v>20</v>
      </c>
    </row>
    <row r="540" spans="1:21" x14ac:dyDescent="0.25">
      <c r="A540" t="s">
        <v>348</v>
      </c>
      <c r="B540" s="4" t="s">
        <v>58</v>
      </c>
      <c r="C540" s="1">
        <v>2</v>
      </c>
      <c r="D540">
        <v>120</v>
      </c>
      <c r="E540">
        <v>2</v>
      </c>
      <c r="F540" t="s">
        <v>20</v>
      </c>
      <c r="G540">
        <v>137</v>
      </c>
      <c r="H540">
        <f t="shared" ref="H540:I540" si="2142">H539</f>
        <v>131</v>
      </c>
      <c r="I540">
        <f t="shared" si="2142"/>
        <v>6.4807406984078604</v>
      </c>
      <c r="J540">
        <v>0</v>
      </c>
      <c r="K540">
        <f t="shared" ref="K540:L540" si="2143">K539</f>
        <v>0.33333333333333331</v>
      </c>
      <c r="L540">
        <f t="shared" si="2143"/>
        <v>0.47140452079103168</v>
      </c>
      <c r="M540">
        <v>113</v>
      </c>
      <c r="N540">
        <f t="shared" ref="N540:O540" si="2144">N539</f>
        <v>125</v>
      </c>
      <c r="O540">
        <f t="shared" si="2144"/>
        <v>8.5244745683629475</v>
      </c>
      <c r="P540">
        <v>187</v>
      </c>
      <c r="Q540">
        <v>0.63</v>
      </c>
      <c r="R540">
        <v>117.81</v>
      </c>
      <c r="S540">
        <v>0.48</v>
      </c>
      <c r="T540">
        <v>89.759999999999991</v>
      </c>
      <c r="U540" t="s">
        <v>20</v>
      </c>
    </row>
    <row r="541" spans="1:21" x14ac:dyDescent="0.25">
      <c r="A541" t="s">
        <v>348</v>
      </c>
      <c r="B541" s="4" t="s">
        <v>58</v>
      </c>
      <c r="C541" s="1">
        <v>2</v>
      </c>
      <c r="D541">
        <v>120</v>
      </c>
      <c r="E541">
        <v>3</v>
      </c>
      <c r="F541" t="s">
        <v>20</v>
      </c>
      <c r="G541">
        <v>134</v>
      </c>
      <c r="H541">
        <f t="shared" ref="H541:I541" si="2145">H539</f>
        <v>131</v>
      </c>
      <c r="I541">
        <f t="shared" si="2145"/>
        <v>6.4807406984078604</v>
      </c>
      <c r="J541">
        <v>1</v>
      </c>
      <c r="K541">
        <f t="shared" ref="K541:L541" si="2146">K539</f>
        <v>0.33333333333333331</v>
      </c>
      <c r="L541">
        <f t="shared" si="2146"/>
        <v>0.47140452079103168</v>
      </c>
      <c r="M541">
        <v>132</v>
      </c>
      <c r="N541">
        <f t="shared" ref="N541:O541" si="2147">N539</f>
        <v>125</v>
      </c>
      <c r="O541">
        <f t="shared" si="2147"/>
        <v>8.5244745683629475</v>
      </c>
      <c r="P541">
        <v>186</v>
      </c>
      <c r="Q541">
        <v>0.62</v>
      </c>
      <c r="R541">
        <v>115.32</v>
      </c>
      <c r="S541">
        <v>0.77</v>
      </c>
      <c r="T541">
        <v>143.22</v>
      </c>
      <c r="U541" t="s">
        <v>20</v>
      </c>
    </row>
    <row r="542" spans="1:21" x14ac:dyDescent="0.25">
      <c r="A542" t="s">
        <v>349</v>
      </c>
      <c r="B542" s="4" t="s">
        <v>14</v>
      </c>
      <c r="C542" s="1" t="s">
        <v>20</v>
      </c>
      <c r="D542">
        <v>120</v>
      </c>
      <c r="E542">
        <v>1</v>
      </c>
      <c r="F542">
        <v>54</v>
      </c>
      <c r="G542">
        <v>139</v>
      </c>
      <c r="H542">
        <f t="shared" ref="H542" si="2148">AVERAGE(G542:G544)</f>
        <v>141</v>
      </c>
      <c r="I542">
        <f t="shared" ref="I542" si="2149">_xlfn.STDEV.P(G542:G544)</f>
        <v>3.5590260840104371</v>
      </c>
      <c r="J542">
        <v>3</v>
      </c>
      <c r="K542">
        <f t="shared" ref="K542" si="2150">AVERAGE(J542:J544)</f>
        <v>2.6666666666666665</v>
      </c>
      <c r="L542">
        <f t="shared" ref="L542" si="2151">_xlfn.STDEV.P(J542:J544)</f>
        <v>0.47140452079103168</v>
      </c>
      <c r="M542">
        <v>120</v>
      </c>
      <c r="N542">
        <f t="shared" ref="N542" si="2152">AVERAGE(M542:M544)</f>
        <v>108.33333333333333</v>
      </c>
      <c r="O542">
        <f t="shared" ref="O542" si="2153">_xlfn.STDEV.P(M542:M544)</f>
        <v>8.3399973354645365</v>
      </c>
      <c r="P542">
        <v>186</v>
      </c>
      <c r="Q542">
        <v>0.66</v>
      </c>
      <c r="R542">
        <v>122.76</v>
      </c>
      <c r="S542">
        <v>0.62</v>
      </c>
      <c r="T542">
        <v>115.32</v>
      </c>
      <c r="U542" t="s">
        <v>20</v>
      </c>
    </row>
    <row r="543" spans="1:21" x14ac:dyDescent="0.25">
      <c r="A543" t="s">
        <v>349</v>
      </c>
      <c r="B543" s="4" t="s">
        <v>14</v>
      </c>
      <c r="C543" s="1" t="s">
        <v>20</v>
      </c>
      <c r="D543">
        <v>120</v>
      </c>
      <c r="E543">
        <v>2</v>
      </c>
      <c r="F543">
        <v>72</v>
      </c>
      <c r="G543">
        <v>138</v>
      </c>
      <c r="H543">
        <f t="shared" ref="H543:I543" si="2154">H542</f>
        <v>141</v>
      </c>
      <c r="I543">
        <f t="shared" si="2154"/>
        <v>3.5590260840104371</v>
      </c>
      <c r="J543">
        <v>3</v>
      </c>
      <c r="K543">
        <f t="shared" ref="K543:L543" si="2155">K542</f>
        <v>2.6666666666666665</v>
      </c>
      <c r="L543">
        <f t="shared" si="2155"/>
        <v>0.47140452079103168</v>
      </c>
      <c r="M543">
        <v>104</v>
      </c>
      <c r="N543">
        <f t="shared" ref="N543:O543" si="2156">N542</f>
        <v>108.33333333333333</v>
      </c>
      <c r="O543">
        <f t="shared" si="2156"/>
        <v>8.3399973354645365</v>
      </c>
      <c r="P543">
        <v>180</v>
      </c>
      <c r="Q543">
        <v>0.6</v>
      </c>
      <c r="R543">
        <v>108</v>
      </c>
      <c r="S543">
        <v>0.65</v>
      </c>
      <c r="T543">
        <v>117</v>
      </c>
      <c r="U543" t="s">
        <v>20</v>
      </c>
    </row>
    <row r="544" spans="1:21" x14ac:dyDescent="0.25">
      <c r="A544" t="s">
        <v>349</v>
      </c>
      <c r="B544" s="4" t="s">
        <v>14</v>
      </c>
      <c r="C544" s="1" t="s">
        <v>20</v>
      </c>
      <c r="D544">
        <v>120</v>
      </c>
      <c r="E544">
        <v>3</v>
      </c>
      <c r="F544" t="s">
        <v>20</v>
      </c>
      <c r="G544">
        <v>146</v>
      </c>
      <c r="H544">
        <f t="shared" ref="H544:I544" si="2157">H542</f>
        <v>141</v>
      </c>
      <c r="I544">
        <f t="shared" si="2157"/>
        <v>3.5590260840104371</v>
      </c>
      <c r="J544">
        <v>2</v>
      </c>
      <c r="K544">
        <f t="shared" ref="K544:L544" si="2158">K542</f>
        <v>2.6666666666666665</v>
      </c>
      <c r="L544">
        <f t="shared" si="2158"/>
        <v>0.47140452079103168</v>
      </c>
      <c r="M544">
        <v>101</v>
      </c>
      <c r="N544">
        <f t="shared" ref="N544:O544" si="2159">N542</f>
        <v>108.33333333333333</v>
      </c>
      <c r="O544">
        <f t="shared" si="2159"/>
        <v>8.3399973354645365</v>
      </c>
      <c r="P544">
        <v>177</v>
      </c>
      <c r="Q544">
        <v>0.72</v>
      </c>
      <c r="R544">
        <v>127.44</v>
      </c>
      <c r="S544">
        <v>0.72</v>
      </c>
      <c r="T544">
        <v>127.44</v>
      </c>
      <c r="U544" t="s">
        <v>20</v>
      </c>
    </row>
    <row r="545" spans="1:21" x14ac:dyDescent="0.25">
      <c r="A545" t="s">
        <v>350</v>
      </c>
      <c r="B545" s="4" t="s">
        <v>49</v>
      </c>
      <c r="C545" s="1">
        <v>5</v>
      </c>
      <c r="D545">
        <v>120</v>
      </c>
      <c r="E545">
        <v>1</v>
      </c>
      <c r="F545">
        <v>20</v>
      </c>
      <c r="G545">
        <v>89</v>
      </c>
      <c r="H545">
        <f t="shared" ref="H545" si="2160">AVERAGE(G545:G547)</f>
        <v>91.333333333333329</v>
      </c>
      <c r="I545">
        <f t="shared" ref="I545" si="2161">_xlfn.STDEV.P(G545:G547)</f>
        <v>6.342099196813483</v>
      </c>
      <c r="J545">
        <v>4</v>
      </c>
      <c r="K545">
        <f t="shared" ref="K545" si="2162">AVERAGE(J545:J547)</f>
        <v>3.6666666666666665</v>
      </c>
      <c r="L545">
        <f t="shared" ref="L545" si="2163">_xlfn.STDEV.P(J545:J547)</f>
        <v>0.47140452079103168</v>
      </c>
      <c r="M545">
        <v>100</v>
      </c>
      <c r="N545">
        <f t="shared" ref="N545" si="2164">AVERAGE(M545:M547)</f>
        <v>90</v>
      </c>
      <c r="O545">
        <f t="shared" ref="O545" si="2165">_xlfn.STDEV.P(M545:M547)</f>
        <v>7.7888809636986149</v>
      </c>
      <c r="P545">
        <v>138</v>
      </c>
      <c r="Q545">
        <v>0.73</v>
      </c>
      <c r="R545">
        <v>100.74</v>
      </c>
      <c r="S545">
        <v>0.78</v>
      </c>
      <c r="T545">
        <v>107.64</v>
      </c>
      <c r="U545">
        <v>16.18</v>
      </c>
    </row>
    <row r="546" spans="1:21" x14ac:dyDescent="0.25">
      <c r="A546" t="s">
        <v>350</v>
      </c>
      <c r="B546" s="4" t="s">
        <v>49</v>
      </c>
      <c r="C546" s="1">
        <v>5</v>
      </c>
      <c r="D546">
        <v>120</v>
      </c>
      <c r="E546">
        <v>2</v>
      </c>
      <c r="F546" t="s">
        <v>20</v>
      </c>
      <c r="G546">
        <v>85</v>
      </c>
      <c r="H546">
        <f t="shared" ref="H546:I546" si="2166">H545</f>
        <v>91.333333333333329</v>
      </c>
      <c r="I546">
        <f t="shared" si="2166"/>
        <v>6.342099196813483</v>
      </c>
      <c r="J546">
        <v>4</v>
      </c>
      <c r="K546">
        <f t="shared" ref="K546:L546" si="2167">K545</f>
        <v>3.6666666666666665</v>
      </c>
      <c r="L546">
        <f t="shared" si="2167"/>
        <v>0.47140452079103168</v>
      </c>
      <c r="M546">
        <v>81</v>
      </c>
      <c r="N546">
        <f t="shared" ref="N546:O546" si="2168">N545</f>
        <v>90</v>
      </c>
      <c r="O546">
        <f t="shared" si="2168"/>
        <v>7.7888809636986149</v>
      </c>
      <c r="P546">
        <v>131</v>
      </c>
      <c r="Q546">
        <v>0.66</v>
      </c>
      <c r="R546">
        <v>86.460000000000008</v>
      </c>
      <c r="S546">
        <v>0.56999999999999995</v>
      </c>
      <c r="T546">
        <v>74.669999999999987</v>
      </c>
      <c r="U546">
        <v>15.8</v>
      </c>
    </row>
    <row r="547" spans="1:21" x14ac:dyDescent="0.25">
      <c r="A547" t="s">
        <v>350</v>
      </c>
      <c r="B547" s="4" t="s">
        <v>49</v>
      </c>
      <c r="C547" s="1">
        <v>5</v>
      </c>
      <c r="D547">
        <v>120</v>
      </c>
      <c r="E547">
        <v>3</v>
      </c>
      <c r="F547" t="s">
        <v>20</v>
      </c>
      <c r="G547">
        <v>100</v>
      </c>
      <c r="H547">
        <f t="shared" ref="H547:I547" si="2169">H545</f>
        <v>91.333333333333329</v>
      </c>
      <c r="I547">
        <f t="shared" si="2169"/>
        <v>6.342099196813483</v>
      </c>
      <c r="J547">
        <v>3</v>
      </c>
      <c r="K547">
        <f t="shared" ref="K547:L547" si="2170">K545</f>
        <v>3.6666666666666665</v>
      </c>
      <c r="L547">
        <f t="shared" si="2170"/>
        <v>0.47140452079103168</v>
      </c>
      <c r="M547">
        <v>89</v>
      </c>
      <c r="N547">
        <f t="shared" ref="N547:O547" si="2171">N545</f>
        <v>90</v>
      </c>
      <c r="O547">
        <f t="shared" si="2171"/>
        <v>7.7888809636986149</v>
      </c>
      <c r="P547">
        <v>152</v>
      </c>
      <c r="Q547">
        <v>0.72</v>
      </c>
      <c r="R547">
        <v>109.44</v>
      </c>
      <c r="S547">
        <v>0.77</v>
      </c>
      <c r="T547">
        <v>117.04</v>
      </c>
      <c r="U547">
        <v>16.78</v>
      </c>
    </row>
    <row r="548" spans="1:21" x14ac:dyDescent="0.25">
      <c r="A548" t="s">
        <v>351</v>
      </c>
      <c r="B548" s="4" t="s">
        <v>94</v>
      </c>
      <c r="C548" s="1">
        <v>4</v>
      </c>
      <c r="D548">
        <v>120</v>
      </c>
      <c r="E548">
        <v>1</v>
      </c>
      <c r="F548">
        <v>28</v>
      </c>
      <c r="G548">
        <v>135</v>
      </c>
      <c r="H548">
        <f t="shared" ref="H548" si="2172">AVERAGE(G548:G550)</f>
        <v>129.66666666666666</v>
      </c>
      <c r="I548">
        <f t="shared" ref="I548" si="2173">_xlfn.STDEV.P(G548:G550)</f>
        <v>4.4969125210773466</v>
      </c>
      <c r="J548">
        <v>0</v>
      </c>
      <c r="K548">
        <f t="shared" ref="K548" si="2174">AVERAGE(J548:J550)</f>
        <v>0.33333333333333331</v>
      </c>
      <c r="L548">
        <f t="shared" ref="L548" si="2175">_xlfn.STDEV.P(J548:J550)</f>
        <v>0.47140452079103168</v>
      </c>
      <c r="M548">
        <v>107</v>
      </c>
      <c r="N548">
        <f t="shared" ref="N548" si="2176">AVERAGE(M548:M550)</f>
        <v>105</v>
      </c>
      <c r="O548">
        <f t="shared" ref="O548" si="2177">_xlfn.STDEV.P(M548:M550)</f>
        <v>2.1602468994692869</v>
      </c>
      <c r="P548">
        <v>183</v>
      </c>
      <c r="Q548">
        <v>0.68</v>
      </c>
      <c r="R548">
        <v>124.44000000000001</v>
      </c>
      <c r="S548">
        <v>0.65</v>
      </c>
      <c r="T548">
        <v>118.95</v>
      </c>
      <c r="U548">
        <v>15.14</v>
      </c>
    </row>
    <row r="549" spans="1:21" x14ac:dyDescent="0.25">
      <c r="A549" t="s">
        <v>351</v>
      </c>
      <c r="B549" s="4" t="s">
        <v>94</v>
      </c>
      <c r="C549" s="1">
        <v>4</v>
      </c>
      <c r="D549">
        <v>120</v>
      </c>
      <c r="E549">
        <v>2</v>
      </c>
      <c r="F549" t="s">
        <v>20</v>
      </c>
      <c r="G549">
        <v>130</v>
      </c>
      <c r="H549">
        <f t="shared" ref="H549:I549" si="2178">H548</f>
        <v>129.66666666666666</v>
      </c>
      <c r="I549">
        <f t="shared" si="2178"/>
        <v>4.4969125210773466</v>
      </c>
      <c r="J549">
        <v>0</v>
      </c>
      <c r="K549">
        <f t="shared" ref="K549:L549" si="2179">K548</f>
        <v>0.33333333333333331</v>
      </c>
      <c r="L549">
        <f t="shared" si="2179"/>
        <v>0.47140452079103168</v>
      </c>
      <c r="M549">
        <v>106</v>
      </c>
      <c r="N549">
        <f t="shared" ref="N549:O549" si="2180">N548</f>
        <v>105</v>
      </c>
      <c r="O549">
        <f t="shared" si="2180"/>
        <v>2.1602468994692869</v>
      </c>
      <c r="P549">
        <v>181</v>
      </c>
      <c r="Q549">
        <v>0.64</v>
      </c>
      <c r="R549">
        <v>115.84</v>
      </c>
      <c r="S549">
        <v>0.6</v>
      </c>
      <c r="T549">
        <v>108.6</v>
      </c>
      <c r="U549" t="s">
        <v>20</v>
      </c>
    </row>
    <row r="550" spans="1:21" x14ac:dyDescent="0.25">
      <c r="A550" t="s">
        <v>351</v>
      </c>
      <c r="B550" s="4" t="s">
        <v>94</v>
      </c>
      <c r="C550" s="1">
        <v>4</v>
      </c>
      <c r="D550">
        <v>120</v>
      </c>
      <c r="E550">
        <v>3</v>
      </c>
      <c r="F550" t="s">
        <v>20</v>
      </c>
      <c r="G550">
        <v>124</v>
      </c>
      <c r="H550">
        <f t="shared" ref="H550:I550" si="2181">H548</f>
        <v>129.66666666666666</v>
      </c>
      <c r="I550">
        <f t="shared" si="2181"/>
        <v>4.4969125210773466</v>
      </c>
      <c r="J550">
        <v>1</v>
      </c>
      <c r="K550">
        <f t="shared" ref="K550:L550" si="2182">K548</f>
        <v>0.33333333333333331</v>
      </c>
      <c r="L550">
        <f t="shared" si="2182"/>
        <v>0.47140452079103168</v>
      </c>
      <c r="M550">
        <v>102</v>
      </c>
      <c r="N550">
        <f t="shared" ref="N550:O550" si="2183">N548</f>
        <v>105</v>
      </c>
      <c r="O550">
        <f t="shared" si="2183"/>
        <v>2.1602468994692869</v>
      </c>
      <c r="P550">
        <v>186</v>
      </c>
      <c r="Q550">
        <v>0.7</v>
      </c>
      <c r="R550">
        <v>130.19999999999999</v>
      </c>
      <c r="S550">
        <v>0.65</v>
      </c>
      <c r="T550">
        <v>120.9</v>
      </c>
      <c r="U550" t="s">
        <v>20</v>
      </c>
    </row>
    <row r="551" spans="1:21" x14ac:dyDescent="0.25">
      <c r="A551" t="s">
        <v>352</v>
      </c>
      <c r="B551" s="4" t="s">
        <v>94</v>
      </c>
      <c r="C551" s="1">
        <v>4</v>
      </c>
      <c r="D551">
        <v>120</v>
      </c>
      <c r="E551">
        <v>1</v>
      </c>
      <c r="F551">
        <v>16</v>
      </c>
      <c r="G551">
        <v>104</v>
      </c>
      <c r="H551">
        <f t="shared" ref="H551" si="2184">AVERAGE(G551:G553)</f>
        <v>103.66666666666667</v>
      </c>
      <c r="I551">
        <f t="shared" ref="I551" si="2185">_xlfn.STDEV.P(G551:G553)</f>
        <v>0.47140452079103168</v>
      </c>
      <c r="J551">
        <v>1</v>
      </c>
      <c r="K551">
        <f t="shared" ref="K551" si="2186">AVERAGE(J551:J553)</f>
        <v>0.66666666666666663</v>
      </c>
      <c r="L551">
        <f t="shared" ref="L551" si="2187">_xlfn.STDEV.P(J551:J553)</f>
        <v>0.47140452079103168</v>
      </c>
      <c r="M551">
        <v>85</v>
      </c>
      <c r="N551">
        <f t="shared" ref="N551" si="2188">AVERAGE(M551:M553)</f>
        <v>95.666666666666671</v>
      </c>
      <c r="O551">
        <f t="shared" ref="O551" si="2189">_xlfn.STDEV.P(M551:M553)</f>
        <v>7.5865377844940287</v>
      </c>
      <c r="P551">
        <v>162</v>
      </c>
      <c r="Q551">
        <v>0.51</v>
      </c>
      <c r="R551">
        <v>82.62</v>
      </c>
      <c r="S551">
        <v>0.7</v>
      </c>
      <c r="T551">
        <v>113.39999999999999</v>
      </c>
      <c r="U551">
        <v>15.41</v>
      </c>
    </row>
    <row r="552" spans="1:21" x14ac:dyDescent="0.25">
      <c r="A552" t="s">
        <v>352</v>
      </c>
      <c r="B552" s="4" t="s">
        <v>94</v>
      </c>
      <c r="C552" s="1">
        <v>4</v>
      </c>
      <c r="D552">
        <v>120</v>
      </c>
      <c r="E552">
        <v>2</v>
      </c>
      <c r="F552">
        <v>10</v>
      </c>
      <c r="G552">
        <v>104</v>
      </c>
      <c r="H552">
        <f t="shared" ref="H552:I552" si="2190">H551</f>
        <v>103.66666666666667</v>
      </c>
      <c r="I552">
        <f t="shared" si="2190"/>
        <v>0.47140452079103168</v>
      </c>
      <c r="J552">
        <v>1</v>
      </c>
      <c r="K552">
        <f t="shared" ref="K552:L552" si="2191">K551</f>
        <v>0.66666666666666663</v>
      </c>
      <c r="L552">
        <f t="shared" si="2191"/>
        <v>0.47140452079103168</v>
      </c>
      <c r="M552">
        <v>102</v>
      </c>
      <c r="N552">
        <f t="shared" ref="N552:O552" si="2192">N551</f>
        <v>95.666666666666671</v>
      </c>
      <c r="O552">
        <f t="shared" si="2192"/>
        <v>7.5865377844940287</v>
      </c>
      <c r="P552">
        <v>159</v>
      </c>
      <c r="Q552">
        <v>0.64</v>
      </c>
      <c r="R552">
        <v>101.76</v>
      </c>
      <c r="S552">
        <v>0.63</v>
      </c>
      <c r="T552">
        <v>100.17</v>
      </c>
      <c r="U552">
        <v>16.86</v>
      </c>
    </row>
    <row r="553" spans="1:21" x14ac:dyDescent="0.25">
      <c r="A553" t="s">
        <v>352</v>
      </c>
      <c r="B553" s="4" t="s">
        <v>94</v>
      </c>
      <c r="C553" s="1">
        <v>4</v>
      </c>
      <c r="D553">
        <v>120</v>
      </c>
      <c r="E553">
        <v>3</v>
      </c>
      <c r="F553">
        <v>14</v>
      </c>
      <c r="G553">
        <v>103</v>
      </c>
      <c r="H553">
        <f t="shared" ref="H553:I553" si="2193">H551</f>
        <v>103.66666666666667</v>
      </c>
      <c r="I553">
        <f t="shared" si="2193"/>
        <v>0.47140452079103168</v>
      </c>
      <c r="J553">
        <v>0</v>
      </c>
      <c r="K553">
        <f t="shared" ref="K553:L553" si="2194">K551</f>
        <v>0.66666666666666663</v>
      </c>
      <c r="L553">
        <f t="shared" si="2194"/>
        <v>0.47140452079103168</v>
      </c>
      <c r="M553">
        <v>100</v>
      </c>
      <c r="N553">
        <f t="shared" ref="N553:O553" si="2195">N551</f>
        <v>95.666666666666671</v>
      </c>
      <c r="O553">
        <f t="shared" si="2195"/>
        <v>7.5865377844940287</v>
      </c>
      <c r="P553">
        <v>155</v>
      </c>
      <c r="Q553">
        <v>0.66</v>
      </c>
      <c r="R553">
        <v>102.30000000000001</v>
      </c>
      <c r="S553">
        <v>0.71</v>
      </c>
      <c r="T553">
        <v>110.05</v>
      </c>
      <c r="U553">
        <v>16.8</v>
      </c>
    </row>
    <row r="554" spans="1:21" x14ac:dyDescent="0.25">
      <c r="A554" t="s">
        <v>353</v>
      </c>
      <c r="B554" s="4" t="s">
        <v>94</v>
      </c>
      <c r="C554" s="1">
        <v>5</v>
      </c>
      <c r="D554">
        <v>120</v>
      </c>
      <c r="E554">
        <v>1</v>
      </c>
      <c r="F554">
        <v>60</v>
      </c>
      <c r="G554">
        <v>106</v>
      </c>
      <c r="H554">
        <f t="shared" ref="H554" si="2196">AVERAGE(G554:G556)</f>
        <v>108.66666666666667</v>
      </c>
      <c r="I554">
        <f t="shared" ref="I554" si="2197">_xlfn.STDEV.P(G554:G556)</f>
        <v>1.8856180831641267</v>
      </c>
      <c r="J554">
        <v>6</v>
      </c>
      <c r="K554">
        <f t="shared" ref="K554" si="2198">AVERAGE(J554:J556)</f>
        <v>4.333333333333333</v>
      </c>
      <c r="L554">
        <f t="shared" ref="L554" si="2199">_xlfn.STDEV.P(J554:J556)</f>
        <v>1.247219128924647</v>
      </c>
      <c r="M554">
        <v>103</v>
      </c>
      <c r="N554">
        <f t="shared" ref="N554" si="2200">AVERAGE(M554:M556)</f>
        <v>98</v>
      </c>
      <c r="O554">
        <f t="shared" ref="O554" si="2201">_xlfn.STDEV.P(M554:M556)</f>
        <v>5.715476066494082</v>
      </c>
      <c r="P554">
        <v>162</v>
      </c>
      <c r="Q554">
        <v>0.68</v>
      </c>
      <c r="R554">
        <v>110.16000000000001</v>
      </c>
      <c r="S554">
        <v>0.71</v>
      </c>
      <c r="T554">
        <v>115.02</v>
      </c>
      <c r="U554">
        <v>12.83</v>
      </c>
    </row>
    <row r="555" spans="1:21" x14ac:dyDescent="0.25">
      <c r="A555" t="s">
        <v>353</v>
      </c>
      <c r="B555" s="4" t="s">
        <v>94</v>
      </c>
      <c r="C555" s="1">
        <v>5</v>
      </c>
      <c r="D555">
        <v>120</v>
      </c>
      <c r="E555">
        <v>2</v>
      </c>
      <c r="F555">
        <v>64</v>
      </c>
      <c r="G555">
        <v>110</v>
      </c>
      <c r="H555">
        <f t="shared" ref="H555:I555" si="2202">H554</f>
        <v>108.66666666666667</v>
      </c>
      <c r="I555">
        <f t="shared" si="2202"/>
        <v>1.8856180831641267</v>
      </c>
      <c r="J555">
        <v>4</v>
      </c>
      <c r="K555">
        <f t="shared" ref="K555:L555" si="2203">K554</f>
        <v>4.333333333333333</v>
      </c>
      <c r="L555">
        <f t="shared" si="2203"/>
        <v>1.247219128924647</v>
      </c>
      <c r="M555">
        <v>90</v>
      </c>
      <c r="N555">
        <f t="shared" ref="N555:O555" si="2204">N554</f>
        <v>98</v>
      </c>
      <c r="O555">
        <f t="shared" si="2204"/>
        <v>5.715476066494082</v>
      </c>
      <c r="P555">
        <v>156</v>
      </c>
      <c r="Q555">
        <v>0.71</v>
      </c>
      <c r="R555">
        <v>110.75999999999999</v>
      </c>
      <c r="S555">
        <v>0.61</v>
      </c>
      <c r="T555">
        <v>95.16</v>
      </c>
      <c r="U555">
        <v>14.83</v>
      </c>
    </row>
    <row r="556" spans="1:21" x14ac:dyDescent="0.25">
      <c r="A556" t="s">
        <v>353</v>
      </c>
      <c r="B556" s="4" t="s">
        <v>94</v>
      </c>
      <c r="C556" s="1">
        <v>5</v>
      </c>
      <c r="D556">
        <v>120</v>
      </c>
      <c r="E556">
        <v>3</v>
      </c>
      <c r="F556" t="s">
        <v>20</v>
      </c>
      <c r="G556">
        <v>110</v>
      </c>
      <c r="H556">
        <f t="shared" ref="H556:I556" si="2205">H554</f>
        <v>108.66666666666667</v>
      </c>
      <c r="I556">
        <f t="shared" si="2205"/>
        <v>1.8856180831641267</v>
      </c>
      <c r="J556">
        <v>3</v>
      </c>
      <c r="K556">
        <f t="shared" ref="K556:L556" si="2206">K554</f>
        <v>4.333333333333333</v>
      </c>
      <c r="L556">
        <f t="shared" si="2206"/>
        <v>1.247219128924647</v>
      </c>
      <c r="M556">
        <v>101</v>
      </c>
      <c r="N556">
        <f t="shared" ref="N556:O556" si="2207">N554</f>
        <v>98</v>
      </c>
      <c r="O556">
        <f t="shared" si="2207"/>
        <v>5.715476066494082</v>
      </c>
      <c r="P556">
        <v>167</v>
      </c>
      <c r="Q556">
        <v>0.71</v>
      </c>
      <c r="R556">
        <v>118.57</v>
      </c>
      <c r="S556">
        <v>0.73</v>
      </c>
      <c r="T556">
        <v>121.91</v>
      </c>
      <c r="U556">
        <v>14.98</v>
      </c>
    </row>
    <row r="557" spans="1:21" x14ac:dyDescent="0.25">
      <c r="A557" t="s">
        <v>354</v>
      </c>
      <c r="B557" s="4" t="s">
        <v>94</v>
      </c>
      <c r="C557" s="1">
        <v>4</v>
      </c>
      <c r="D557">
        <v>120</v>
      </c>
      <c r="E557">
        <v>1</v>
      </c>
      <c r="F557">
        <v>54</v>
      </c>
      <c r="G557">
        <v>121</v>
      </c>
      <c r="H557">
        <f t="shared" ref="H557" si="2208">AVERAGE(G557:G559)</f>
        <v>123</v>
      </c>
      <c r="I557">
        <f t="shared" ref="I557" si="2209">_xlfn.STDEV.P(G557:G559)</f>
        <v>1.4142135623730951</v>
      </c>
      <c r="J557">
        <v>2</v>
      </c>
      <c r="K557">
        <f t="shared" ref="K557" si="2210">AVERAGE(J557:J559)</f>
        <v>1.6666666666666667</v>
      </c>
      <c r="L557">
        <f t="shared" ref="L557" si="2211">_xlfn.STDEV.P(J557:J559)</f>
        <v>0.47140452079103168</v>
      </c>
      <c r="M557">
        <v>138</v>
      </c>
      <c r="N557">
        <f t="shared" ref="N557" si="2212">AVERAGE(M557:M559)</f>
        <v>130.66666666666666</v>
      </c>
      <c r="O557">
        <f t="shared" ref="O557" si="2213">_xlfn.STDEV.P(M557:M559)</f>
        <v>6.5996632910744433</v>
      </c>
      <c r="P557">
        <v>186</v>
      </c>
      <c r="Q557">
        <v>0.67</v>
      </c>
      <c r="R557">
        <v>124.62</v>
      </c>
      <c r="S557">
        <v>0.72</v>
      </c>
      <c r="T557">
        <v>133.91999999999999</v>
      </c>
      <c r="U557" t="s">
        <v>20</v>
      </c>
    </row>
    <row r="558" spans="1:21" x14ac:dyDescent="0.25">
      <c r="A558" t="s">
        <v>354</v>
      </c>
      <c r="B558" s="4" t="s">
        <v>94</v>
      </c>
      <c r="C558" s="1">
        <v>4</v>
      </c>
      <c r="D558">
        <v>120</v>
      </c>
      <c r="E558">
        <v>2</v>
      </c>
      <c r="F558" t="s">
        <v>20</v>
      </c>
      <c r="G558">
        <v>124</v>
      </c>
      <c r="H558">
        <f t="shared" ref="H558:I558" si="2214">H557</f>
        <v>123</v>
      </c>
      <c r="I558">
        <f t="shared" si="2214"/>
        <v>1.4142135623730951</v>
      </c>
      <c r="J558">
        <v>2</v>
      </c>
      <c r="K558">
        <f t="shared" ref="K558:L558" si="2215">K557</f>
        <v>1.6666666666666667</v>
      </c>
      <c r="L558">
        <f t="shared" si="2215"/>
        <v>0.47140452079103168</v>
      </c>
      <c r="M558">
        <v>132</v>
      </c>
      <c r="N558">
        <f t="shared" ref="N558:O558" si="2216">N557</f>
        <v>130.66666666666666</v>
      </c>
      <c r="O558">
        <f t="shared" si="2216"/>
        <v>6.5996632910744433</v>
      </c>
      <c r="P558">
        <v>183</v>
      </c>
      <c r="Q558">
        <v>0.72</v>
      </c>
      <c r="R558">
        <v>131.76</v>
      </c>
      <c r="S558">
        <v>0.74</v>
      </c>
      <c r="T558">
        <v>135.41999999999999</v>
      </c>
      <c r="U558" t="s">
        <v>20</v>
      </c>
    </row>
    <row r="559" spans="1:21" x14ac:dyDescent="0.25">
      <c r="A559" t="s">
        <v>354</v>
      </c>
      <c r="B559" s="4" t="s">
        <v>94</v>
      </c>
      <c r="C559" s="1">
        <v>4</v>
      </c>
      <c r="D559">
        <v>120</v>
      </c>
      <c r="E559">
        <v>3</v>
      </c>
      <c r="F559" t="s">
        <v>20</v>
      </c>
      <c r="G559">
        <v>124</v>
      </c>
      <c r="H559">
        <f t="shared" ref="H559:I559" si="2217">H557</f>
        <v>123</v>
      </c>
      <c r="I559">
        <f t="shared" si="2217"/>
        <v>1.4142135623730951</v>
      </c>
      <c r="J559">
        <v>1</v>
      </c>
      <c r="K559">
        <f t="shared" ref="K559:L559" si="2218">K557</f>
        <v>1.6666666666666667</v>
      </c>
      <c r="L559">
        <f t="shared" si="2218"/>
        <v>0.47140452079103168</v>
      </c>
      <c r="M559">
        <v>122</v>
      </c>
      <c r="N559">
        <f t="shared" ref="N559:O559" si="2219">N557</f>
        <v>130.66666666666666</v>
      </c>
      <c r="O559">
        <f t="shared" si="2219"/>
        <v>6.5996632910744433</v>
      </c>
      <c r="P559">
        <v>186</v>
      </c>
      <c r="Q559">
        <v>0.53</v>
      </c>
      <c r="R559">
        <v>98.58</v>
      </c>
      <c r="S559">
        <v>0.65</v>
      </c>
      <c r="T559">
        <v>120.9</v>
      </c>
      <c r="U559" t="s">
        <v>20</v>
      </c>
    </row>
    <row r="560" spans="1:21" x14ac:dyDescent="0.25">
      <c r="A560" t="s">
        <v>355</v>
      </c>
      <c r="B560" s="4" t="s">
        <v>94</v>
      </c>
      <c r="C560" s="1">
        <v>5</v>
      </c>
      <c r="D560">
        <v>120</v>
      </c>
      <c r="E560">
        <v>1</v>
      </c>
      <c r="F560">
        <v>12</v>
      </c>
      <c r="G560">
        <v>121</v>
      </c>
      <c r="H560">
        <f t="shared" ref="H560" si="2220">AVERAGE(G560:G562)</f>
        <v>119.33333333333333</v>
      </c>
      <c r="I560">
        <f t="shared" ref="I560" si="2221">_xlfn.STDEV.P(G560:G562)</f>
        <v>1.247219128924647</v>
      </c>
      <c r="J560">
        <v>1</v>
      </c>
      <c r="K560">
        <f t="shared" ref="K560" si="2222">AVERAGE(J560:J562)</f>
        <v>1</v>
      </c>
      <c r="L560">
        <f t="shared" ref="L560" si="2223">_xlfn.STDEV.P(J560:J562)</f>
        <v>0</v>
      </c>
      <c r="M560">
        <v>88</v>
      </c>
      <c r="N560">
        <f t="shared" ref="N560" si="2224">AVERAGE(M560:M562)</f>
        <v>87.333333333333329</v>
      </c>
      <c r="O560">
        <f t="shared" ref="O560" si="2225">_xlfn.STDEV.P(M560:M562)</f>
        <v>5.7348835113617511</v>
      </c>
      <c r="P560">
        <v>186</v>
      </c>
      <c r="Q560">
        <v>0.44</v>
      </c>
      <c r="R560">
        <v>81.84</v>
      </c>
      <c r="S560">
        <v>0.12</v>
      </c>
      <c r="T560">
        <v>22.32</v>
      </c>
      <c r="U560" t="s">
        <v>20</v>
      </c>
    </row>
    <row r="561" spans="1:21" x14ac:dyDescent="0.25">
      <c r="A561" t="s">
        <v>355</v>
      </c>
      <c r="B561" s="4" t="s">
        <v>94</v>
      </c>
      <c r="C561" s="1">
        <v>5</v>
      </c>
      <c r="D561">
        <v>120</v>
      </c>
      <c r="E561">
        <v>2</v>
      </c>
      <c r="F561">
        <v>4</v>
      </c>
      <c r="G561">
        <v>118</v>
      </c>
      <c r="H561">
        <f t="shared" ref="H561:I561" si="2226">H560</f>
        <v>119.33333333333333</v>
      </c>
      <c r="I561">
        <f t="shared" si="2226"/>
        <v>1.247219128924647</v>
      </c>
      <c r="J561">
        <v>1</v>
      </c>
      <c r="K561">
        <f t="shared" ref="K561:L561" si="2227">K560</f>
        <v>1</v>
      </c>
      <c r="L561">
        <f t="shared" si="2227"/>
        <v>0</v>
      </c>
      <c r="M561">
        <v>94</v>
      </c>
      <c r="N561">
        <f t="shared" ref="N561:O561" si="2228">N560</f>
        <v>87.333333333333329</v>
      </c>
      <c r="O561">
        <f t="shared" si="2228"/>
        <v>5.7348835113617511</v>
      </c>
      <c r="P561">
        <v>183</v>
      </c>
      <c r="Q561">
        <v>0.45</v>
      </c>
      <c r="R561">
        <v>82.350000000000009</v>
      </c>
      <c r="S561">
        <v>0.33</v>
      </c>
      <c r="T561">
        <v>60.39</v>
      </c>
      <c r="U561" t="s">
        <v>20</v>
      </c>
    </row>
    <row r="562" spans="1:21" x14ac:dyDescent="0.25">
      <c r="A562" t="s">
        <v>355</v>
      </c>
      <c r="B562" s="4" t="s">
        <v>94</v>
      </c>
      <c r="C562" s="1">
        <v>5</v>
      </c>
      <c r="D562">
        <v>120</v>
      </c>
      <c r="E562">
        <v>3</v>
      </c>
      <c r="F562">
        <v>14</v>
      </c>
      <c r="G562">
        <v>119</v>
      </c>
      <c r="H562">
        <f t="shared" ref="H562:I562" si="2229">H560</f>
        <v>119.33333333333333</v>
      </c>
      <c r="I562">
        <f t="shared" si="2229"/>
        <v>1.247219128924647</v>
      </c>
      <c r="J562">
        <v>1</v>
      </c>
      <c r="K562">
        <f t="shared" ref="K562:L562" si="2230">K560</f>
        <v>1</v>
      </c>
      <c r="L562">
        <f t="shared" si="2230"/>
        <v>0</v>
      </c>
      <c r="M562">
        <v>80</v>
      </c>
      <c r="N562">
        <f t="shared" ref="N562:O562" si="2231">N560</f>
        <v>87.333333333333329</v>
      </c>
      <c r="O562">
        <f t="shared" si="2231"/>
        <v>5.7348835113617511</v>
      </c>
      <c r="P562">
        <v>181</v>
      </c>
      <c r="Q562">
        <v>0.43</v>
      </c>
      <c r="R562">
        <v>77.83</v>
      </c>
      <c r="S562">
        <v>0.65</v>
      </c>
      <c r="T562">
        <v>117.65</v>
      </c>
      <c r="U562" t="s">
        <v>20</v>
      </c>
    </row>
    <row r="563" spans="1:21" x14ac:dyDescent="0.25">
      <c r="A563" t="s">
        <v>356</v>
      </c>
      <c r="B563" s="4" t="s">
        <v>94</v>
      </c>
      <c r="C563" s="1">
        <v>4</v>
      </c>
      <c r="D563">
        <v>120</v>
      </c>
      <c r="E563">
        <v>1</v>
      </c>
      <c r="F563">
        <v>22</v>
      </c>
      <c r="G563">
        <v>117</v>
      </c>
      <c r="H563">
        <f t="shared" ref="H563" si="2232">AVERAGE(G563:G565)</f>
        <v>112.66666666666667</v>
      </c>
      <c r="I563">
        <f t="shared" ref="I563" si="2233">_xlfn.STDEV.P(G563:G565)</f>
        <v>3.6817870057290869</v>
      </c>
      <c r="J563">
        <v>3</v>
      </c>
      <c r="K563">
        <f t="shared" ref="K563" si="2234">AVERAGE(J563:J565)</f>
        <v>2.3333333333333335</v>
      </c>
      <c r="L563">
        <f t="shared" ref="L563" si="2235">_xlfn.STDEV.P(J563:J565)</f>
        <v>0.47140452079103168</v>
      </c>
      <c r="M563">
        <v>100</v>
      </c>
      <c r="N563">
        <f t="shared" ref="N563" si="2236">AVERAGE(M563:M565)</f>
        <v>106.66666666666667</v>
      </c>
      <c r="O563">
        <f t="shared" ref="O563" si="2237">_xlfn.STDEV.P(M563:M565)</f>
        <v>4.7140452079103161</v>
      </c>
      <c r="P563">
        <v>180</v>
      </c>
      <c r="Q563">
        <v>0.67</v>
      </c>
      <c r="R563">
        <v>120.60000000000001</v>
      </c>
      <c r="S563">
        <v>0.73</v>
      </c>
      <c r="T563">
        <v>131.4</v>
      </c>
      <c r="U563">
        <v>16.649999999999999</v>
      </c>
    </row>
    <row r="564" spans="1:21" x14ac:dyDescent="0.25">
      <c r="A564" t="s">
        <v>356</v>
      </c>
      <c r="B564" s="4" t="s">
        <v>94</v>
      </c>
      <c r="C564" s="1">
        <v>4</v>
      </c>
      <c r="D564">
        <v>120</v>
      </c>
      <c r="E564">
        <v>2</v>
      </c>
      <c r="F564" t="s">
        <v>20</v>
      </c>
      <c r="G564">
        <v>113</v>
      </c>
      <c r="H564">
        <f t="shared" ref="H564:I564" si="2238">H563</f>
        <v>112.66666666666667</v>
      </c>
      <c r="I564">
        <f t="shared" si="2238"/>
        <v>3.6817870057290869</v>
      </c>
      <c r="J564">
        <v>2</v>
      </c>
      <c r="K564">
        <f t="shared" ref="K564:L564" si="2239">K563</f>
        <v>2.3333333333333335</v>
      </c>
      <c r="L564">
        <f t="shared" si="2239"/>
        <v>0.47140452079103168</v>
      </c>
      <c r="M564">
        <v>110</v>
      </c>
      <c r="N564">
        <f t="shared" ref="N564:O564" si="2240">N563</f>
        <v>106.66666666666667</v>
      </c>
      <c r="O564">
        <f t="shared" si="2240"/>
        <v>4.7140452079103161</v>
      </c>
      <c r="P564">
        <v>166</v>
      </c>
      <c r="Q564">
        <v>0.69</v>
      </c>
      <c r="R564">
        <v>114.53999999999999</v>
      </c>
      <c r="S564">
        <v>0.77</v>
      </c>
      <c r="T564">
        <v>127.82000000000001</v>
      </c>
      <c r="U564">
        <v>14.01</v>
      </c>
    </row>
    <row r="565" spans="1:21" x14ac:dyDescent="0.25">
      <c r="A565" t="s">
        <v>356</v>
      </c>
      <c r="B565" s="4" t="s">
        <v>94</v>
      </c>
      <c r="C565" s="1">
        <v>4</v>
      </c>
      <c r="D565">
        <v>120</v>
      </c>
      <c r="E565">
        <v>3</v>
      </c>
      <c r="F565" t="s">
        <v>20</v>
      </c>
      <c r="G565">
        <v>108</v>
      </c>
      <c r="H565">
        <f t="shared" ref="H565:I565" si="2241">H563</f>
        <v>112.66666666666667</v>
      </c>
      <c r="I565">
        <f t="shared" si="2241"/>
        <v>3.6817870057290869</v>
      </c>
      <c r="J565">
        <v>2</v>
      </c>
      <c r="K565">
        <f t="shared" ref="K565:L565" si="2242">K563</f>
        <v>2.3333333333333335</v>
      </c>
      <c r="L565">
        <f t="shared" si="2242"/>
        <v>0.47140452079103168</v>
      </c>
      <c r="M565">
        <v>110</v>
      </c>
      <c r="N565">
        <f t="shared" ref="N565:O565" si="2243">N563</f>
        <v>106.66666666666667</v>
      </c>
      <c r="O565">
        <f t="shared" si="2243"/>
        <v>4.7140452079103161</v>
      </c>
      <c r="P565">
        <v>167</v>
      </c>
      <c r="Q565">
        <v>0.71</v>
      </c>
      <c r="R565">
        <v>118.57</v>
      </c>
      <c r="S565">
        <v>0.73</v>
      </c>
      <c r="T565">
        <v>121.91</v>
      </c>
      <c r="U565" t="s">
        <v>20</v>
      </c>
    </row>
    <row r="566" spans="1:21" x14ac:dyDescent="0.25">
      <c r="A566" t="s">
        <v>357</v>
      </c>
      <c r="B566" s="4" t="s">
        <v>94</v>
      </c>
      <c r="C566" s="1">
        <v>4</v>
      </c>
      <c r="D566">
        <v>120</v>
      </c>
      <c r="E566">
        <v>1</v>
      </c>
      <c r="F566">
        <v>2</v>
      </c>
      <c r="G566">
        <v>116</v>
      </c>
      <c r="H566">
        <f t="shared" ref="H566" si="2244">AVERAGE(G566:G568)</f>
        <v>116</v>
      </c>
      <c r="I566">
        <f t="shared" ref="I566" si="2245">_xlfn.STDEV.P(G566:G568)</f>
        <v>0</v>
      </c>
      <c r="J566">
        <v>1</v>
      </c>
      <c r="K566">
        <f t="shared" ref="K566" si="2246">AVERAGE(J566:J568)</f>
        <v>1</v>
      </c>
      <c r="L566">
        <f t="shared" ref="L566" si="2247">_xlfn.STDEV.P(J566:J568)</f>
        <v>0</v>
      </c>
      <c r="M566">
        <v>106</v>
      </c>
      <c r="N566">
        <f t="shared" ref="N566" si="2248">AVERAGE(M566:M568)</f>
        <v>97.333333333333329</v>
      </c>
      <c r="O566">
        <f t="shared" ref="O566" si="2249">_xlfn.STDEV.P(M566:M568)</f>
        <v>8.3798700599843574</v>
      </c>
      <c r="P566">
        <v>186</v>
      </c>
      <c r="Q566">
        <v>0.53</v>
      </c>
      <c r="R566" t="s">
        <v>20</v>
      </c>
      <c r="S566">
        <v>0.75</v>
      </c>
      <c r="T566" t="s">
        <v>20</v>
      </c>
      <c r="U566">
        <v>16.760000000000002</v>
      </c>
    </row>
    <row r="567" spans="1:21" x14ac:dyDescent="0.25">
      <c r="A567" t="s">
        <v>357</v>
      </c>
      <c r="B567" s="4" t="s">
        <v>94</v>
      </c>
      <c r="C567" s="1">
        <v>4</v>
      </c>
      <c r="D567">
        <v>120</v>
      </c>
      <c r="E567">
        <v>2</v>
      </c>
      <c r="F567" t="s">
        <v>20</v>
      </c>
      <c r="G567">
        <v>116</v>
      </c>
      <c r="H567">
        <f t="shared" ref="H567:I567" si="2250">H566</f>
        <v>116</v>
      </c>
      <c r="I567">
        <f t="shared" si="2250"/>
        <v>0</v>
      </c>
      <c r="J567">
        <v>1</v>
      </c>
      <c r="K567">
        <f t="shared" ref="K567:L567" si="2251">K566</f>
        <v>1</v>
      </c>
      <c r="L567">
        <f t="shared" si="2251"/>
        <v>0</v>
      </c>
      <c r="M567">
        <v>86</v>
      </c>
      <c r="N567">
        <f t="shared" ref="N567:O567" si="2252">N566</f>
        <v>97.333333333333329</v>
      </c>
      <c r="O567">
        <f t="shared" si="2252"/>
        <v>8.3798700599843574</v>
      </c>
      <c r="P567">
        <v>183</v>
      </c>
      <c r="Q567">
        <v>0.48</v>
      </c>
      <c r="R567" t="s">
        <v>20</v>
      </c>
      <c r="S567">
        <v>0.3</v>
      </c>
      <c r="T567" t="s">
        <v>20</v>
      </c>
      <c r="U567" t="s">
        <v>20</v>
      </c>
    </row>
    <row r="568" spans="1:21" x14ac:dyDescent="0.25">
      <c r="A568" t="s">
        <v>357</v>
      </c>
      <c r="B568" s="4" t="s">
        <v>94</v>
      </c>
      <c r="C568" s="1">
        <v>4</v>
      </c>
      <c r="D568">
        <v>120</v>
      </c>
      <c r="E568">
        <v>3</v>
      </c>
      <c r="F568" t="s">
        <v>20</v>
      </c>
      <c r="G568" t="s">
        <v>20</v>
      </c>
      <c r="H568">
        <f t="shared" ref="H568:I568" si="2253">H566</f>
        <v>116</v>
      </c>
      <c r="I568">
        <f t="shared" si="2253"/>
        <v>0</v>
      </c>
      <c r="J568" t="s">
        <v>20</v>
      </c>
      <c r="K568">
        <f t="shared" ref="K568:L568" si="2254">K566</f>
        <v>1</v>
      </c>
      <c r="L568">
        <f t="shared" si="2254"/>
        <v>0</v>
      </c>
      <c r="M568">
        <v>100</v>
      </c>
      <c r="N568">
        <f t="shared" ref="N568:O568" si="2255">N566</f>
        <v>97.333333333333329</v>
      </c>
      <c r="O568">
        <f t="shared" si="2255"/>
        <v>8.3798700599843574</v>
      </c>
      <c r="Q568" t="s">
        <v>20</v>
      </c>
      <c r="R568" t="s">
        <v>20</v>
      </c>
      <c r="S568" t="s">
        <v>20</v>
      </c>
      <c r="T568" t="s">
        <v>20</v>
      </c>
      <c r="U568" t="s">
        <v>20</v>
      </c>
    </row>
    <row r="569" spans="1:21" x14ac:dyDescent="0.25">
      <c r="A569" t="s">
        <v>358</v>
      </c>
      <c r="B569" s="4" t="s">
        <v>94</v>
      </c>
      <c r="C569" s="1">
        <v>4</v>
      </c>
      <c r="D569">
        <v>120</v>
      </c>
      <c r="E569">
        <v>1</v>
      </c>
      <c r="F569">
        <v>32</v>
      </c>
      <c r="G569">
        <v>101</v>
      </c>
      <c r="H569">
        <f t="shared" ref="H569" si="2256">AVERAGE(G569:G571)</f>
        <v>101</v>
      </c>
      <c r="I569">
        <f t="shared" ref="I569" si="2257">_xlfn.STDEV.P(G569:G571)</f>
        <v>0.81649658092772603</v>
      </c>
      <c r="J569">
        <v>0</v>
      </c>
      <c r="K569">
        <f t="shared" ref="K569" si="2258">AVERAGE(J569:J571)</f>
        <v>1</v>
      </c>
      <c r="L569">
        <f t="shared" ref="L569" si="2259">_xlfn.STDEV.P(J569:J571)</f>
        <v>0.81649658092772603</v>
      </c>
      <c r="M569">
        <v>102</v>
      </c>
      <c r="N569">
        <f t="shared" ref="N569" si="2260">AVERAGE(M569:M571)</f>
        <v>103.33333333333333</v>
      </c>
      <c r="O569">
        <f t="shared" ref="O569" si="2261">_xlfn.STDEV.P(M569:M571)</f>
        <v>1.8856180831641267</v>
      </c>
      <c r="P569">
        <v>153</v>
      </c>
      <c r="Q569">
        <v>0.66</v>
      </c>
      <c r="R569">
        <v>100.98</v>
      </c>
      <c r="S569">
        <v>0.65</v>
      </c>
      <c r="T569">
        <v>99.45</v>
      </c>
      <c r="U569">
        <v>14.72</v>
      </c>
    </row>
    <row r="570" spans="1:21" x14ac:dyDescent="0.25">
      <c r="A570" t="s">
        <v>358</v>
      </c>
      <c r="B570" s="4" t="s">
        <v>94</v>
      </c>
      <c r="C570" s="1">
        <v>4</v>
      </c>
      <c r="D570">
        <v>120</v>
      </c>
      <c r="E570">
        <v>2</v>
      </c>
      <c r="F570">
        <v>36</v>
      </c>
      <c r="G570">
        <v>102</v>
      </c>
      <c r="H570">
        <f t="shared" ref="H570:I570" si="2262">H569</f>
        <v>101</v>
      </c>
      <c r="I570">
        <f t="shared" si="2262"/>
        <v>0.81649658092772603</v>
      </c>
      <c r="J570">
        <v>1</v>
      </c>
      <c r="K570">
        <f t="shared" ref="K570:L570" si="2263">K569</f>
        <v>1</v>
      </c>
      <c r="L570">
        <f t="shared" si="2263"/>
        <v>0.81649658092772603</v>
      </c>
      <c r="M570">
        <v>106</v>
      </c>
      <c r="N570">
        <f t="shared" ref="N570:O570" si="2264">N569</f>
        <v>103.33333333333333</v>
      </c>
      <c r="O570">
        <f t="shared" si="2264"/>
        <v>1.8856180831641267</v>
      </c>
      <c r="P570">
        <v>153</v>
      </c>
      <c r="Q570">
        <v>0.63</v>
      </c>
      <c r="R570">
        <v>96.39</v>
      </c>
      <c r="S570">
        <v>0.72</v>
      </c>
      <c r="T570">
        <v>110.16</v>
      </c>
      <c r="U570">
        <v>12.91</v>
      </c>
    </row>
    <row r="571" spans="1:21" x14ac:dyDescent="0.25">
      <c r="A571" t="s">
        <v>358</v>
      </c>
      <c r="B571" s="4" t="s">
        <v>94</v>
      </c>
      <c r="C571" s="1">
        <v>4</v>
      </c>
      <c r="D571">
        <v>120</v>
      </c>
      <c r="E571">
        <v>3</v>
      </c>
      <c r="F571" t="s">
        <v>20</v>
      </c>
      <c r="G571">
        <v>100</v>
      </c>
      <c r="H571">
        <f t="shared" ref="H571:I571" si="2265">H569</f>
        <v>101</v>
      </c>
      <c r="I571">
        <f t="shared" si="2265"/>
        <v>0.81649658092772603</v>
      </c>
      <c r="J571">
        <v>2</v>
      </c>
      <c r="K571">
        <f t="shared" ref="K571:L571" si="2266">K569</f>
        <v>1</v>
      </c>
      <c r="L571">
        <f t="shared" si="2266"/>
        <v>0.81649658092772603</v>
      </c>
      <c r="M571">
        <v>102</v>
      </c>
      <c r="N571">
        <f t="shared" ref="N571:O571" si="2267">N569</f>
        <v>103.33333333333333</v>
      </c>
      <c r="O571">
        <f t="shared" si="2267"/>
        <v>1.8856180831641267</v>
      </c>
      <c r="P571">
        <v>153</v>
      </c>
      <c r="Q571">
        <v>0.61</v>
      </c>
      <c r="R571">
        <v>93.33</v>
      </c>
      <c r="S571">
        <v>0.68</v>
      </c>
      <c r="T571">
        <v>104.04</v>
      </c>
      <c r="U571">
        <v>12.87</v>
      </c>
    </row>
    <row r="572" spans="1:21" x14ac:dyDescent="0.25">
      <c r="A572" t="s">
        <v>359</v>
      </c>
      <c r="B572" s="4" t="s">
        <v>94</v>
      </c>
      <c r="C572" s="1">
        <v>4</v>
      </c>
      <c r="D572">
        <v>120</v>
      </c>
      <c r="E572">
        <v>1</v>
      </c>
      <c r="F572">
        <v>24</v>
      </c>
      <c r="G572">
        <v>105</v>
      </c>
      <c r="H572">
        <f t="shared" ref="H572" si="2268">AVERAGE(G572:G574)</f>
        <v>109.33333333333333</v>
      </c>
      <c r="I572">
        <f t="shared" ref="I572" si="2269">_xlfn.STDEV.P(G572:G574)</f>
        <v>3.0912061651652345</v>
      </c>
      <c r="J572">
        <v>2</v>
      </c>
      <c r="K572">
        <f t="shared" ref="K572" si="2270">AVERAGE(J572:J574)</f>
        <v>1.6666666666666667</v>
      </c>
      <c r="L572">
        <f t="shared" ref="L572" si="2271">_xlfn.STDEV.P(J572:J574)</f>
        <v>0.47140452079103168</v>
      </c>
      <c r="M572">
        <v>115</v>
      </c>
      <c r="N572">
        <f t="shared" ref="N572" si="2272">AVERAGE(M572:M574)</f>
        <v>112.33333333333333</v>
      </c>
      <c r="O572">
        <f t="shared" ref="O572" si="2273">_xlfn.STDEV.P(M572:M574)</f>
        <v>2.0548046676563256</v>
      </c>
      <c r="P572">
        <v>166</v>
      </c>
      <c r="Q572">
        <v>0.72</v>
      </c>
      <c r="R572">
        <v>119.52</v>
      </c>
      <c r="S572">
        <v>0.74</v>
      </c>
      <c r="T572">
        <v>122.84</v>
      </c>
      <c r="U572">
        <v>13.49</v>
      </c>
    </row>
    <row r="573" spans="1:21" x14ac:dyDescent="0.25">
      <c r="A573" t="s">
        <v>359</v>
      </c>
      <c r="B573" s="4" t="s">
        <v>94</v>
      </c>
      <c r="C573" s="1">
        <v>4</v>
      </c>
      <c r="D573">
        <v>120</v>
      </c>
      <c r="E573">
        <v>2</v>
      </c>
      <c r="F573" t="s">
        <v>20</v>
      </c>
      <c r="G573">
        <v>111</v>
      </c>
      <c r="H573">
        <f t="shared" ref="H573:I573" si="2274">H572</f>
        <v>109.33333333333333</v>
      </c>
      <c r="I573">
        <f t="shared" si="2274"/>
        <v>3.0912061651652345</v>
      </c>
      <c r="J573">
        <v>2</v>
      </c>
      <c r="K573">
        <f t="shared" ref="K573:L573" si="2275">K572</f>
        <v>1.6666666666666667</v>
      </c>
      <c r="L573">
        <f t="shared" si="2275"/>
        <v>0.47140452079103168</v>
      </c>
      <c r="M573">
        <v>110</v>
      </c>
      <c r="N573">
        <f t="shared" ref="N573:O573" si="2276">N572</f>
        <v>112.33333333333333</v>
      </c>
      <c r="O573">
        <f t="shared" si="2276"/>
        <v>2.0548046676563256</v>
      </c>
      <c r="P573">
        <v>187</v>
      </c>
      <c r="Q573">
        <v>0.61</v>
      </c>
      <c r="R573">
        <v>114.07</v>
      </c>
      <c r="S573">
        <v>0.66</v>
      </c>
      <c r="T573">
        <v>123.42</v>
      </c>
      <c r="U573">
        <v>15.11</v>
      </c>
    </row>
    <row r="574" spans="1:21" x14ac:dyDescent="0.25">
      <c r="A574" t="s">
        <v>359</v>
      </c>
      <c r="B574" s="4" t="s">
        <v>94</v>
      </c>
      <c r="C574" s="1">
        <v>4</v>
      </c>
      <c r="D574">
        <v>120</v>
      </c>
      <c r="E574">
        <v>3</v>
      </c>
      <c r="F574" t="s">
        <v>20</v>
      </c>
      <c r="G574">
        <v>112</v>
      </c>
      <c r="H574">
        <f t="shared" ref="H574:I574" si="2277">H572</f>
        <v>109.33333333333333</v>
      </c>
      <c r="I574">
        <f t="shared" si="2277"/>
        <v>3.0912061651652345</v>
      </c>
      <c r="J574">
        <v>1</v>
      </c>
      <c r="K574">
        <f t="shared" ref="K574:L574" si="2278">K572</f>
        <v>1.6666666666666667</v>
      </c>
      <c r="L574">
        <f t="shared" si="2278"/>
        <v>0.47140452079103168</v>
      </c>
      <c r="M574">
        <v>112</v>
      </c>
      <c r="N574">
        <f t="shared" ref="N574:O574" si="2279">N572</f>
        <v>112.33333333333333</v>
      </c>
      <c r="O574">
        <f t="shared" si="2279"/>
        <v>2.0548046676563256</v>
      </c>
      <c r="P574">
        <v>177</v>
      </c>
      <c r="Q574">
        <v>0.71</v>
      </c>
      <c r="R574">
        <v>125.66999999999999</v>
      </c>
      <c r="S574">
        <v>0.72</v>
      </c>
      <c r="T574">
        <v>127.44</v>
      </c>
      <c r="U574">
        <v>15.87</v>
      </c>
    </row>
    <row r="575" spans="1:21" x14ac:dyDescent="0.25">
      <c r="A575" t="s">
        <v>360</v>
      </c>
      <c r="B575" s="4" t="s">
        <v>94</v>
      </c>
      <c r="C575" s="1">
        <v>4</v>
      </c>
      <c r="D575">
        <v>120</v>
      </c>
      <c r="E575">
        <v>1</v>
      </c>
      <c r="F575">
        <v>42</v>
      </c>
      <c r="G575">
        <v>113</v>
      </c>
      <c r="H575">
        <f t="shared" ref="H575" si="2280">AVERAGE(G575:G577)</f>
        <v>115.33333333333333</v>
      </c>
      <c r="I575">
        <f t="shared" ref="I575" si="2281">_xlfn.STDEV.P(G575:G577)</f>
        <v>1.699673171197595</v>
      </c>
      <c r="J575">
        <v>2</v>
      </c>
      <c r="K575">
        <f t="shared" ref="K575" si="2282">AVERAGE(J575:J577)</f>
        <v>2</v>
      </c>
      <c r="L575">
        <f t="shared" ref="L575" si="2283">_xlfn.STDEV.P(J575:J577)</f>
        <v>0.81649658092772603</v>
      </c>
      <c r="M575">
        <v>105</v>
      </c>
      <c r="N575">
        <f t="shared" ref="N575" si="2284">AVERAGE(M575:M577)</f>
        <v>108.33333333333333</v>
      </c>
      <c r="O575">
        <f t="shared" ref="O575" si="2285">_xlfn.STDEV.P(M575:M577)</f>
        <v>5.4365021434333629</v>
      </c>
      <c r="P575">
        <v>187</v>
      </c>
      <c r="Q575">
        <v>0.49</v>
      </c>
      <c r="R575">
        <v>91.63</v>
      </c>
      <c r="S575">
        <v>0.65</v>
      </c>
      <c r="T575">
        <v>121.55</v>
      </c>
      <c r="U575">
        <v>17.25</v>
      </c>
    </row>
    <row r="576" spans="1:21" x14ac:dyDescent="0.25">
      <c r="A576" t="s">
        <v>360</v>
      </c>
      <c r="B576" s="4" t="s">
        <v>94</v>
      </c>
      <c r="C576" s="1">
        <v>4</v>
      </c>
      <c r="D576">
        <v>120</v>
      </c>
      <c r="E576">
        <v>2</v>
      </c>
      <c r="F576">
        <v>40</v>
      </c>
      <c r="G576">
        <v>116</v>
      </c>
      <c r="H576">
        <f t="shared" ref="H576:I576" si="2286">H575</f>
        <v>115.33333333333333</v>
      </c>
      <c r="I576">
        <f t="shared" si="2286"/>
        <v>1.699673171197595</v>
      </c>
      <c r="J576">
        <v>3</v>
      </c>
      <c r="K576">
        <f t="shared" ref="K576:L576" si="2287">K575</f>
        <v>2</v>
      </c>
      <c r="L576">
        <f t="shared" si="2287"/>
        <v>0.81649658092772603</v>
      </c>
      <c r="M576">
        <v>116</v>
      </c>
      <c r="N576">
        <f t="shared" ref="N576:O576" si="2288">N575</f>
        <v>108.33333333333333</v>
      </c>
      <c r="O576">
        <f t="shared" si="2288"/>
        <v>5.4365021434333629</v>
      </c>
      <c r="P576">
        <v>186</v>
      </c>
      <c r="Q576">
        <v>0.5</v>
      </c>
      <c r="R576">
        <v>93</v>
      </c>
      <c r="S576">
        <v>0.57999999999999996</v>
      </c>
      <c r="T576">
        <v>107.88</v>
      </c>
      <c r="U576">
        <v>18.059999999999999</v>
      </c>
    </row>
    <row r="577" spans="1:21" x14ac:dyDescent="0.25">
      <c r="A577" t="s">
        <v>360</v>
      </c>
      <c r="B577" s="4" t="s">
        <v>94</v>
      </c>
      <c r="C577" s="1">
        <v>4</v>
      </c>
      <c r="D577">
        <v>120</v>
      </c>
      <c r="E577">
        <v>3</v>
      </c>
      <c r="F577" t="s">
        <v>20</v>
      </c>
      <c r="G577">
        <v>117</v>
      </c>
      <c r="H577">
        <f t="shared" ref="H577:I577" si="2289">H575</f>
        <v>115.33333333333333</v>
      </c>
      <c r="I577">
        <f t="shared" si="2289"/>
        <v>1.699673171197595</v>
      </c>
      <c r="J577">
        <v>1</v>
      </c>
      <c r="K577">
        <f t="shared" ref="K577:L577" si="2290">K575</f>
        <v>2</v>
      </c>
      <c r="L577">
        <f t="shared" si="2290"/>
        <v>0.81649658092772603</v>
      </c>
      <c r="M577">
        <v>104</v>
      </c>
      <c r="N577">
        <f t="shared" ref="N577:O577" si="2291">N575</f>
        <v>108.33333333333333</v>
      </c>
      <c r="O577">
        <f t="shared" si="2291"/>
        <v>5.4365021434333629</v>
      </c>
      <c r="P577">
        <v>192</v>
      </c>
      <c r="Q577">
        <v>0.51</v>
      </c>
      <c r="R577">
        <v>97.92</v>
      </c>
      <c r="S577">
        <v>0.5</v>
      </c>
      <c r="T577">
        <v>96</v>
      </c>
      <c r="U577">
        <v>19.3</v>
      </c>
    </row>
    <row r="578" spans="1:21" x14ac:dyDescent="0.25">
      <c r="A578" t="s">
        <v>361</v>
      </c>
      <c r="B578" s="4" t="s">
        <v>94</v>
      </c>
      <c r="C578" s="1">
        <v>5</v>
      </c>
      <c r="D578">
        <v>120</v>
      </c>
      <c r="E578">
        <v>1</v>
      </c>
      <c r="F578">
        <v>4</v>
      </c>
      <c r="G578">
        <v>101</v>
      </c>
      <c r="H578">
        <f t="shared" ref="H578" si="2292">AVERAGE(G578:G580)</f>
        <v>104</v>
      </c>
      <c r="I578">
        <f t="shared" ref="I578" si="2293">_xlfn.STDEV.P(G578:G580)</f>
        <v>2.1602468994692869</v>
      </c>
      <c r="J578">
        <v>5</v>
      </c>
      <c r="K578">
        <f t="shared" ref="K578" si="2294">AVERAGE(J578:J580)</f>
        <v>3.3333333333333335</v>
      </c>
      <c r="L578">
        <f t="shared" ref="L578" si="2295">_xlfn.STDEV.P(J578:J580)</f>
        <v>1.247219128924647</v>
      </c>
      <c r="M578">
        <v>105</v>
      </c>
      <c r="N578">
        <f t="shared" ref="N578" si="2296">AVERAGE(M578:M580)</f>
        <v>107.33333333333333</v>
      </c>
      <c r="O578">
        <f t="shared" ref="O578" si="2297">_xlfn.STDEV.P(M578:M580)</f>
        <v>4.0276819911981905</v>
      </c>
      <c r="P578">
        <v>159</v>
      </c>
      <c r="Q578">
        <v>0.67</v>
      </c>
      <c r="R578">
        <v>106.53</v>
      </c>
      <c r="S578">
        <v>0.52</v>
      </c>
      <c r="T578">
        <v>82.68</v>
      </c>
      <c r="U578">
        <v>17.100000000000001</v>
      </c>
    </row>
    <row r="579" spans="1:21" x14ac:dyDescent="0.25">
      <c r="A579" t="s">
        <v>361</v>
      </c>
      <c r="B579" s="4" t="s">
        <v>94</v>
      </c>
      <c r="C579" s="1">
        <v>5</v>
      </c>
      <c r="D579">
        <v>120</v>
      </c>
      <c r="E579">
        <v>2</v>
      </c>
      <c r="F579">
        <v>6</v>
      </c>
      <c r="G579">
        <v>106</v>
      </c>
      <c r="H579">
        <f t="shared" ref="H579:I579" si="2298">H578</f>
        <v>104</v>
      </c>
      <c r="I579">
        <f t="shared" si="2298"/>
        <v>2.1602468994692869</v>
      </c>
      <c r="J579">
        <v>2</v>
      </c>
      <c r="K579">
        <f t="shared" ref="K579:L579" si="2299">K578</f>
        <v>3.3333333333333335</v>
      </c>
      <c r="L579">
        <f t="shared" si="2299"/>
        <v>1.247219128924647</v>
      </c>
      <c r="M579">
        <v>104</v>
      </c>
      <c r="N579">
        <f t="shared" ref="N579:O579" si="2300">N578</f>
        <v>107.33333333333333</v>
      </c>
      <c r="O579">
        <f t="shared" si="2300"/>
        <v>4.0276819911981905</v>
      </c>
      <c r="P579">
        <v>159</v>
      </c>
      <c r="Q579">
        <v>0.66</v>
      </c>
      <c r="R579">
        <v>104.94000000000001</v>
      </c>
      <c r="S579">
        <v>0.62</v>
      </c>
      <c r="T579">
        <v>98.58</v>
      </c>
      <c r="U579">
        <v>16.34</v>
      </c>
    </row>
    <row r="580" spans="1:21" x14ac:dyDescent="0.25">
      <c r="A580" t="s">
        <v>361</v>
      </c>
      <c r="B580" s="4" t="s">
        <v>94</v>
      </c>
      <c r="C580" s="1">
        <v>5</v>
      </c>
      <c r="D580">
        <v>120</v>
      </c>
      <c r="E580">
        <v>3</v>
      </c>
      <c r="F580" t="s">
        <v>20</v>
      </c>
      <c r="G580">
        <v>105</v>
      </c>
      <c r="H580">
        <f t="shared" ref="H580:I580" si="2301">H578</f>
        <v>104</v>
      </c>
      <c r="I580">
        <f t="shared" si="2301"/>
        <v>2.1602468994692869</v>
      </c>
      <c r="J580">
        <v>3</v>
      </c>
      <c r="K580">
        <f t="shared" ref="K580:L580" si="2302">K578</f>
        <v>3.3333333333333335</v>
      </c>
      <c r="L580">
        <f t="shared" si="2302"/>
        <v>1.247219128924647</v>
      </c>
      <c r="M580">
        <v>113</v>
      </c>
      <c r="N580">
        <f t="shared" ref="N580:O580" si="2303">N578</f>
        <v>107.33333333333333</v>
      </c>
      <c r="O580">
        <f t="shared" si="2303"/>
        <v>4.0276819911981905</v>
      </c>
      <c r="P580">
        <v>160</v>
      </c>
      <c r="Q580">
        <v>0.65</v>
      </c>
      <c r="R580">
        <v>104</v>
      </c>
      <c r="S580">
        <v>0.61</v>
      </c>
      <c r="T580">
        <v>97.6</v>
      </c>
      <c r="U580">
        <v>17.02</v>
      </c>
    </row>
    <row r="581" spans="1:21" x14ac:dyDescent="0.25">
      <c r="A581" t="s">
        <v>362</v>
      </c>
      <c r="B581" s="4" t="s">
        <v>94</v>
      </c>
      <c r="C581" s="1">
        <v>4</v>
      </c>
      <c r="D581">
        <v>120</v>
      </c>
      <c r="E581">
        <v>1</v>
      </c>
      <c r="F581">
        <v>36</v>
      </c>
      <c r="G581">
        <v>104</v>
      </c>
      <c r="H581">
        <f t="shared" ref="H581" si="2304">AVERAGE(G581:G583)</f>
        <v>108</v>
      </c>
      <c r="I581">
        <f t="shared" ref="I581" si="2305">_xlfn.STDEV.P(G581:G583)</f>
        <v>5.6568542494923806</v>
      </c>
      <c r="J581">
        <v>1</v>
      </c>
      <c r="K581">
        <f t="shared" ref="K581" si="2306">AVERAGE(J581:J583)</f>
        <v>1</v>
      </c>
      <c r="L581">
        <f t="shared" ref="L581" si="2307">_xlfn.STDEV.P(J581:J583)</f>
        <v>0</v>
      </c>
      <c r="M581">
        <v>108</v>
      </c>
      <c r="N581">
        <f t="shared" ref="N581" si="2308">AVERAGE(M581:M583)</f>
        <v>108.33333333333333</v>
      </c>
      <c r="O581">
        <f t="shared" ref="O581" si="2309">_xlfn.STDEV.P(M581:M583)</f>
        <v>6.128258770283411</v>
      </c>
      <c r="P581">
        <v>162</v>
      </c>
      <c r="Q581">
        <v>0.65</v>
      </c>
      <c r="R581">
        <v>105.3</v>
      </c>
      <c r="S581">
        <v>0.6</v>
      </c>
      <c r="T581">
        <v>97.2</v>
      </c>
      <c r="U581">
        <v>14.19</v>
      </c>
    </row>
    <row r="582" spans="1:21" x14ac:dyDescent="0.25">
      <c r="A582" t="s">
        <v>362</v>
      </c>
      <c r="B582" s="4" t="s">
        <v>94</v>
      </c>
      <c r="C582" s="1">
        <v>4</v>
      </c>
      <c r="D582">
        <v>120</v>
      </c>
      <c r="E582">
        <v>2</v>
      </c>
      <c r="F582" t="s">
        <v>20</v>
      </c>
      <c r="G582">
        <v>104</v>
      </c>
      <c r="H582">
        <f t="shared" ref="H582:I582" si="2310">H581</f>
        <v>108</v>
      </c>
      <c r="I582">
        <f t="shared" si="2310"/>
        <v>5.6568542494923806</v>
      </c>
      <c r="J582">
        <v>1</v>
      </c>
      <c r="K582">
        <f t="shared" ref="K582:L582" si="2311">K581</f>
        <v>1</v>
      </c>
      <c r="L582">
        <f t="shared" si="2311"/>
        <v>0</v>
      </c>
      <c r="M582">
        <v>116</v>
      </c>
      <c r="N582">
        <f t="shared" ref="N582:O582" si="2312">N581</f>
        <v>108.33333333333333</v>
      </c>
      <c r="O582">
        <f t="shared" si="2312"/>
        <v>6.128258770283411</v>
      </c>
      <c r="P582">
        <v>162</v>
      </c>
      <c r="Q582">
        <v>0.71</v>
      </c>
      <c r="R582">
        <v>115.02</v>
      </c>
      <c r="S582">
        <v>0.65</v>
      </c>
      <c r="T582">
        <v>105.3</v>
      </c>
      <c r="U582">
        <v>16</v>
      </c>
    </row>
    <row r="583" spans="1:21" x14ac:dyDescent="0.25">
      <c r="A583" t="s">
        <v>362</v>
      </c>
      <c r="B583" s="4" t="s">
        <v>94</v>
      </c>
      <c r="C583" s="1">
        <v>4</v>
      </c>
      <c r="D583">
        <v>120</v>
      </c>
      <c r="E583">
        <v>3</v>
      </c>
      <c r="F583" t="s">
        <v>20</v>
      </c>
      <c r="G583">
        <v>116</v>
      </c>
      <c r="H583">
        <f t="shared" ref="H583:I583" si="2313">H581</f>
        <v>108</v>
      </c>
      <c r="I583">
        <f t="shared" si="2313"/>
        <v>5.6568542494923806</v>
      </c>
      <c r="J583">
        <v>1</v>
      </c>
      <c r="K583">
        <f t="shared" ref="K583:L583" si="2314">K581</f>
        <v>1</v>
      </c>
      <c r="L583">
        <f t="shared" si="2314"/>
        <v>0</v>
      </c>
      <c r="M583">
        <v>101</v>
      </c>
      <c r="N583">
        <f t="shared" ref="N583:O583" si="2315">N581</f>
        <v>108.33333333333333</v>
      </c>
      <c r="O583">
        <f t="shared" si="2315"/>
        <v>6.128258770283411</v>
      </c>
      <c r="P583">
        <v>177</v>
      </c>
      <c r="Q583">
        <v>0.62</v>
      </c>
      <c r="R583">
        <v>109.74</v>
      </c>
      <c r="S583">
        <v>0.63</v>
      </c>
      <c r="T583">
        <v>111.51</v>
      </c>
      <c r="U583">
        <v>16.16</v>
      </c>
    </row>
    <row r="584" spans="1:21" x14ac:dyDescent="0.25">
      <c r="A584" t="s">
        <v>363</v>
      </c>
      <c r="B584" s="4" t="s">
        <v>94</v>
      </c>
      <c r="C584" s="1">
        <v>4</v>
      </c>
      <c r="D584">
        <v>120</v>
      </c>
      <c r="E584">
        <v>1</v>
      </c>
      <c r="F584">
        <v>30</v>
      </c>
      <c r="G584">
        <v>116</v>
      </c>
      <c r="H584">
        <f t="shared" ref="H584" si="2316">AVERAGE(G584:G586)</f>
        <v>110.33333333333333</v>
      </c>
      <c r="I584">
        <f t="shared" ref="I584" si="2317">_xlfn.STDEV.P(G584:G586)</f>
        <v>4.1899350299921778</v>
      </c>
      <c r="J584">
        <v>2</v>
      </c>
      <c r="K584">
        <f t="shared" ref="K584" si="2318">AVERAGE(J584:J586)</f>
        <v>1.3333333333333333</v>
      </c>
      <c r="L584">
        <f t="shared" ref="L584" si="2319">_xlfn.STDEV.P(J584:J586)</f>
        <v>0.47140452079103168</v>
      </c>
      <c r="M584">
        <v>90</v>
      </c>
      <c r="N584">
        <f t="shared" ref="N584" si="2320">AVERAGE(M584:M586)</f>
        <v>95.333333333333329</v>
      </c>
      <c r="O584">
        <f t="shared" ref="O584" si="2321">_xlfn.STDEV.P(M584:M586)</f>
        <v>6.8475461947247123</v>
      </c>
      <c r="P584">
        <v>168</v>
      </c>
      <c r="Q584">
        <v>0.61</v>
      </c>
      <c r="R584">
        <v>102.48</v>
      </c>
      <c r="S584">
        <v>0.71</v>
      </c>
      <c r="T584">
        <v>119.28</v>
      </c>
      <c r="U584">
        <v>16.37</v>
      </c>
    </row>
    <row r="585" spans="1:21" x14ac:dyDescent="0.25">
      <c r="A585" t="s">
        <v>363</v>
      </c>
      <c r="B585" s="4" t="s">
        <v>94</v>
      </c>
      <c r="C585" s="1">
        <v>4</v>
      </c>
      <c r="D585">
        <v>120</v>
      </c>
      <c r="E585">
        <v>2</v>
      </c>
      <c r="F585">
        <v>36</v>
      </c>
      <c r="G585">
        <v>106</v>
      </c>
      <c r="H585">
        <f t="shared" ref="H585:I585" si="2322">H584</f>
        <v>110.33333333333333</v>
      </c>
      <c r="I585">
        <f t="shared" si="2322"/>
        <v>4.1899350299921778</v>
      </c>
      <c r="J585">
        <v>1</v>
      </c>
      <c r="K585">
        <f t="shared" ref="K585:L585" si="2323">K584</f>
        <v>1.3333333333333333</v>
      </c>
      <c r="L585">
        <f t="shared" si="2323"/>
        <v>0.47140452079103168</v>
      </c>
      <c r="M585">
        <v>105</v>
      </c>
      <c r="N585">
        <f t="shared" ref="N585:O585" si="2324">N584</f>
        <v>95.333333333333329</v>
      </c>
      <c r="O585">
        <f t="shared" si="2324"/>
        <v>6.8475461947247123</v>
      </c>
      <c r="P585">
        <v>166</v>
      </c>
      <c r="Q585">
        <v>0.55000000000000004</v>
      </c>
      <c r="R585">
        <v>91.300000000000011</v>
      </c>
      <c r="S585">
        <v>0.65</v>
      </c>
      <c r="T585">
        <v>107.9</v>
      </c>
      <c r="U585">
        <v>16.5</v>
      </c>
    </row>
    <row r="586" spans="1:21" x14ac:dyDescent="0.25">
      <c r="A586" t="s">
        <v>363</v>
      </c>
      <c r="B586" s="4" t="s">
        <v>94</v>
      </c>
      <c r="C586" s="1">
        <v>4</v>
      </c>
      <c r="D586">
        <v>120</v>
      </c>
      <c r="E586">
        <v>3</v>
      </c>
      <c r="F586" t="s">
        <v>20</v>
      </c>
      <c r="G586">
        <v>109</v>
      </c>
      <c r="H586">
        <f t="shared" ref="H586:I586" si="2325">H584</f>
        <v>110.33333333333333</v>
      </c>
      <c r="I586">
        <f t="shared" si="2325"/>
        <v>4.1899350299921778</v>
      </c>
      <c r="J586">
        <v>1</v>
      </c>
      <c r="K586">
        <f t="shared" ref="K586:L586" si="2326">K584</f>
        <v>1.3333333333333333</v>
      </c>
      <c r="L586">
        <f t="shared" si="2326"/>
        <v>0.47140452079103168</v>
      </c>
      <c r="M586">
        <v>91</v>
      </c>
      <c r="N586">
        <f t="shared" ref="N586:O586" si="2327">N584</f>
        <v>95.333333333333329</v>
      </c>
      <c r="O586">
        <f t="shared" si="2327"/>
        <v>6.8475461947247123</v>
      </c>
      <c r="P586">
        <v>167</v>
      </c>
      <c r="Q586">
        <v>0.6</v>
      </c>
      <c r="R586">
        <v>100.2</v>
      </c>
      <c r="S586">
        <v>0.67</v>
      </c>
      <c r="T586">
        <v>111.89</v>
      </c>
      <c r="U586">
        <v>16.23</v>
      </c>
    </row>
    <row r="587" spans="1:21" x14ac:dyDescent="0.25">
      <c r="A587" t="s">
        <v>364</v>
      </c>
      <c r="B587" s="4" t="s">
        <v>94</v>
      </c>
      <c r="C587" s="1">
        <v>4</v>
      </c>
      <c r="D587">
        <v>120</v>
      </c>
      <c r="E587">
        <v>1</v>
      </c>
      <c r="F587">
        <v>36</v>
      </c>
      <c r="G587">
        <v>112</v>
      </c>
      <c r="H587">
        <f t="shared" ref="H587" si="2328">AVERAGE(G587:G589)</f>
        <v>115.33333333333333</v>
      </c>
      <c r="I587">
        <f t="shared" ref="I587" si="2329">_xlfn.STDEV.P(G587:G589)</f>
        <v>2.4944382578492941</v>
      </c>
      <c r="J587">
        <v>1</v>
      </c>
      <c r="K587">
        <f t="shared" ref="K587" si="2330">AVERAGE(J587:J589)</f>
        <v>0.33333333333333331</v>
      </c>
      <c r="L587">
        <f t="shared" ref="L587" si="2331">_xlfn.STDEV.P(J587:J589)</f>
        <v>0.47140452079103168</v>
      </c>
      <c r="M587">
        <v>95</v>
      </c>
      <c r="N587">
        <f t="shared" ref="N587" si="2332">AVERAGE(M587:M589)</f>
        <v>101.66666666666667</v>
      </c>
      <c r="O587">
        <f t="shared" ref="O587" si="2333">_xlfn.STDEV.P(M587:M589)</f>
        <v>6.2360956446232363</v>
      </c>
      <c r="P587">
        <v>180</v>
      </c>
      <c r="Q587">
        <v>0.55000000000000004</v>
      </c>
      <c r="R587" t="s">
        <v>20</v>
      </c>
      <c r="S587">
        <v>0.7</v>
      </c>
      <c r="T587" t="s">
        <v>20</v>
      </c>
      <c r="U587">
        <v>17.82</v>
      </c>
    </row>
    <row r="588" spans="1:21" x14ac:dyDescent="0.25">
      <c r="A588" t="s">
        <v>364</v>
      </c>
      <c r="B588" s="4" t="s">
        <v>94</v>
      </c>
      <c r="C588" s="1">
        <v>4</v>
      </c>
      <c r="D588">
        <v>120</v>
      </c>
      <c r="E588">
        <v>2</v>
      </c>
      <c r="F588" t="s">
        <v>20</v>
      </c>
      <c r="G588">
        <v>118</v>
      </c>
      <c r="H588">
        <f t="shared" ref="H588:I588" si="2334">H587</f>
        <v>115.33333333333333</v>
      </c>
      <c r="I588">
        <f t="shared" si="2334"/>
        <v>2.4944382578492941</v>
      </c>
      <c r="J588">
        <v>0</v>
      </c>
      <c r="K588">
        <f t="shared" ref="K588:L588" si="2335">K587</f>
        <v>0.33333333333333331</v>
      </c>
      <c r="L588">
        <f t="shared" si="2335"/>
        <v>0.47140452079103168</v>
      </c>
      <c r="M588">
        <v>110</v>
      </c>
      <c r="N588">
        <f t="shared" ref="N588:O588" si="2336">N587</f>
        <v>101.66666666666667</v>
      </c>
      <c r="O588">
        <f t="shared" si="2336"/>
        <v>6.2360956446232363</v>
      </c>
      <c r="Q588">
        <v>0.56000000000000005</v>
      </c>
      <c r="R588" t="s">
        <v>20</v>
      </c>
      <c r="S588">
        <v>0.56999999999999995</v>
      </c>
      <c r="T588" t="s">
        <v>20</v>
      </c>
      <c r="U588">
        <v>19.45</v>
      </c>
    </row>
    <row r="589" spans="1:21" x14ac:dyDescent="0.25">
      <c r="A589" t="s">
        <v>364</v>
      </c>
      <c r="B589" s="4" t="s">
        <v>94</v>
      </c>
      <c r="C589" s="1">
        <v>4</v>
      </c>
      <c r="D589">
        <v>120</v>
      </c>
      <c r="E589">
        <v>3</v>
      </c>
      <c r="F589" t="s">
        <v>20</v>
      </c>
      <c r="G589">
        <v>116</v>
      </c>
      <c r="H589">
        <f t="shared" ref="H589:I589" si="2337">H587</f>
        <v>115.33333333333333</v>
      </c>
      <c r="I589">
        <f t="shared" si="2337"/>
        <v>2.4944382578492941</v>
      </c>
      <c r="J589">
        <v>0</v>
      </c>
      <c r="K589">
        <f t="shared" ref="K589:L589" si="2338">K587</f>
        <v>0.33333333333333331</v>
      </c>
      <c r="L589">
        <f t="shared" si="2338"/>
        <v>0.47140452079103168</v>
      </c>
      <c r="M589">
        <v>100</v>
      </c>
      <c r="N589">
        <f t="shared" ref="N589:O589" si="2339">N587</f>
        <v>101.66666666666667</v>
      </c>
      <c r="O589">
        <f t="shared" si="2339"/>
        <v>6.2360956446232363</v>
      </c>
      <c r="P589">
        <v>192</v>
      </c>
      <c r="Q589">
        <v>0.4</v>
      </c>
      <c r="R589" t="s">
        <v>20</v>
      </c>
      <c r="S589">
        <v>0.2</v>
      </c>
      <c r="T589" t="s">
        <v>20</v>
      </c>
      <c r="U589" t="s">
        <v>20</v>
      </c>
    </row>
    <row r="590" spans="1:21" x14ac:dyDescent="0.25">
      <c r="A590" t="s">
        <v>365</v>
      </c>
      <c r="B590" s="4" t="s">
        <v>94</v>
      </c>
      <c r="C590" s="1">
        <v>4</v>
      </c>
      <c r="D590">
        <v>120</v>
      </c>
      <c r="E590">
        <v>1</v>
      </c>
      <c r="F590">
        <v>88</v>
      </c>
      <c r="G590">
        <v>116</v>
      </c>
      <c r="H590">
        <f t="shared" ref="H590" si="2340">AVERAGE(G590:G592)</f>
        <v>119.66666666666667</v>
      </c>
      <c r="I590">
        <f t="shared" ref="I590" si="2341">_xlfn.STDEV.P(G590:G592)</f>
        <v>2.6246692913372702</v>
      </c>
      <c r="J590">
        <v>2</v>
      </c>
      <c r="K590">
        <f t="shared" ref="K590" si="2342">AVERAGE(J590:J592)</f>
        <v>2</v>
      </c>
      <c r="L590">
        <f t="shared" ref="L590" si="2343">_xlfn.STDEV.P(J590:J592)</f>
        <v>0.81649658092772603</v>
      </c>
      <c r="M590">
        <v>97</v>
      </c>
      <c r="N590">
        <f t="shared" ref="N590" si="2344">AVERAGE(M590:M592)</f>
        <v>107</v>
      </c>
      <c r="O590">
        <f t="shared" ref="O590" si="2345">_xlfn.STDEV.P(M590:M592)</f>
        <v>7.2571803523590805</v>
      </c>
      <c r="P590">
        <v>187</v>
      </c>
      <c r="Q590">
        <v>0.48</v>
      </c>
      <c r="R590">
        <v>89.759999999999991</v>
      </c>
      <c r="S590">
        <v>0.35</v>
      </c>
      <c r="T590">
        <v>65.45</v>
      </c>
      <c r="U590">
        <v>20.95</v>
      </c>
    </row>
    <row r="591" spans="1:21" x14ac:dyDescent="0.25">
      <c r="A591" t="s">
        <v>365</v>
      </c>
      <c r="B591" s="4" t="s">
        <v>94</v>
      </c>
      <c r="C591" s="1">
        <v>4</v>
      </c>
      <c r="D591">
        <v>120</v>
      </c>
      <c r="E591">
        <v>2</v>
      </c>
      <c r="F591">
        <v>84</v>
      </c>
      <c r="G591">
        <v>122</v>
      </c>
      <c r="H591">
        <f t="shared" ref="H591:I591" si="2346">H590</f>
        <v>119.66666666666667</v>
      </c>
      <c r="I591">
        <f t="shared" si="2346"/>
        <v>2.6246692913372702</v>
      </c>
      <c r="J591">
        <v>3</v>
      </c>
      <c r="K591">
        <f t="shared" ref="K591:L591" si="2347">K590</f>
        <v>2</v>
      </c>
      <c r="L591">
        <f t="shared" si="2347"/>
        <v>0.81649658092772603</v>
      </c>
      <c r="M591">
        <v>114</v>
      </c>
      <c r="N591">
        <f t="shared" ref="N591:O591" si="2348">N590</f>
        <v>107</v>
      </c>
      <c r="O591">
        <f t="shared" si="2348"/>
        <v>7.2571803523590805</v>
      </c>
      <c r="P591">
        <v>181</v>
      </c>
      <c r="Q591">
        <v>0.56000000000000005</v>
      </c>
      <c r="R591">
        <v>101.36000000000001</v>
      </c>
      <c r="S591">
        <v>0.2</v>
      </c>
      <c r="T591">
        <v>36.200000000000003</v>
      </c>
      <c r="U591" t="s">
        <v>20</v>
      </c>
    </row>
    <row r="592" spans="1:21" x14ac:dyDescent="0.25">
      <c r="A592" t="s">
        <v>365</v>
      </c>
      <c r="B592" s="4" t="s">
        <v>94</v>
      </c>
      <c r="C592" s="1">
        <v>4</v>
      </c>
      <c r="D592">
        <v>120</v>
      </c>
      <c r="E592">
        <v>3</v>
      </c>
      <c r="F592" t="s">
        <v>20</v>
      </c>
      <c r="G592">
        <v>121</v>
      </c>
      <c r="H592">
        <f t="shared" ref="H592:I592" si="2349">H590</f>
        <v>119.66666666666667</v>
      </c>
      <c r="I592">
        <f t="shared" si="2349"/>
        <v>2.6246692913372702</v>
      </c>
      <c r="J592">
        <v>1</v>
      </c>
      <c r="K592">
        <f t="shared" ref="K592:L592" si="2350">K590</f>
        <v>2</v>
      </c>
      <c r="L592">
        <f t="shared" si="2350"/>
        <v>0.81649658092772603</v>
      </c>
      <c r="M592">
        <v>110</v>
      </c>
      <c r="N592">
        <f t="shared" ref="N592:O592" si="2351">N590</f>
        <v>107</v>
      </c>
      <c r="O592">
        <f t="shared" si="2351"/>
        <v>7.2571803523590805</v>
      </c>
      <c r="P592">
        <v>181</v>
      </c>
      <c r="Q592">
        <v>0.48</v>
      </c>
      <c r="R592">
        <v>86.88</v>
      </c>
      <c r="S592">
        <v>0.47</v>
      </c>
      <c r="T592">
        <v>85.07</v>
      </c>
      <c r="U592" t="s">
        <v>20</v>
      </c>
    </row>
    <row r="593" spans="1:21" x14ac:dyDescent="0.25">
      <c r="A593" t="s">
        <v>366</v>
      </c>
      <c r="B593" s="4" t="s">
        <v>94</v>
      </c>
      <c r="C593" s="1">
        <v>4</v>
      </c>
      <c r="D593">
        <v>120</v>
      </c>
      <c r="E593">
        <v>1</v>
      </c>
      <c r="F593">
        <v>26</v>
      </c>
      <c r="G593">
        <v>115</v>
      </c>
      <c r="H593">
        <f t="shared" ref="H593" si="2352">AVERAGE(G593:G595)</f>
        <v>112</v>
      </c>
      <c r="I593">
        <f t="shared" ref="I593" si="2353">_xlfn.STDEV.P(G593:G595)</f>
        <v>2.4494897427831779</v>
      </c>
      <c r="J593">
        <v>2</v>
      </c>
      <c r="K593">
        <f t="shared" ref="K593" si="2354">AVERAGE(J593:J595)</f>
        <v>1.6666666666666667</v>
      </c>
      <c r="L593">
        <f t="shared" ref="L593" si="2355">_xlfn.STDEV.P(J593:J595)</f>
        <v>0.47140452079103168</v>
      </c>
      <c r="M593">
        <v>113</v>
      </c>
      <c r="N593">
        <f t="shared" ref="N593" si="2356">AVERAGE(M593:M595)</f>
        <v>110.66666666666667</v>
      </c>
      <c r="O593">
        <f t="shared" ref="O593" si="2357">_xlfn.STDEV.P(M593:M595)</f>
        <v>3.2998316455372216</v>
      </c>
      <c r="P593">
        <v>168</v>
      </c>
      <c r="Q593">
        <v>0.64</v>
      </c>
      <c r="R593">
        <v>107.52</v>
      </c>
      <c r="S593">
        <v>0.62</v>
      </c>
      <c r="T593">
        <v>104.16</v>
      </c>
      <c r="U593">
        <v>17.97</v>
      </c>
    </row>
    <row r="594" spans="1:21" x14ac:dyDescent="0.25">
      <c r="A594" t="s">
        <v>366</v>
      </c>
      <c r="B594" s="4" t="s">
        <v>94</v>
      </c>
      <c r="C594" s="1">
        <v>4</v>
      </c>
      <c r="D594">
        <v>120</v>
      </c>
      <c r="E594">
        <v>2</v>
      </c>
      <c r="F594">
        <v>34</v>
      </c>
      <c r="G594">
        <v>109</v>
      </c>
      <c r="H594">
        <f t="shared" ref="H594:I594" si="2358">H593</f>
        <v>112</v>
      </c>
      <c r="I594">
        <f t="shared" si="2358"/>
        <v>2.4494897427831779</v>
      </c>
      <c r="J594">
        <v>1</v>
      </c>
      <c r="K594">
        <f t="shared" ref="K594:L594" si="2359">K593</f>
        <v>1.6666666666666667</v>
      </c>
      <c r="L594">
        <f t="shared" si="2359"/>
        <v>0.47140452079103168</v>
      </c>
      <c r="M594">
        <v>106</v>
      </c>
      <c r="N594">
        <f t="shared" ref="N594:O594" si="2360">N593</f>
        <v>110.66666666666667</v>
      </c>
      <c r="O594">
        <f t="shared" si="2360"/>
        <v>3.2998316455372216</v>
      </c>
      <c r="P594">
        <v>167</v>
      </c>
      <c r="Q594">
        <v>0.65</v>
      </c>
      <c r="R594">
        <v>108.55</v>
      </c>
      <c r="S594">
        <v>0.65</v>
      </c>
      <c r="T594">
        <v>108.55</v>
      </c>
      <c r="U594">
        <v>20.43</v>
      </c>
    </row>
    <row r="595" spans="1:21" x14ac:dyDescent="0.25">
      <c r="A595" t="s">
        <v>366</v>
      </c>
      <c r="B595" s="4" t="s">
        <v>94</v>
      </c>
      <c r="C595" s="1">
        <v>4</v>
      </c>
      <c r="D595">
        <v>120</v>
      </c>
      <c r="E595">
        <v>3</v>
      </c>
      <c r="F595" t="s">
        <v>20</v>
      </c>
      <c r="G595">
        <v>112</v>
      </c>
      <c r="H595">
        <f t="shared" ref="H595:I595" si="2361">H593</f>
        <v>112</v>
      </c>
      <c r="I595">
        <f t="shared" si="2361"/>
        <v>2.4494897427831779</v>
      </c>
      <c r="J595">
        <v>2</v>
      </c>
      <c r="K595">
        <f t="shared" ref="K595:L595" si="2362">K593</f>
        <v>1.6666666666666667</v>
      </c>
      <c r="L595">
        <f t="shared" si="2362"/>
        <v>0.47140452079103168</v>
      </c>
      <c r="M595">
        <v>113</v>
      </c>
      <c r="N595">
        <f t="shared" ref="N595:O595" si="2363">N593</f>
        <v>110.66666666666667</v>
      </c>
      <c r="O595">
        <f t="shared" si="2363"/>
        <v>3.2998316455372216</v>
      </c>
      <c r="P595">
        <v>167</v>
      </c>
      <c r="Q595">
        <v>0.65</v>
      </c>
      <c r="R595">
        <v>108.55</v>
      </c>
      <c r="S595">
        <v>0.7</v>
      </c>
      <c r="T595">
        <v>116.89999999999999</v>
      </c>
      <c r="U595" t="s">
        <v>20</v>
      </c>
    </row>
    <row r="596" spans="1:21" x14ac:dyDescent="0.25">
      <c r="A596" t="s">
        <v>367</v>
      </c>
      <c r="B596" s="4" t="s">
        <v>14</v>
      </c>
      <c r="C596" s="1">
        <v>1</v>
      </c>
      <c r="D596">
        <v>120</v>
      </c>
      <c r="E596">
        <v>1</v>
      </c>
      <c r="F596">
        <v>40</v>
      </c>
      <c r="G596">
        <v>113</v>
      </c>
      <c r="H596">
        <f t="shared" ref="H596" si="2364">AVERAGE(G596:G598)</f>
        <v>115</v>
      </c>
      <c r="I596">
        <f t="shared" ref="I596" si="2365">_xlfn.STDEV.P(G596:G598)</f>
        <v>1.4142135623730951</v>
      </c>
      <c r="J596">
        <v>4</v>
      </c>
      <c r="K596">
        <f t="shared" ref="K596" si="2366">AVERAGE(J596:J598)</f>
        <v>4</v>
      </c>
      <c r="L596">
        <f t="shared" ref="L596" si="2367">_xlfn.STDEV.P(J596:J598)</f>
        <v>0</v>
      </c>
      <c r="M596">
        <v>120</v>
      </c>
      <c r="N596">
        <f t="shared" ref="N596" si="2368">AVERAGE(M596:M598)</f>
        <v>117</v>
      </c>
      <c r="O596">
        <f t="shared" ref="O596" si="2369">_xlfn.STDEV.P(M596:M598)</f>
        <v>4.9665548085837798</v>
      </c>
      <c r="P596">
        <v>168</v>
      </c>
      <c r="Q596">
        <v>0.63</v>
      </c>
      <c r="R596">
        <v>105.84</v>
      </c>
      <c r="S596">
        <v>0.6</v>
      </c>
      <c r="T596">
        <v>100.8</v>
      </c>
      <c r="U596">
        <v>23.43</v>
      </c>
    </row>
    <row r="597" spans="1:21" x14ac:dyDescent="0.25">
      <c r="A597" t="s">
        <v>367</v>
      </c>
      <c r="B597" s="4" t="s">
        <v>14</v>
      </c>
      <c r="C597" s="1">
        <v>1</v>
      </c>
      <c r="D597">
        <v>120</v>
      </c>
      <c r="E597">
        <v>2</v>
      </c>
      <c r="F597">
        <v>48</v>
      </c>
      <c r="G597">
        <v>116</v>
      </c>
      <c r="H597">
        <f t="shared" ref="H597:I597" si="2370">H596</f>
        <v>115</v>
      </c>
      <c r="I597">
        <f t="shared" si="2370"/>
        <v>1.4142135623730951</v>
      </c>
      <c r="J597">
        <v>4</v>
      </c>
      <c r="K597">
        <f t="shared" ref="K597:L597" si="2371">K596</f>
        <v>4</v>
      </c>
      <c r="L597">
        <f t="shared" si="2371"/>
        <v>0</v>
      </c>
      <c r="M597">
        <v>110</v>
      </c>
      <c r="N597">
        <f t="shared" ref="N597:O597" si="2372">N596</f>
        <v>117</v>
      </c>
      <c r="O597">
        <f t="shared" si="2372"/>
        <v>4.9665548085837798</v>
      </c>
      <c r="P597">
        <v>177</v>
      </c>
      <c r="Q597">
        <v>0.37</v>
      </c>
      <c r="R597">
        <v>65.489999999999995</v>
      </c>
      <c r="S597">
        <v>0.4</v>
      </c>
      <c r="T597">
        <v>70.8</v>
      </c>
      <c r="U597">
        <v>29.2</v>
      </c>
    </row>
    <row r="598" spans="1:21" x14ac:dyDescent="0.25">
      <c r="A598" t="s">
        <v>367</v>
      </c>
      <c r="B598" s="4" t="s">
        <v>14</v>
      </c>
      <c r="C598" s="1">
        <v>1</v>
      </c>
      <c r="D598">
        <v>120</v>
      </c>
      <c r="E598">
        <v>3</v>
      </c>
      <c r="F598" t="s">
        <v>20</v>
      </c>
      <c r="G598">
        <v>116</v>
      </c>
      <c r="H598">
        <f t="shared" ref="H598:I598" si="2373">H596</f>
        <v>115</v>
      </c>
      <c r="I598">
        <f t="shared" si="2373"/>
        <v>1.4142135623730951</v>
      </c>
      <c r="J598">
        <v>4</v>
      </c>
      <c r="K598">
        <f t="shared" ref="K598:L598" si="2374">K596</f>
        <v>4</v>
      </c>
      <c r="L598">
        <f t="shared" si="2374"/>
        <v>0</v>
      </c>
      <c r="M598">
        <v>121</v>
      </c>
      <c r="N598">
        <f t="shared" ref="N598:O598" si="2375">N596</f>
        <v>117</v>
      </c>
      <c r="O598">
        <f t="shared" si="2375"/>
        <v>4.9665548085837798</v>
      </c>
      <c r="P598">
        <v>186</v>
      </c>
      <c r="Q598">
        <v>0.36</v>
      </c>
      <c r="R598">
        <v>66.959999999999994</v>
      </c>
      <c r="S598">
        <v>0.61</v>
      </c>
      <c r="T598">
        <v>113.46</v>
      </c>
      <c r="U598" t="s">
        <v>20</v>
      </c>
    </row>
    <row r="599" spans="1:21" x14ac:dyDescent="0.25">
      <c r="A599" t="s">
        <v>368</v>
      </c>
      <c r="B599" s="4" t="s">
        <v>94</v>
      </c>
      <c r="C599" s="1">
        <v>4</v>
      </c>
      <c r="D599">
        <v>120</v>
      </c>
      <c r="E599">
        <v>1</v>
      </c>
      <c r="F599">
        <v>56</v>
      </c>
      <c r="G599">
        <v>101</v>
      </c>
      <c r="H599">
        <f t="shared" ref="H599" si="2376">AVERAGE(G599:G601)</f>
        <v>102.5</v>
      </c>
      <c r="I599">
        <f t="shared" ref="I599" si="2377">_xlfn.STDEV.P(G599:G601)</f>
        <v>1.5</v>
      </c>
      <c r="J599">
        <v>2</v>
      </c>
      <c r="K599">
        <f t="shared" ref="K599" si="2378">AVERAGE(J599:J601)</f>
        <v>2</v>
      </c>
      <c r="L599">
        <f t="shared" ref="L599" si="2379">_xlfn.STDEV.P(J599:J601)</f>
        <v>0</v>
      </c>
      <c r="M599">
        <v>102</v>
      </c>
      <c r="N599">
        <f t="shared" ref="N599" si="2380">AVERAGE(M599:M601)</f>
        <v>110</v>
      </c>
      <c r="O599">
        <f t="shared" ref="O599" si="2381">_xlfn.STDEV.P(M599:M601)</f>
        <v>8</v>
      </c>
      <c r="P599">
        <v>149</v>
      </c>
      <c r="Q599">
        <v>0.72</v>
      </c>
      <c r="R599" t="s">
        <v>20</v>
      </c>
      <c r="S599">
        <v>0.75</v>
      </c>
      <c r="T599" t="s">
        <v>20</v>
      </c>
      <c r="U599">
        <v>17.850000000000001</v>
      </c>
    </row>
    <row r="600" spans="1:21" x14ac:dyDescent="0.25">
      <c r="A600" t="s">
        <v>368</v>
      </c>
      <c r="B600" s="4" t="s">
        <v>94</v>
      </c>
      <c r="C600" s="1">
        <v>4</v>
      </c>
      <c r="D600">
        <v>120</v>
      </c>
      <c r="E600">
        <v>2</v>
      </c>
      <c r="F600" t="s">
        <v>20</v>
      </c>
      <c r="G600" t="s">
        <v>20</v>
      </c>
      <c r="H600">
        <f t="shared" ref="H600:I600" si="2382">H599</f>
        <v>102.5</v>
      </c>
      <c r="I600">
        <f t="shared" si="2382"/>
        <v>1.5</v>
      </c>
      <c r="J600" t="s">
        <v>20</v>
      </c>
      <c r="K600">
        <f t="shared" ref="K600:L600" si="2383">K599</f>
        <v>2</v>
      </c>
      <c r="L600">
        <f t="shared" si="2383"/>
        <v>0</v>
      </c>
      <c r="M600" t="s">
        <v>20</v>
      </c>
      <c r="N600">
        <f t="shared" ref="N600:O600" si="2384">N599</f>
        <v>110</v>
      </c>
      <c r="O600">
        <f t="shared" si="2384"/>
        <v>8</v>
      </c>
      <c r="P600">
        <v>152</v>
      </c>
      <c r="Q600" t="s">
        <v>20</v>
      </c>
      <c r="R600" t="s">
        <v>20</v>
      </c>
      <c r="S600" t="s">
        <v>20</v>
      </c>
      <c r="T600" t="s">
        <v>20</v>
      </c>
      <c r="U600">
        <v>19.260000000000002</v>
      </c>
    </row>
    <row r="601" spans="1:21" x14ac:dyDescent="0.25">
      <c r="A601" t="s">
        <v>368</v>
      </c>
      <c r="B601" s="4" t="s">
        <v>94</v>
      </c>
      <c r="C601" s="1">
        <v>4</v>
      </c>
      <c r="D601">
        <v>120</v>
      </c>
      <c r="E601">
        <v>3</v>
      </c>
      <c r="F601" t="s">
        <v>20</v>
      </c>
      <c r="G601">
        <v>104</v>
      </c>
      <c r="H601">
        <f t="shared" ref="H601:I601" si="2385">H599</f>
        <v>102.5</v>
      </c>
      <c r="I601">
        <f t="shared" si="2385"/>
        <v>1.5</v>
      </c>
      <c r="J601">
        <v>2</v>
      </c>
      <c r="K601">
        <f t="shared" ref="K601:L601" si="2386">K599</f>
        <v>2</v>
      </c>
      <c r="L601">
        <f t="shared" si="2386"/>
        <v>0</v>
      </c>
      <c r="M601">
        <v>118</v>
      </c>
      <c r="N601">
        <f t="shared" ref="N601:O601" si="2387">N599</f>
        <v>110</v>
      </c>
      <c r="O601">
        <f t="shared" si="2387"/>
        <v>8</v>
      </c>
      <c r="P601">
        <v>159</v>
      </c>
      <c r="Q601">
        <v>0.68</v>
      </c>
      <c r="R601" t="s">
        <v>20</v>
      </c>
      <c r="S601">
        <v>0.75</v>
      </c>
      <c r="T601" t="s">
        <v>20</v>
      </c>
      <c r="U601">
        <v>14.79</v>
      </c>
    </row>
    <row r="602" spans="1:21" x14ac:dyDescent="0.25">
      <c r="A602" t="s">
        <v>369</v>
      </c>
      <c r="B602" s="4" t="s">
        <v>94</v>
      </c>
      <c r="C602" s="1">
        <v>5</v>
      </c>
      <c r="D602">
        <v>120</v>
      </c>
      <c r="E602">
        <v>1</v>
      </c>
      <c r="F602">
        <v>28</v>
      </c>
      <c r="G602">
        <v>134</v>
      </c>
      <c r="H602">
        <f t="shared" ref="H602" si="2388">AVERAGE(G602:G604)</f>
        <v>116.66666666666667</v>
      </c>
      <c r="I602">
        <f t="shared" ref="I602" si="2389">_xlfn.STDEV.P(G602:G604)</f>
        <v>12.364824660660938</v>
      </c>
      <c r="J602">
        <v>2</v>
      </c>
      <c r="K602">
        <f t="shared" ref="K602" si="2390">AVERAGE(J602:J604)</f>
        <v>1.3333333333333333</v>
      </c>
      <c r="L602">
        <f t="shared" ref="L602" si="2391">_xlfn.STDEV.P(J602:J604)</f>
        <v>0.47140452079103168</v>
      </c>
      <c r="M602">
        <v>105</v>
      </c>
      <c r="N602">
        <f t="shared" ref="N602" si="2392">AVERAGE(M602:M604)</f>
        <v>114</v>
      </c>
      <c r="O602">
        <f t="shared" ref="O602" si="2393">_xlfn.STDEV.P(M602:M604)</f>
        <v>6.4807406984078604</v>
      </c>
      <c r="P602">
        <v>167</v>
      </c>
      <c r="Q602">
        <v>0.65</v>
      </c>
      <c r="R602">
        <v>108.55</v>
      </c>
      <c r="S602">
        <v>0.68</v>
      </c>
      <c r="T602">
        <v>113.56</v>
      </c>
      <c r="U602">
        <v>16.170000000000002</v>
      </c>
    </row>
    <row r="603" spans="1:21" x14ac:dyDescent="0.25">
      <c r="A603" t="s">
        <v>369</v>
      </c>
      <c r="B603" s="4" t="s">
        <v>94</v>
      </c>
      <c r="C603" s="1">
        <v>5</v>
      </c>
      <c r="D603">
        <v>120</v>
      </c>
      <c r="E603">
        <v>2</v>
      </c>
      <c r="F603">
        <v>26</v>
      </c>
      <c r="G603">
        <v>110</v>
      </c>
      <c r="H603">
        <f t="shared" ref="H603:I603" si="2394">H602</f>
        <v>116.66666666666667</v>
      </c>
      <c r="I603">
        <f t="shared" si="2394"/>
        <v>12.364824660660938</v>
      </c>
      <c r="J603">
        <v>1</v>
      </c>
      <c r="K603">
        <f t="shared" ref="K603:L603" si="2395">K602</f>
        <v>1.3333333333333333</v>
      </c>
      <c r="L603">
        <f t="shared" si="2395"/>
        <v>0.47140452079103168</v>
      </c>
      <c r="M603">
        <v>117</v>
      </c>
      <c r="N603">
        <f t="shared" ref="N603:O603" si="2396">N602</f>
        <v>114</v>
      </c>
      <c r="O603">
        <f t="shared" si="2396"/>
        <v>6.4807406984078604</v>
      </c>
      <c r="P603">
        <v>166</v>
      </c>
      <c r="Q603">
        <v>0.69</v>
      </c>
      <c r="R603">
        <v>114.53999999999999</v>
      </c>
      <c r="S603">
        <v>0.64</v>
      </c>
      <c r="T603">
        <v>106.24000000000001</v>
      </c>
      <c r="U603">
        <v>14.9</v>
      </c>
    </row>
    <row r="604" spans="1:21" x14ac:dyDescent="0.25">
      <c r="A604" t="s">
        <v>369</v>
      </c>
      <c r="B604" s="4" t="s">
        <v>94</v>
      </c>
      <c r="C604" s="1">
        <v>5</v>
      </c>
      <c r="D604">
        <v>120</v>
      </c>
      <c r="E604">
        <v>3</v>
      </c>
      <c r="F604" t="s">
        <v>20</v>
      </c>
      <c r="G604">
        <v>106</v>
      </c>
      <c r="H604">
        <f t="shared" ref="H604:I604" si="2397">H602</f>
        <v>116.66666666666667</v>
      </c>
      <c r="I604">
        <f t="shared" si="2397"/>
        <v>12.364824660660938</v>
      </c>
      <c r="J604">
        <v>1</v>
      </c>
      <c r="K604">
        <f t="shared" ref="K604:L604" si="2398">K602</f>
        <v>1.3333333333333333</v>
      </c>
      <c r="L604">
        <f t="shared" si="2398"/>
        <v>0.47140452079103168</v>
      </c>
      <c r="M604">
        <v>120</v>
      </c>
      <c r="N604">
        <f t="shared" ref="N604:O604" si="2399">N602</f>
        <v>114</v>
      </c>
      <c r="O604">
        <f t="shared" si="2399"/>
        <v>6.4807406984078604</v>
      </c>
      <c r="P604">
        <v>159</v>
      </c>
      <c r="Q604">
        <v>0.63</v>
      </c>
      <c r="R604">
        <v>100.17</v>
      </c>
      <c r="S604">
        <v>0.7</v>
      </c>
      <c r="T604">
        <v>111.3</v>
      </c>
      <c r="U604">
        <v>14.86</v>
      </c>
    </row>
    <row r="605" spans="1:21" x14ac:dyDescent="0.25">
      <c r="A605" t="s">
        <v>370</v>
      </c>
      <c r="B605" s="4" t="s">
        <v>94</v>
      </c>
      <c r="C605" s="1">
        <v>4</v>
      </c>
      <c r="D605">
        <v>120</v>
      </c>
      <c r="E605">
        <v>1</v>
      </c>
      <c r="F605">
        <v>14</v>
      </c>
      <c r="G605">
        <v>120</v>
      </c>
      <c r="H605">
        <f t="shared" ref="H605" si="2400">AVERAGE(G605:G607)</f>
        <v>119</v>
      </c>
      <c r="I605">
        <f t="shared" ref="I605" si="2401">_xlfn.STDEV.P(G605:G607)</f>
        <v>2.1602468994692869</v>
      </c>
      <c r="J605">
        <v>1</v>
      </c>
      <c r="K605">
        <f t="shared" ref="K605" si="2402">AVERAGE(J605:J607)</f>
        <v>1</v>
      </c>
      <c r="L605">
        <f t="shared" ref="L605" si="2403">_xlfn.STDEV.P(J605:J607)</f>
        <v>0</v>
      </c>
      <c r="M605">
        <v>94</v>
      </c>
      <c r="N605">
        <f t="shared" ref="N605" si="2404">AVERAGE(M605:M607)</f>
        <v>94.666666666666671</v>
      </c>
      <c r="O605">
        <f t="shared" ref="O605" si="2405">_xlfn.STDEV.P(M605:M607)</f>
        <v>4.1096093353126513</v>
      </c>
      <c r="P605">
        <v>181</v>
      </c>
      <c r="Q605">
        <v>0.65</v>
      </c>
      <c r="R605">
        <v>117.65</v>
      </c>
      <c r="S605">
        <v>0.61</v>
      </c>
      <c r="T605">
        <v>110.41</v>
      </c>
      <c r="U605" t="s">
        <v>20</v>
      </c>
    </row>
    <row r="606" spans="1:21" x14ac:dyDescent="0.25">
      <c r="A606" t="s">
        <v>370</v>
      </c>
      <c r="B606" s="4" t="s">
        <v>94</v>
      </c>
      <c r="C606" s="1">
        <v>4</v>
      </c>
      <c r="D606">
        <v>120</v>
      </c>
      <c r="E606">
        <v>2</v>
      </c>
      <c r="F606">
        <v>16</v>
      </c>
      <c r="G606">
        <v>121</v>
      </c>
      <c r="H606">
        <f t="shared" ref="H606:I606" si="2406">H605</f>
        <v>119</v>
      </c>
      <c r="I606">
        <f t="shared" si="2406"/>
        <v>2.1602468994692869</v>
      </c>
      <c r="J606">
        <v>1</v>
      </c>
      <c r="K606">
        <f t="shared" ref="K606:L606" si="2407">K605</f>
        <v>1</v>
      </c>
      <c r="L606">
        <f t="shared" si="2407"/>
        <v>0</v>
      </c>
      <c r="M606">
        <v>100</v>
      </c>
      <c r="N606">
        <f t="shared" ref="N606:O606" si="2408">N605</f>
        <v>94.666666666666671</v>
      </c>
      <c r="O606">
        <f t="shared" si="2408"/>
        <v>4.1096093353126513</v>
      </c>
      <c r="P606">
        <v>179</v>
      </c>
      <c r="Q606">
        <v>0.57999999999999996</v>
      </c>
      <c r="R606">
        <v>103.82</v>
      </c>
      <c r="S606">
        <v>0.72</v>
      </c>
      <c r="T606">
        <v>128.88</v>
      </c>
      <c r="U606" t="s">
        <v>20</v>
      </c>
    </row>
    <row r="607" spans="1:21" x14ac:dyDescent="0.25">
      <c r="A607" t="s">
        <v>370</v>
      </c>
      <c r="B607" s="4" t="s">
        <v>94</v>
      </c>
      <c r="C607" s="1">
        <v>4</v>
      </c>
      <c r="D607">
        <v>120</v>
      </c>
      <c r="E607">
        <v>3</v>
      </c>
      <c r="F607">
        <v>8</v>
      </c>
      <c r="G607">
        <v>116</v>
      </c>
      <c r="H607">
        <f t="shared" ref="H607:I607" si="2409">H605</f>
        <v>119</v>
      </c>
      <c r="I607">
        <f t="shared" si="2409"/>
        <v>2.1602468994692869</v>
      </c>
      <c r="J607">
        <v>1</v>
      </c>
      <c r="K607">
        <f t="shared" ref="K607:L607" si="2410">K605</f>
        <v>1</v>
      </c>
      <c r="L607">
        <f t="shared" si="2410"/>
        <v>0</v>
      </c>
      <c r="M607">
        <v>90</v>
      </c>
      <c r="N607">
        <f t="shared" ref="N607:O607" si="2411">N605</f>
        <v>94.666666666666671</v>
      </c>
      <c r="O607">
        <f t="shared" si="2411"/>
        <v>4.1096093353126513</v>
      </c>
      <c r="P607">
        <v>160</v>
      </c>
      <c r="Q607">
        <v>0.66</v>
      </c>
      <c r="R607">
        <v>105.60000000000001</v>
      </c>
      <c r="S607">
        <v>0.61</v>
      </c>
      <c r="T607">
        <v>97.6</v>
      </c>
      <c r="U607" t="s">
        <v>20</v>
      </c>
    </row>
    <row r="608" spans="1:21" x14ac:dyDescent="0.25">
      <c r="A608" t="s">
        <v>371</v>
      </c>
      <c r="B608" s="4" t="s">
        <v>94</v>
      </c>
      <c r="C608" s="1">
        <v>4</v>
      </c>
      <c r="D608">
        <v>120</v>
      </c>
      <c r="E608">
        <v>1</v>
      </c>
      <c r="F608" t="s">
        <v>20</v>
      </c>
      <c r="G608">
        <v>104</v>
      </c>
      <c r="H608">
        <f t="shared" ref="H608" si="2412">AVERAGE(G608:G610)</f>
        <v>105</v>
      </c>
      <c r="I608">
        <f t="shared" ref="I608" si="2413">_xlfn.STDEV.P(G608:G610)</f>
        <v>0.81649658092772603</v>
      </c>
      <c r="J608">
        <v>1</v>
      </c>
      <c r="K608">
        <f t="shared" ref="K608" si="2414">AVERAGE(J608:J610)</f>
        <v>0.66666666666666663</v>
      </c>
      <c r="L608">
        <f t="shared" ref="L608" si="2415">_xlfn.STDEV.P(J608:J610)</f>
        <v>0.47140452079103168</v>
      </c>
      <c r="M608">
        <v>110</v>
      </c>
      <c r="N608">
        <f t="shared" ref="N608" si="2416">AVERAGE(M608:M610)</f>
        <v>108.33333333333333</v>
      </c>
      <c r="O608">
        <f t="shared" ref="O608" si="2417">_xlfn.STDEV.P(M608:M610)</f>
        <v>2.3570226039551581</v>
      </c>
      <c r="P608">
        <v>166</v>
      </c>
      <c r="Q608">
        <v>0.61</v>
      </c>
      <c r="R608">
        <v>101.25999999999999</v>
      </c>
      <c r="S608">
        <v>0.5</v>
      </c>
      <c r="T608">
        <v>83</v>
      </c>
      <c r="U608">
        <v>15.68</v>
      </c>
    </row>
    <row r="609" spans="1:21" x14ac:dyDescent="0.25">
      <c r="A609" t="s">
        <v>371</v>
      </c>
      <c r="B609" s="4" t="s">
        <v>94</v>
      </c>
      <c r="C609" s="1">
        <v>4</v>
      </c>
      <c r="D609">
        <v>120</v>
      </c>
      <c r="E609">
        <v>2</v>
      </c>
      <c r="F609" t="s">
        <v>20</v>
      </c>
      <c r="G609">
        <v>105</v>
      </c>
      <c r="H609">
        <f t="shared" ref="H609:I609" si="2418">H608</f>
        <v>105</v>
      </c>
      <c r="I609">
        <f t="shared" si="2418"/>
        <v>0.81649658092772603</v>
      </c>
      <c r="J609">
        <v>1</v>
      </c>
      <c r="K609">
        <f t="shared" ref="K609:L609" si="2419">K608</f>
        <v>0.66666666666666663</v>
      </c>
      <c r="L609">
        <f t="shared" si="2419"/>
        <v>0.47140452079103168</v>
      </c>
      <c r="M609">
        <v>105</v>
      </c>
      <c r="N609">
        <f t="shared" ref="N609:O609" si="2420">N608</f>
        <v>108.33333333333333</v>
      </c>
      <c r="O609">
        <f t="shared" si="2420"/>
        <v>2.3570226039551581</v>
      </c>
      <c r="P609">
        <v>162</v>
      </c>
      <c r="Q609">
        <v>0.49</v>
      </c>
      <c r="R609">
        <v>79.38</v>
      </c>
      <c r="S609">
        <v>0.67</v>
      </c>
      <c r="T609">
        <v>108.54</v>
      </c>
      <c r="U609">
        <v>15.95</v>
      </c>
    </row>
    <row r="610" spans="1:21" x14ac:dyDescent="0.25">
      <c r="A610" t="s">
        <v>371</v>
      </c>
      <c r="B610" s="4" t="s">
        <v>94</v>
      </c>
      <c r="C610" s="1">
        <v>4</v>
      </c>
      <c r="D610">
        <v>120</v>
      </c>
      <c r="E610">
        <v>3</v>
      </c>
      <c r="F610" t="s">
        <v>20</v>
      </c>
      <c r="G610">
        <v>106</v>
      </c>
      <c r="H610">
        <f t="shared" ref="H610:I610" si="2421">H608</f>
        <v>105</v>
      </c>
      <c r="I610">
        <f t="shared" si="2421"/>
        <v>0.81649658092772603</v>
      </c>
      <c r="J610">
        <v>0</v>
      </c>
      <c r="K610">
        <f t="shared" ref="K610:L610" si="2422">K608</f>
        <v>0.66666666666666663</v>
      </c>
      <c r="L610">
        <f t="shared" si="2422"/>
        <v>0.47140452079103168</v>
      </c>
      <c r="M610">
        <v>110</v>
      </c>
      <c r="N610">
        <f t="shared" ref="N610:O610" si="2423">N608</f>
        <v>108.33333333333333</v>
      </c>
      <c r="O610">
        <f t="shared" si="2423"/>
        <v>2.3570226039551581</v>
      </c>
      <c r="P610">
        <v>167</v>
      </c>
      <c r="Q610">
        <v>0.65</v>
      </c>
      <c r="R610">
        <v>108.55</v>
      </c>
      <c r="S610">
        <v>0.65</v>
      </c>
      <c r="T610">
        <v>108.55</v>
      </c>
      <c r="U610">
        <v>16.53</v>
      </c>
    </row>
    <row r="611" spans="1:21" x14ac:dyDescent="0.25">
      <c r="A611" t="s">
        <v>372</v>
      </c>
      <c r="B611" s="4" t="s">
        <v>94</v>
      </c>
      <c r="C611" s="1">
        <v>4</v>
      </c>
      <c r="D611">
        <v>120</v>
      </c>
      <c r="E611">
        <v>1</v>
      </c>
      <c r="F611">
        <v>36</v>
      </c>
      <c r="G611">
        <v>101</v>
      </c>
      <c r="H611">
        <f t="shared" ref="H611" si="2424">AVERAGE(G611:G613)</f>
        <v>102.66666666666667</v>
      </c>
      <c r="I611">
        <f t="shared" ref="I611" si="2425">_xlfn.STDEV.P(G611:G613)</f>
        <v>2.3570226039551581</v>
      </c>
      <c r="J611">
        <v>1</v>
      </c>
      <c r="K611">
        <f t="shared" ref="K611" si="2426">AVERAGE(J611:J613)</f>
        <v>0.66666666666666663</v>
      </c>
      <c r="L611">
        <f t="shared" ref="L611" si="2427">_xlfn.STDEV.P(J611:J613)</f>
        <v>0.47140452079103168</v>
      </c>
      <c r="M611">
        <v>95</v>
      </c>
      <c r="N611">
        <f t="shared" ref="N611" si="2428">AVERAGE(M611:M613)</f>
        <v>93</v>
      </c>
      <c r="O611">
        <f t="shared" ref="O611" si="2429">_xlfn.STDEV.P(M611:M613)</f>
        <v>2.8284271247461903</v>
      </c>
      <c r="P611">
        <v>167</v>
      </c>
      <c r="Q611">
        <v>0.72</v>
      </c>
      <c r="R611">
        <v>120.24</v>
      </c>
      <c r="S611">
        <v>0.72</v>
      </c>
      <c r="T611">
        <v>120.24</v>
      </c>
      <c r="U611">
        <v>14.73</v>
      </c>
    </row>
    <row r="612" spans="1:21" x14ac:dyDescent="0.25">
      <c r="A612" t="s">
        <v>372</v>
      </c>
      <c r="B612" s="4" t="s">
        <v>94</v>
      </c>
      <c r="C612" s="1">
        <v>4</v>
      </c>
      <c r="D612">
        <v>120</v>
      </c>
      <c r="E612">
        <v>2</v>
      </c>
      <c r="F612">
        <v>55</v>
      </c>
      <c r="G612">
        <v>106</v>
      </c>
      <c r="H612">
        <f t="shared" ref="H612:I612" si="2430">H611</f>
        <v>102.66666666666667</v>
      </c>
      <c r="I612">
        <f t="shared" si="2430"/>
        <v>2.3570226039551581</v>
      </c>
      <c r="J612">
        <v>1</v>
      </c>
      <c r="K612">
        <f t="shared" ref="K612:L612" si="2431">K611</f>
        <v>0.66666666666666663</v>
      </c>
      <c r="L612">
        <f t="shared" si="2431"/>
        <v>0.47140452079103168</v>
      </c>
      <c r="M612">
        <v>89</v>
      </c>
      <c r="N612">
        <f t="shared" ref="N612:O612" si="2432">N611</f>
        <v>93</v>
      </c>
      <c r="O612">
        <f t="shared" si="2432"/>
        <v>2.8284271247461903</v>
      </c>
      <c r="P612">
        <v>159</v>
      </c>
      <c r="Q612">
        <v>0.67</v>
      </c>
      <c r="R612">
        <v>106.53</v>
      </c>
      <c r="S612">
        <v>0.7</v>
      </c>
      <c r="T612">
        <v>111.3</v>
      </c>
      <c r="U612">
        <v>18.059999999999999</v>
      </c>
    </row>
    <row r="613" spans="1:21" x14ac:dyDescent="0.25">
      <c r="A613" t="s">
        <v>372</v>
      </c>
      <c r="B613" s="4" t="s">
        <v>94</v>
      </c>
      <c r="C613" s="1">
        <v>4</v>
      </c>
      <c r="D613">
        <v>120</v>
      </c>
      <c r="E613">
        <v>3</v>
      </c>
      <c r="F613" t="s">
        <v>20</v>
      </c>
      <c r="G613">
        <v>101</v>
      </c>
      <c r="H613">
        <f t="shared" ref="H613:I613" si="2433">H611</f>
        <v>102.66666666666667</v>
      </c>
      <c r="I613">
        <f t="shared" si="2433"/>
        <v>2.3570226039551581</v>
      </c>
      <c r="J613">
        <v>0</v>
      </c>
      <c r="K613">
        <f t="shared" ref="K613:L613" si="2434">K611</f>
        <v>0.66666666666666663</v>
      </c>
      <c r="L613">
        <f t="shared" si="2434"/>
        <v>0.47140452079103168</v>
      </c>
      <c r="M613">
        <v>95</v>
      </c>
      <c r="N613">
        <f t="shared" ref="N613:O613" si="2435">N611</f>
        <v>93</v>
      </c>
      <c r="O613">
        <f t="shared" si="2435"/>
        <v>2.8284271247461903</v>
      </c>
      <c r="P613">
        <v>160</v>
      </c>
      <c r="Q613">
        <v>0.69</v>
      </c>
      <c r="R613">
        <v>110.39999999999999</v>
      </c>
      <c r="S613">
        <v>0.76</v>
      </c>
      <c r="T613">
        <v>121.6</v>
      </c>
      <c r="U613">
        <v>14.01</v>
      </c>
    </row>
    <row r="614" spans="1:21" x14ac:dyDescent="0.25">
      <c r="A614" t="s">
        <v>373</v>
      </c>
      <c r="B614" s="4" t="s">
        <v>94</v>
      </c>
      <c r="C614" s="1">
        <v>5</v>
      </c>
      <c r="D614">
        <v>120</v>
      </c>
      <c r="E614">
        <v>1</v>
      </c>
      <c r="F614">
        <v>16</v>
      </c>
      <c r="G614">
        <v>116</v>
      </c>
      <c r="H614">
        <f t="shared" ref="H614" si="2436">AVERAGE(G614:G616)</f>
        <v>103.33333333333333</v>
      </c>
      <c r="I614">
        <f t="shared" ref="I614" si="2437">_xlfn.STDEV.P(G614:G616)</f>
        <v>13.274871834493252</v>
      </c>
      <c r="J614">
        <v>2</v>
      </c>
      <c r="K614">
        <f t="shared" ref="K614" si="2438">AVERAGE(J614:J616)</f>
        <v>1.6666666666666667</v>
      </c>
      <c r="L614">
        <f t="shared" ref="L614" si="2439">_xlfn.STDEV.P(J614:J616)</f>
        <v>0.47140452079103168</v>
      </c>
      <c r="M614">
        <v>100</v>
      </c>
      <c r="N614">
        <f t="shared" ref="N614" si="2440">AVERAGE(M614:M616)</f>
        <v>105.33333333333333</v>
      </c>
      <c r="O614">
        <f t="shared" ref="O614" si="2441">_xlfn.STDEV.P(M614:M616)</f>
        <v>4.1096093353126513</v>
      </c>
      <c r="P614">
        <v>177</v>
      </c>
      <c r="Q614">
        <v>0.45</v>
      </c>
      <c r="R614">
        <v>79.650000000000006</v>
      </c>
      <c r="S614">
        <v>0.62</v>
      </c>
      <c r="T614">
        <v>109.74</v>
      </c>
      <c r="U614">
        <v>17.43</v>
      </c>
    </row>
    <row r="615" spans="1:21" x14ac:dyDescent="0.25">
      <c r="A615" t="s">
        <v>373</v>
      </c>
      <c r="B615" s="4" t="s">
        <v>94</v>
      </c>
      <c r="C615" s="1">
        <v>5</v>
      </c>
      <c r="D615">
        <v>120</v>
      </c>
      <c r="E615">
        <v>2</v>
      </c>
      <c r="F615">
        <v>14</v>
      </c>
      <c r="G615">
        <v>109</v>
      </c>
      <c r="H615">
        <f t="shared" ref="H615:I615" si="2442">H614</f>
        <v>103.33333333333333</v>
      </c>
      <c r="I615">
        <f t="shared" si="2442"/>
        <v>13.274871834493252</v>
      </c>
      <c r="J615">
        <v>1</v>
      </c>
      <c r="K615">
        <f t="shared" ref="K615:L615" si="2443">K614</f>
        <v>1.6666666666666667</v>
      </c>
      <c r="L615">
        <f t="shared" si="2443"/>
        <v>0.47140452079103168</v>
      </c>
      <c r="M615">
        <v>110</v>
      </c>
      <c r="N615">
        <f t="shared" ref="N615:O615" si="2444">N614</f>
        <v>105.33333333333333</v>
      </c>
      <c r="O615">
        <f t="shared" si="2444"/>
        <v>4.1096093353126513</v>
      </c>
      <c r="P615">
        <v>183</v>
      </c>
      <c r="Q615">
        <v>0.61</v>
      </c>
      <c r="R615">
        <v>111.63</v>
      </c>
      <c r="S615">
        <v>0.7</v>
      </c>
      <c r="T615">
        <v>128.1</v>
      </c>
      <c r="U615">
        <v>17.04</v>
      </c>
    </row>
    <row r="616" spans="1:21" x14ac:dyDescent="0.25">
      <c r="A616" t="s">
        <v>373</v>
      </c>
      <c r="B616" s="4" t="s">
        <v>94</v>
      </c>
      <c r="C616" s="1">
        <v>5</v>
      </c>
      <c r="D616">
        <v>120</v>
      </c>
      <c r="E616">
        <v>3</v>
      </c>
      <c r="F616">
        <v>8</v>
      </c>
      <c r="G616">
        <v>85</v>
      </c>
      <c r="H616">
        <f t="shared" ref="H616:I616" si="2445">H614</f>
        <v>103.33333333333333</v>
      </c>
      <c r="I616">
        <f t="shared" si="2445"/>
        <v>13.274871834493252</v>
      </c>
      <c r="J616">
        <v>2</v>
      </c>
      <c r="K616">
        <f t="shared" ref="K616:L616" si="2446">K614</f>
        <v>1.6666666666666667</v>
      </c>
      <c r="L616">
        <f t="shared" si="2446"/>
        <v>0.47140452079103168</v>
      </c>
      <c r="M616">
        <v>106</v>
      </c>
      <c r="N616">
        <f t="shared" ref="N616:O616" si="2447">N614</f>
        <v>105.33333333333333</v>
      </c>
      <c r="O616">
        <f t="shared" si="2447"/>
        <v>4.1096093353126513</v>
      </c>
      <c r="P616">
        <v>177</v>
      </c>
      <c r="Q616">
        <v>0.52</v>
      </c>
      <c r="R616">
        <v>92.04</v>
      </c>
      <c r="S616">
        <v>0.51</v>
      </c>
      <c r="T616">
        <v>90.27</v>
      </c>
      <c r="U616" t="s">
        <v>20</v>
      </c>
    </row>
    <row r="617" spans="1:21" x14ac:dyDescent="0.25">
      <c r="A617" t="s">
        <v>374</v>
      </c>
      <c r="B617" s="4" t="s">
        <v>94</v>
      </c>
      <c r="C617" s="1">
        <v>5</v>
      </c>
      <c r="D617">
        <v>120</v>
      </c>
      <c r="E617">
        <v>1</v>
      </c>
      <c r="F617">
        <v>0</v>
      </c>
      <c r="G617">
        <v>104</v>
      </c>
      <c r="H617">
        <f t="shared" ref="H617" si="2448">AVERAGE(G617:G619)</f>
        <v>103.66666666666667</v>
      </c>
      <c r="I617">
        <f t="shared" ref="I617" si="2449">_xlfn.STDEV.P(G617:G619)</f>
        <v>2.0548046676563256</v>
      </c>
      <c r="J617">
        <v>1</v>
      </c>
      <c r="K617">
        <f t="shared" ref="K617" si="2450">AVERAGE(J617:J619)</f>
        <v>1</v>
      </c>
      <c r="L617">
        <f t="shared" ref="L617" si="2451">_xlfn.STDEV.P(J617:J619)</f>
        <v>0</v>
      </c>
      <c r="M617">
        <v>90</v>
      </c>
      <c r="N617">
        <f t="shared" ref="N617" si="2452">AVERAGE(M617:M619)</f>
        <v>83.333333333333329</v>
      </c>
      <c r="O617">
        <f t="shared" ref="O617" si="2453">_xlfn.STDEV.P(M617:M619)</f>
        <v>6.2360956446232363</v>
      </c>
      <c r="P617">
        <v>159</v>
      </c>
      <c r="Q617">
        <v>0.7</v>
      </c>
      <c r="R617">
        <v>111.3</v>
      </c>
      <c r="S617">
        <v>0.6</v>
      </c>
      <c r="T617">
        <v>95.399999999999991</v>
      </c>
      <c r="U617">
        <v>16.77</v>
      </c>
    </row>
    <row r="618" spans="1:21" x14ac:dyDescent="0.25">
      <c r="A618" t="s">
        <v>374</v>
      </c>
      <c r="B618" s="4" t="s">
        <v>94</v>
      </c>
      <c r="C618" s="1">
        <v>5</v>
      </c>
      <c r="D618">
        <v>120</v>
      </c>
      <c r="E618">
        <v>2</v>
      </c>
      <c r="F618">
        <v>4</v>
      </c>
      <c r="G618">
        <v>101</v>
      </c>
      <c r="H618">
        <f t="shared" ref="H618:I618" si="2454">H617</f>
        <v>103.66666666666667</v>
      </c>
      <c r="I618">
        <f t="shared" si="2454"/>
        <v>2.0548046676563256</v>
      </c>
      <c r="J618">
        <v>1</v>
      </c>
      <c r="K618">
        <f t="shared" ref="K618:L618" si="2455">K617</f>
        <v>1</v>
      </c>
      <c r="L618">
        <f t="shared" si="2455"/>
        <v>0</v>
      </c>
      <c r="M618">
        <v>85</v>
      </c>
      <c r="N618">
        <f t="shared" ref="N618:O618" si="2456">N617</f>
        <v>83.333333333333329</v>
      </c>
      <c r="O618">
        <f t="shared" si="2456"/>
        <v>6.2360956446232363</v>
      </c>
      <c r="P618">
        <v>187</v>
      </c>
      <c r="Q618">
        <v>0.54</v>
      </c>
      <c r="R618">
        <v>100.98</v>
      </c>
      <c r="S618">
        <v>0.48</v>
      </c>
      <c r="T618">
        <v>89.759999999999991</v>
      </c>
      <c r="U618">
        <v>16.52</v>
      </c>
    </row>
    <row r="619" spans="1:21" x14ac:dyDescent="0.25">
      <c r="A619" t="s">
        <v>374</v>
      </c>
      <c r="B619" s="4" t="s">
        <v>94</v>
      </c>
      <c r="C619" s="1">
        <v>5</v>
      </c>
      <c r="D619">
        <v>120</v>
      </c>
      <c r="E619">
        <v>3</v>
      </c>
      <c r="F619" t="s">
        <v>20</v>
      </c>
      <c r="G619">
        <v>106</v>
      </c>
      <c r="H619">
        <f t="shared" ref="H619:I619" si="2457">H617</f>
        <v>103.66666666666667</v>
      </c>
      <c r="I619">
        <f t="shared" si="2457"/>
        <v>2.0548046676563256</v>
      </c>
      <c r="J619">
        <v>1</v>
      </c>
      <c r="K619">
        <f t="shared" ref="K619:L619" si="2458">K617</f>
        <v>1</v>
      </c>
      <c r="L619">
        <f t="shared" si="2458"/>
        <v>0</v>
      </c>
      <c r="M619">
        <v>75</v>
      </c>
      <c r="N619">
        <f t="shared" ref="N619:O619" si="2459">N617</f>
        <v>83.333333333333329</v>
      </c>
      <c r="O619">
        <f t="shared" si="2459"/>
        <v>6.2360956446232363</v>
      </c>
      <c r="P619">
        <v>167</v>
      </c>
      <c r="Q619">
        <v>0.74</v>
      </c>
      <c r="R619">
        <v>123.58</v>
      </c>
      <c r="S619">
        <v>0.6</v>
      </c>
      <c r="T619">
        <v>100.2</v>
      </c>
      <c r="U619">
        <v>20.43</v>
      </c>
    </row>
    <row r="620" spans="1:21" x14ac:dyDescent="0.25">
      <c r="A620" t="s">
        <v>375</v>
      </c>
      <c r="B620" s="4" t="s">
        <v>94</v>
      </c>
      <c r="C620" s="1">
        <v>5</v>
      </c>
      <c r="D620">
        <v>120</v>
      </c>
      <c r="E620">
        <v>1</v>
      </c>
      <c r="F620">
        <v>46</v>
      </c>
      <c r="G620">
        <v>117</v>
      </c>
      <c r="H620">
        <f t="shared" ref="H620" si="2460">AVERAGE(G620:G622)</f>
        <v>116.33333333333333</v>
      </c>
      <c r="I620">
        <f t="shared" ref="I620" si="2461">_xlfn.STDEV.P(G620:G622)</f>
        <v>4.1096093353126513</v>
      </c>
      <c r="J620">
        <v>2</v>
      </c>
      <c r="K620">
        <f t="shared" ref="K620" si="2462">AVERAGE(J620:J622)</f>
        <v>2</v>
      </c>
      <c r="L620">
        <f t="shared" ref="L620" si="2463">_xlfn.STDEV.P(J620:J622)</f>
        <v>0</v>
      </c>
      <c r="M620">
        <v>100</v>
      </c>
      <c r="N620">
        <f t="shared" ref="N620" si="2464">AVERAGE(M620:M622)</f>
        <v>106.33333333333333</v>
      </c>
      <c r="O620">
        <f t="shared" ref="O620" si="2465">_xlfn.STDEV.P(M620:M622)</f>
        <v>11.14550233153366</v>
      </c>
      <c r="P620">
        <v>179</v>
      </c>
      <c r="Q620">
        <v>0.4</v>
      </c>
      <c r="R620">
        <v>71.600000000000009</v>
      </c>
      <c r="S620">
        <v>0.5</v>
      </c>
      <c r="T620">
        <v>89.5</v>
      </c>
      <c r="U620">
        <v>19.420000000000002</v>
      </c>
    </row>
    <row r="621" spans="1:21" x14ac:dyDescent="0.25">
      <c r="A621" t="s">
        <v>375</v>
      </c>
      <c r="B621" s="4" t="s">
        <v>94</v>
      </c>
      <c r="C621" s="1">
        <v>5</v>
      </c>
      <c r="D621">
        <v>120</v>
      </c>
      <c r="E621">
        <v>2</v>
      </c>
      <c r="F621">
        <v>32</v>
      </c>
      <c r="G621">
        <v>111</v>
      </c>
      <c r="H621">
        <f t="shared" ref="H621:I621" si="2466">H620</f>
        <v>116.33333333333333</v>
      </c>
      <c r="I621">
        <f t="shared" si="2466"/>
        <v>4.1096093353126513</v>
      </c>
      <c r="J621">
        <v>2</v>
      </c>
      <c r="K621">
        <f t="shared" ref="K621:L621" si="2467">K620</f>
        <v>2</v>
      </c>
      <c r="L621">
        <f t="shared" si="2467"/>
        <v>0</v>
      </c>
      <c r="M621">
        <v>122</v>
      </c>
      <c r="N621">
        <f t="shared" ref="N621:O621" si="2468">N620</f>
        <v>106.33333333333333</v>
      </c>
      <c r="O621">
        <f t="shared" si="2468"/>
        <v>11.14550233153366</v>
      </c>
      <c r="P621">
        <v>166</v>
      </c>
      <c r="Q621">
        <v>0.66</v>
      </c>
      <c r="R621">
        <v>109.56</v>
      </c>
      <c r="S621">
        <v>0.73</v>
      </c>
      <c r="T621">
        <v>121.17999999999999</v>
      </c>
      <c r="U621">
        <v>22.14</v>
      </c>
    </row>
    <row r="622" spans="1:21" x14ac:dyDescent="0.25">
      <c r="A622" t="s">
        <v>375</v>
      </c>
      <c r="B622" s="4" t="s">
        <v>94</v>
      </c>
      <c r="C622" s="1">
        <v>5</v>
      </c>
      <c r="D622">
        <v>120</v>
      </c>
      <c r="E622">
        <v>3</v>
      </c>
      <c r="F622" t="s">
        <v>20</v>
      </c>
      <c r="G622">
        <v>121</v>
      </c>
      <c r="H622">
        <f t="shared" ref="H622:I622" si="2469">H620</f>
        <v>116.33333333333333</v>
      </c>
      <c r="I622">
        <f t="shared" si="2469"/>
        <v>4.1096093353126513</v>
      </c>
      <c r="J622">
        <v>2</v>
      </c>
      <c r="K622">
        <f t="shared" ref="K622:L622" si="2470">K620</f>
        <v>2</v>
      </c>
      <c r="L622">
        <f t="shared" si="2470"/>
        <v>0</v>
      </c>
      <c r="M622">
        <v>97</v>
      </c>
      <c r="N622">
        <f t="shared" ref="N622:O622" si="2471">N620</f>
        <v>106.33333333333333</v>
      </c>
      <c r="O622">
        <f t="shared" si="2471"/>
        <v>11.14550233153366</v>
      </c>
      <c r="P622">
        <v>186</v>
      </c>
      <c r="Q622">
        <v>0.43</v>
      </c>
      <c r="R622">
        <v>79.98</v>
      </c>
      <c r="S622">
        <v>0.3</v>
      </c>
      <c r="T622">
        <v>55.8</v>
      </c>
      <c r="U622">
        <v>23.39</v>
      </c>
    </row>
    <row r="623" spans="1:21" x14ac:dyDescent="0.25">
      <c r="A623" t="s">
        <v>376</v>
      </c>
      <c r="B623" s="4" t="s">
        <v>94</v>
      </c>
      <c r="C623" s="1">
        <v>5</v>
      </c>
      <c r="D623">
        <v>120</v>
      </c>
      <c r="E623">
        <v>1</v>
      </c>
      <c r="F623" t="s">
        <v>20</v>
      </c>
      <c r="G623">
        <v>104</v>
      </c>
      <c r="H623">
        <f t="shared" ref="H623" si="2472">AVERAGE(G623:G625)</f>
        <v>108.33333333333333</v>
      </c>
      <c r="I623">
        <f t="shared" ref="I623" si="2473">_xlfn.STDEV.P(G623:G625)</f>
        <v>4.7842333648024411</v>
      </c>
      <c r="J623">
        <v>5</v>
      </c>
      <c r="K623">
        <f t="shared" ref="K623" si="2474">AVERAGE(J623:J625)</f>
        <v>4.666666666666667</v>
      </c>
      <c r="L623">
        <f t="shared" ref="L623" si="2475">_xlfn.STDEV.P(J623:J625)</f>
        <v>0.47140452079103168</v>
      </c>
      <c r="M623">
        <v>96</v>
      </c>
      <c r="N623">
        <f t="shared" ref="N623" si="2476">AVERAGE(M623:M625)</f>
        <v>100</v>
      </c>
      <c r="O623">
        <f t="shared" ref="O623" si="2477">_xlfn.STDEV.P(M623:M625)</f>
        <v>2.8284271247461903</v>
      </c>
      <c r="P623">
        <v>162</v>
      </c>
      <c r="Q623">
        <v>0.67</v>
      </c>
      <c r="R623">
        <v>108.54</v>
      </c>
      <c r="S623">
        <v>0.73</v>
      </c>
      <c r="T623">
        <v>118.25999999999999</v>
      </c>
      <c r="U623">
        <v>15.65</v>
      </c>
    </row>
    <row r="624" spans="1:21" x14ac:dyDescent="0.25">
      <c r="A624" t="s">
        <v>376</v>
      </c>
      <c r="B624" s="4" t="s">
        <v>94</v>
      </c>
      <c r="C624" s="1">
        <v>5</v>
      </c>
      <c r="D624">
        <v>120</v>
      </c>
      <c r="E624">
        <v>2</v>
      </c>
      <c r="F624">
        <v>36</v>
      </c>
      <c r="G624">
        <v>106</v>
      </c>
      <c r="H624">
        <f t="shared" ref="H624:I624" si="2478">H623</f>
        <v>108.33333333333333</v>
      </c>
      <c r="I624">
        <f t="shared" si="2478"/>
        <v>4.7842333648024411</v>
      </c>
      <c r="J624">
        <v>4</v>
      </c>
      <c r="K624">
        <f t="shared" ref="K624:L624" si="2479">K623</f>
        <v>4.666666666666667</v>
      </c>
      <c r="L624">
        <f t="shared" si="2479"/>
        <v>0.47140452079103168</v>
      </c>
      <c r="M624">
        <v>102</v>
      </c>
      <c r="N624">
        <f t="shared" ref="N624:O624" si="2480">N623</f>
        <v>100</v>
      </c>
      <c r="O624">
        <f t="shared" si="2480"/>
        <v>2.8284271247461903</v>
      </c>
      <c r="P624">
        <v>159</v>
      </c>
      <c r="Q624">
        <v>0.64</v>
      </c>
      <c r="R624">
        <v>101.76</v>
      </c>
      <c r="S624">
        <v>0.71</v>
      </c>
      <c r="T624">
        <v>112.89</v>
      </c>
      <c r="U624">
        <v>14.09</v>
      </c>
    </row>
    <row r="625" spans="1:21" x14ac:dyDescent="0.25">
      <c r="A625" t="s">
        <v>376</v>
      </c>
      <c r="B625" s="4" t="s">
        <v>94</v>
      </c>
      <c r="C625" s="1">
        <v>5</v>
      </c>
      <c r="D625">
        <v>120</v>
      </c>
      <c r="E625">
        <v>3</v>
      </c>
      <c r="F625">
        <v>30</v>
      </c>
      <c r="G625">
        <v>115</v>
      </c>
      <c r="H625">
        <f t="shared" ref="H625:I625" si="2481">H623</f>
        <v>108.33333333333333</v>
      </c>
      <c r="I625">
        <f t="shared" si="2481"/>
        <v>4.7842333648024411</v>
      </c>
      <c r="J625">
        <v>5</v>
      </c>
      <c r="K625">
        <f t="shared" ref="K625:L625" si="2482">K623</f>
        <v>4.666666666666667</v>
      </c>
      <c r="L625">
        <f t="shared" si="2482"/>
        <v>0.47140452079103168</v>
      </c>
      <c r="M625">
        <v>102</v>
      </c>
      <c r="N625">
        <f t="shared" ref="N625:O625" si="2483">N623</f>
        <v>100</v>
      </c>
      <c r="O625">
        <f t="shared" si="2483"/>
        <v>2.8284271247461903</v>
      </c>
      <c r="P625">
        <v>162</v>
      </c>
      <c r="Q625">
        <v>0.7</v>
      </c>
      <c r="R625">
        <v>113.39999999999999</v>
      </c>
      <c r="S625">
        <v>0.71</v>
      </c>
      <c r="T625">
        <v>115.02</v>
      </c>
      <c r="U625">
        <v>15.93</v>
      </c>
    </row>
    <row r="626" spans="1:21" x14ac:dyDescent="0.25">
      <c r="A626" t="s">
        <v>377</v>
      </c>
      <c r="B626" s="4" t="s">
        <v>94</v>
      </c>
      <c r="C626" s="1">
        <v>5</v>
      </c>
      <c r="D626">
        <v>120</v>
      </c>
      <c r="E626">
        <v>1</v>
      </c>
      <c r="F626">
        <v>76</v>
      </c>
      <c r="G626">
        <v>106</v>
      </c>
      <c r="H626">
        <f t="shared" ref="H626" si="2484">AVERAGE(G626:G628)</f>
        <v>108</v>
      </c>
      <c r="I626">
        <f t="shared" ref="I626" si="2485">_xlfn.STDEV.P(G626:G628)</f>
        <v>1.4142135623730951</v>
      </c>
      <c r="J626">
        <v>3</v>
      </c>
      <c r="K626">
        <f t="shared" ref="K626" si="2486">AVERAGE(J626:J628)</f>
        <v>2.3333333333333335</v>
      </c>
      <c r="L626">
        <f t="shared" ref="L626" si="2487">_xlfn.STDEV.P(J626:J628)</f>
        <v>0.47140452079103168</v>
      </c>
      <c r="M626">
        <v>115</v>
      </c>
      <c r="N626">
        <f t="shared" ref="N626" si="2488">AVERAGE(M626:M628)</f>
        <v>108.33333333333333</v>
      </c>
      <c r="O626">
        <f t="shared" ref="O626" si="2489">_xlfn.STDEV.P(M626:M628)</f>
        <v>4.7140452079103161</v>
      </c>
      <c r="P626">
        <v>159</v>
      </c>
      <c r="Q626">
        <v>0.7</v>
      </c>
      <c r="R626">
        <v>111.3</v>
      </c>
      <c r="S626">
        <v>0.56000000000000005</v>
      </c>
      <c r="T626">
        <v>89.04</v>
      </c>
      <c r="U626">
        <v>15.53</v>
      </c>
    </row>
    <row r="627" spans="1:21" x14ac:dyDescent="0.25">
      <c r="A627" t="s">
        <v>377</v>
      </c>
      <c r="B627" s="4" t="s">
        <v>94</v>
      </c>
      <c r="C627" s="1">
        <v>5</v>
      </c>
      <c r="D627">
        <v>120</v>
      </c>
      <c r="E627">
        <v>2</v>
      </c>
      <c r="F627">
        <v>78</v>
      </c>
      <c r="G627">
        <v>109</v>
      </c>
      <c r="H627">
        <f t="shared" ref="H627:I627" si="2490">H626</f>
        <v>108</v>
      </c>
      <c r="I627">
        <f t="shared" si="2490"/>
        <v>1.4142135623730951</v>
      </c>
      <c r="J627">
        <v>2</v>
      </c>
      <c r="K627">
        <f t="shared" ref="K627:L627" si="2491">K626</f>
        <v>2.3333333333333335</v>
      </c>
      <c r="L627">
        <f t="shared" si="2491"/>
        <v>0.47140452079103168</v>
      </c>
      <c r="M627">
        <v>105</v>
      </c>
      <c r="N627">
        <f t="shared" ref="N627:O627" si="2492">N626</f>
        <v>108.33333333333333</v>
      </c>
      <c r="O627">
        <f t="shared" si="2492"/>
        <v>4.7140452079103161</v>
      </c>
      <c r="P627">
        <v>168</v>
      </c>
      <c r="Q627">
        <v>0.45</v>
      </c>
      <c r="R627">
        <v>75.600000000000009</v>
      </c>
      <c r="S627">
        <v>0.71</v>
      </c>
      <c r="T627">
        <v>119.28</v>
      </c>
      <c r="U627">
        <v>16.62</v>
      </c>
    </row>
    <row r="628" spans="1:21" x14ac:dyDescent="0.25">
      <c r="A628" t="s">
        <v>377</v>
      </c>
      <c r="B628" s="4" t="s">
        <v>94</v>
      </c>
      <c r="C628" s="1">
        <v>5</v>
      </c>
      <c r="D628">
        <v>120</v>
      </c>
      <c r="E628">
        <v>3</v>
      </c>
      <c r="F628">
        <v>74</v>
      </c>
      <c r="G628">
        <v>109</v>
      </c>
      <c r="H628">
        <f t="shared" ref="H628:I628" si="2493">H626</f>
        <v>108</v>
      </c>
      <c r="I628">
        <f t="shared" si="2493"/>
        <v>1.4142135623730951</v>
      </c>
      <c r="J628">
        <v>2</v>
      </c>
      <c r="K628">
        <f t="shared" ref="K628:L628" si="2494">K626</f>
        <v>2.3333333333333335</v>
      </c>
      <c r="L628">
        <f t="shared" si="2494"/>
        <v>0.47140452079103168</v>
      </c>
      <c r="M628">
        <v>105</v>
      </c>
      <c r="N628">
        <f t="shared" ref="N628:O628" si="2495">N626</f>
        <v>108.33333333333333</v>
      </c>
      <c r="O628">
        <f t="shared" si="2495"/>
        <v>4.7140452079103161</v>
      </c>
      <c r="P628">
        <v>167</v>
      </c>
      <c r="Q628">
        <v>0.67</v>
      </c>
      <c r="R628">
        <v>111.89</v>
      </c>
      <c r="S628">
        <v>0.55000000000000004</v>
      </c>
      <c r="T628">
        <v>91.850000000000009</v>
      </c>
      <c r="U628">
        <v>17.37</v>
      </c>
    </row>
    <row r="629" spans="1:21" x14ac:dyDescent="0.25">
      <c r="A629" t="s">
        <v>378</v>
      </c>
      <c r="B629" s="4" t="s">
        <v>94</v>
      </c>
      <c r="C629" s="1">
        <v>5</v>
      </c>
      <c r="D629">
        <v>120</v>
      </c>
      <c r="E629">
        <v>1</v>
      </c>
      <c r="F629">
        <v>44</v>
      </c>
      <c r="G629">
        <v>103</v>
      </c>
      <c r="H629">
        <f t="shared" ref="H629" si="2496">AVERAGE(G629:G631)</f>
        <v>103.33333333333333</v>
      </c>
      <c r="I629">
        <f t="shared" ref="I629" si="2497">_xlfn.STDEV.P(G629:G631)</f>
        <v>2.0548046676563256</v>
      </c>
      <c r="J629">
        <v>3</v>
      </c>
      <c r="K629">
        <f t="shared" ref="K629" si="2498">AVERAGE(J629:J631)</f>
        <v>2.3333333333333335</v>
      </c>
      <c r="L629">
        <f t="shared" ref="L629" si="2499">_xlfn.STDEV.P(J629:J631)</f>
        <v>0.94280904158206336</v>
      </c>
      <c r="M629">
        <v>110</v>
      </c>
      <c r="N629">
        <f t="shared" ref="N629" si="2500">AVERAGE(M629:M631)</f>
        <v>108.33333333333333</v>
      </c>
      <c r="O629">
        <f t="shared" ref="O629" si="2501">_xlfn.STDEV.P(M629:M631)</f>
        <v>4.6427960923947058</v>
      </c>
      <c r="P629">
        <v>155</v>
      </c>
      <c r="Q629">
        <v>0.66</v>
      </c>
      <c r="R629">
        <v>102.30000000000001</v>
      </c>
      <c r="S629">
        <v>0.51</v>
      </c>
      <c r="T629">
        <v>79.05</v>
      </c>
      <c r="U629">
        <v>15.33</v>
      </c>
    </row>
    <row r="630" spans="1:21" x14ac:dyDescent="0.25">
      <c r="A630" t="s">
        <v>378</v>
      </c>
      <c r="B630" s="4" t="s">
        <v>94</v>
      </c>
      <c r="C630" s="1">
        <v>5</v>
      </c>
      <c r="D630">
        <v>120</v>
      </c>
      <c r="E630">
        <v>2</v>
      </c>
      <c r="F630">
        <v>44</v>
      </c>
      <c r="G630">
        <v>101</v>
      </c>
      <c r="H630">
        <f t="shared" ref="H630:I630" si="2502">H629</f>
        <v>103.33333333333333</v>
      </c>
      <c r="I630">
        <f t="shared" si="2502"/>
        <v>2.0548046676563256</v>
      </c>
      <c r="J630">
        <v>3</v>
      </c>
      <c r="K630">
        <f t="shared" ref="K630:L630" si="2503">K629</f>
        <v>2.3333333333333335</v>
      </c>
      <c r="L630">
        <f t="shared" si="2503"/>
        <v>0.94280904158206336</v>
      </c>
      <c r="M630">
        <v>113</v>
      </c>
      <c r="N630">
        <f t="shared" ref="N630:O630" si="2504">N629</f>
        <v>108.33333333333333</v>
      </c>
      <c r="O630">
        <f t="shared" si="2504"/>
        <v>4.6427960923947058</v>
      </c>
      <c r="P630">
        <v>155</v>
      </c>
      <c r="Q630">
        <v>0.6</v>
      </c>
      <c r="R630">
        <v>93</v>
      </c>
      <c r="S630">
        <v>0.56999999999999995</v>
      </c>
      <c r="T630">
        <v>88.35</v>
      </c>
      <c r="U630">
        <v>17.350000000000001</v>
      </c>
    </row>
    <row r="631" spans="1:21" x14ac:dyDescent="0.25">
      <c r="A631" t="s">
        <v>378</v>
      </c>
      <c r="B631" s="4" t="s">
        <v>94</v>
      </c>
      <c r="C631" s="1">
        <v>5</v>
      </c>
      <c r="D631">
        <v>120</v>
      </c>
      <c r="E631">
        <v>3</v>
      </c>
      <c r="F631" t="s">
        <v>20</v>
      </c>
      <c r="G631">
        <v>106</v>
      </c>
      <c r="H631">
        <f t="shared" ref="H631:I631" si="2505">H629</f>
        <v>103.33333333333333</v>
      </c>
      <c r="I631">
        <f t="shared" si="2505"/>
        <v>2.0548046676563256</v>
      </c>
      <c r="J631">
        <v>1</v>
      </c>
      <c r="K631">
        <f t="shared" ref="K631:L631" si="2506">K629</f>
        <v>2.3333333333333335</v>
      </c>
      <c r="L631">
        <f t="shared" si="2506"/>
        <v>0.94280904158206336</v>
      </c>
      <c r="M631">
        <v>102</v>
      </c>
      <c r="N631">
        <f t="shared" ref="N631:O631" si="2507">N629</f>
        <v>108.33333333333333</v>
      </c>
      <c r="O631">
        <f t="shared" si="2507"/>
        <v>4.6427960923947058</v>
      </c>
      <c r="P631">
        <v>159</v>
      </c>
      <c r="Q631">
        <v>0.62</v>
      </c>
      <c r="R631">
        <v>98.58</v>
      </c>
      <c r="S631">
        <v>0.56000000000000005</v>
      </c>
      <c r="T631">
        <v>89.04</v>
      </c>
      <c r="U631">
        <v>17.53</v>
      </c>
    </row>
    <row r="632" spans="1:21" x14ac:dyDescent="0.25">
      <c r="A632" t="s">
        <v>379</v>
      </c>
      <c r="B632" s="4" t="s">
        <v>94</v>
      </c>
      <c r="C632" s="1">
        <v>5</v>
      </c>
      <c r="D632">
        <v>120</v>
      </c>
      <c r="E632">
        <v>1</v>
      </c>
      <c r="F632">
        <v>102</v>
      </c>
      <c r="G632">
        <v>109</v>
      </c>
      <c r="H632">
        <f t="shared" ref="H632" si="2508">AVERAGE(G632:G634)</f>
        <v>110.33333333333333</v>
      </c>
      <c r="I632">
        <f t="shared" ref="I632" si="2509">_xlfn.STDEV.P(G632:G634)</f>
        <v>1.247219128924647</v>
      </c>
      <c r="J632">
        <v>4</v>
      </c>
      <c r="K632">
        <f t="shared" ref="K632" si="2510">AVERAGE(J632:J634)</f>
        <v>2</v>
      </c>
      <c r="L632">
        <f t="shared" ref="L632" si="2511">_xlfn.STDEV.P(J632:J634)</f>
        <v>1.4142135623730951</v>
      </c>
      <c r="M632">
        <v>106</v>
      </c>
      <c r="N632">
        <f t="shared" ref="N632" si="2512">AVERAGE(M632:M634)</f>
        <v>105.33333333333333</v>
      </c>
      <c r="O632">
        <f t="shared" ref="O632" si="2513">_xlfn.STDEV.P(M632:M634)</f>
        <v>0.94280904158206336</v>
      </c>
      <c r="P632">
        <v>166</v>
      </c>
      <c r="Q632">
        <v>0.7</v>
      </c>
      <c r="R632">
        <v>116.19999999999999</v>
      </c>
      <c r="S632">
        <v>0.68</v>
      </c>
      <c r="T632">
        <v>112.88000000000001</v>
      </c>
      <c r="U632">
        <v>16.62</v>
      </c>
    </row>
    <row r="633" spans="1:21" x14ac:dyDescent="0.25">
      <c r="A633" t="s">
        <v>379</v>
      </c>
      <c r="B633" s="4" t="s">
        <v>94</v>
      </c>
      <c r="C633" s="1">
        <v>5</v>
      </c>
      <c r="D633">
        <v>120</v>
      </c>
      <c r="E633">
        <v>2</v>
      </c>
      <c r="F633" t="s">
        <v>20</v>
      </c>
      <c r="G633">
        <v>110</v>
      </c>
      <c r="H633">
        <f t="shared" ref="H633:I633" si="2514">H632</f>
        <v>110.33333333333333</v>
      </c>
      <c r="I633">
        <f t="shared" si="2514"/>
        <v>1.247219128924647</v>
      </c>
      <c r="J633">
        <v>1</v>
      </c>
      <c r="K633">
        <f t="shared" ref="K633:L633" si="2515">K632</f>
        <v>2</v>
      </c>
      <c r="L633">
        <f t="shared" si="2515"/>
        <v>1.4142135623730951</v>
      </c>
      <c r="M633">
        <v>106</v>
      </c>
      <c r="N633">
        <f t="shared" ref="N633:O633" si="2516">N632</f>
        <v>105.33333333333333</v>
      </c>
      <c r="O633">
        <f t="shared" si="2516"/>
        <v>0.94280904158206336</v>
      </c>
      <c r="P633">
        <v>162</v>
      </c>
      <c r="Q633">
        <v>0.68</v>
      </c>
      <c r="R633">
        <v>110.16000000000001</v>
      </c>
      <c r="S633">
        <v>0.7</v>
      </c>
      <c r="T633">
        <v>113.39999999999999</v>
      </c>
      <c r="U633">
        <v>16.41</v>
      </c>
    </row>
    <row r="634" spans="1:21" x14ac:dyDescent="0.25">
      <c r="A634" t="s">
        <v>379</v>
      </c>
      <c r="B634" s="4" t="s">
        <v>94</v>
      </c>
      <c r="C634" s="1">
        <v>5</v>
      </c>
      <c r="D634">
        <v>120</v>
      </c>
      <c r="E634">
        <v>3</v>
      </c>
      <c r="F634" t="s">
        <v>20</v>
      </c>
      <c r="G634">
        <v>112</v>
      </c>
      <c r="H634">
        <f t="shared" ref="H634:I634" si="2517">H632</f>
        <v>110.33333333333333</v>
      </c>
      <c r="I634">
        <f t="shared" si="2517"/>
        <v>1.247219128924647</v>
      </c>
      <c r="J634">
        <v>1</v>
      </c>
      <c r="K634">
        <f t="shared" ref="K634:L634" si="2518">K632</f>
        <v>2</v>
      </c>
      <c r="L634">
        <f t="shared" si="2518"/>
        <v>1.4142135623730951</v>
      </c>
      <c r="M634">
        <v>104</v>
      </c>
      <c r="N634">
        <f t="shared" ref="N634:O634" si="2519">N632</f>
        <v>105.33333333333333</v>
      </c>
      <c r="O634">
        <f t="shared" si="2519"/>
        <v>0.94280904158206336</v>
      </c>
      <c r="P634">
        <v>167</v>
      </c>
      <c r="Q634">
        <v>0.67</v>
      </c>
      <c r="R634">
        <v>111.89</v>
      </c>
      <c r="S634">
        <v>0.59</v>
      </c>
      <c r="T634">
        <v>98.53</v>
      </c>
      <c r="U634" t="s">
        <v>20</v>
      </c>
    </row>
    <row r="635" spans="1:21" x14ac:dyDescent="0.25">
      <c r="A635" t="s">
        <v>380</v>
      </c>
      <c r="B635" s="4" t="s">
        <v>94</v>
      </c>
      <c r="C635" s="1">
        <v>5</v>
      </c>
      <c r="D635">
        <v>120</v>
      </c>
      <c r="E635">
        <v>1</v>
      </c>
      <c r="F635" t="s">
        <v>20</v>
      </c>
      <c r="G635">
        <v>106</v>
      </c>
      <c r="H635">
        <f t="shared" ref="H635" si="2520">AVERAGE(G635:G637)</f>
        <v>102.33333333333333</v>
      </c>
      <c r="I635">
        <f t="shared" ref="I635" si="2521">_xlfn.STDEV.P(G635:G637)</f>
        <v>2.6246692913372702</v>
      </c>
      <c r="J635">
        <v>4</v>
      </c>
      <c r="K635">
        <f t="shared" ref="K635" si="2522">AVERAGE(J635:J637)</f>
        <v>3.3333333333333335</v>
      </c>
      <c r="L635">
        <f t="shared" ref="L635" si="2523">_xlfn.STDEV.P(J635:J637)</f>
        <v>0.94280904158206336</v>
      </c>
      <c r="M635">
        <v>113</v>
      </c>
      <c r="N635">
        <f t="shared" ref="N635" si="2524">AVERAGE(M635:M637)</f>
        <v>109.33333333333333</v>
      </c>
      <c r="O635">
        <f t="shared" ref="O635" si="2525">_xlfn.STDEV.P(M635:M637)</f>
        <v>3.2998316455372216</v>
      </c>
      <c r="P635">
        <v>167</v>
      </c>
      <c r="Q635">
        <v>0.64</v>
      </c>
      <c r="R635">
        <v>106.88</v>
      </c>
      <c r="S635">
        <v>0.59</v>
      </c>
      <c r="T635">
        <v>98.53</v>
      </c>
      <c r="U635">
        <v>22.62</v>
      </c>
    </row>
    <row r="636" spans="1:21" x14ac:dyDescent="0.25">
      <c r="A636" t="s">
        <v>380</v>
      </c>
      <c r="B636" s="4" t="s">
        <v>94</v>
      </c>
      <c r="C636" s="1">
        <v>5</v>
      </c>
      <c r="D636">
        <v>120</v>
      </c>
      <c r="E636">
        <v>2</v>
      </c>
      <c r="F636" t="s">
        <v>20</v>
      </c>
      <c r="G636">
        <v>101</v>
      </c>
      <c r="H636">
        <f t="shared" ref="H636:I636" si="2526">H635</f>
        <v>102.33333333333333</v>
      </c>
      <c r="I636">
        <f t="shared" si="2526"/>
        <v>2.6246692913372702</v>
      </c>
      <c r="J636">
        <v>2</v>
      </c>
      <c r="K636">
        <f t="shared" ref="K636:L636" si="2527">K635</f>
        <v>3.3333333333333335</v>
      </c>
      <c r="L636">
        <f t="shared" si="2527"/>
        <v>0.94280904158206336</v>
      </c>
      <c r="M636">
        <v>110</v>
      </c>
      <c r="N636">
        <f t="shared" ref="N636:O636" si="2528">N635</f>
        <v>109.33333333333333</v>
      </c>
      <c r="O636">
        <f t="shared" si="2528"/>
        <v>3.2998316455372216</v>
      </c>
      <c r="P636">
        <v>162</v>
      </c>
      <c r="Q636">
        <v>0.64</v>
      </c>
      <c r="R636">
        <v>103.68</v>
      </c>
      <c r="S636">
        <v>0.6</v>
      </c>
      <c r="T636">
        <v>97.2</v>
      </c>
      <c r="U636">
        <v>20.84</v>
      </c>
    </row>
    <row r="637" spans="1:21" x14ac:dyDescent="0.25">
      <c r="A637" t="s">
        <v>380</v>
      </c>
      <c r="B637" s="4" t="s">
        <v>94</v>
      </c>
      <c r="C637" s="1">
        <v>5</v>
      </c>
      <c r="D637">
        <v>120</v>
      </c>
      <c r="E637">
        <v>3</v>
      </c>
      <c r="F637" t="s">
        <v>20</v>
      </c>
      <c r="G637">
        <v>100</v>
      </c>
      <c r="H637">
        <f t="shared" ref="H637:I637" si="2529">H635</f>
        <v>102.33333333333333</v>
      </c>
      <c r="I637">
        <f t="shared" si="2529"/>
        <v>2.6246692913372702</v>
      </c>
      <c r="J637">
        <v>4</v>
      </c>
      <c r="K637">
        <f t="shared" ref="K637:L637" si="2530">K635</f>
        <v>3.3333333333333335</v>
      </c>
      <c r="L637">
        <f t="shared" si="2530"/>
        <v>0.94280904158206336</v>
      </c>
      <c r="M637">
        <v>105</v>
      </c>
      <c r="N637">
        <f t="shared" ref="N637:O637" si="2531">N635</f>
        <v>109.33333333333333</v>
      </c>
      <c r="O637">
        <f t="shared" si="2531"/>
        <v>3.2998316455372216</v>
      </c>
      <c r="P637">
        <v>186</v>
      </c>
      <c r="Q637">
        <v>0.35</v>
      </c>
      <c r="R637">
        <v>65.099999999999994</v>
      </c>
      <c r="S637">
        <v>0.3</v>
      </c>
      <c r="T637">
        <v>55.8</v>
      </c>
      <c r="U637">
        <v>20.11</v>
      </c>
    </row>
    <row r="638" spans="1:21" x14ac:dyDescent="0.25">
      <c r="A638" t="s">
        <v>381</v>
      </c>
      <c r="B638" s="4" t="s">
        <v>94</v>
      </c>
      <c r="C638" s="1">
        <v>5</v>
      </c>
      <c r="D638">
        <v>120</v>
      </c>
      <c r="E638">
        <v>1</v>
      </c>
      <c r="F638">
        <v>24</v>
      </c>
      <c r="G638">
        <v>101</v>
      </c>
      <c r="H638">
        <f t="shared" ref="H638" si="2532">AVERAGE(G638:G640)</f>
        <v>104.66666666666667</v>
      </c>
      <c r="I638">
        <f t="shared" ref="I638" si="2533">_xlfn.STDEV.P(G638:G640)</f>
        <v>3.2998316455372216</v>
      </c>
      <c r="J638">
        <v>3</v>
      </c>
      <c r="K638">
        <f t="shared" ref="K638" si="2534">AVERAGE(J638:J640)</f>
        <v>3.6666666666666665</v>
      </c>
      <c r="L638">
        <f t="shared" ref="L638" si="2535">_xlfn.STDEV.P(J638:J640)</f>
        <v>0.47140452079103168</v>
      </c>
      <c r="M638">
        <v>101</v>
      </c>
      <c r="N638">
        <f t="shared" ref="N638" si="2536">AVERAGE(M638:M640)</f>
        <v>105</v>
      </c>
      <c r="O638">
        <f t="shared" ref="O638" si="2537">_xlfn.STDEV.P(M638:M640)</f>
        <v>3.2659863237109041</v>
      </c>
      <c r="P638">
        <v>156</v>
      </c>
      <c r="Q638">
        <v>0.72</v>
      </c>
      <c r="R638">
        <v>112.32</v>
      </c>
      <c r="S638">
        <v>0.7</v>
      </c>
      <c r="T638">
        <v>109.19999999999999</v>
      </c>
      <c r="U638">
        <v>16.690000000000001</v>
      </c>
    </row>
    <row r="639" spans="1:21" x14ac:dyDescent="0.25">
      <c r="A639" t="s">
        <v>381</v>
      </c>
      <c r="B639" s="4" t="s">
        <v>94</v>
      </c>
      <c r="C639" s="1">
        <v>5</v>
      </c>
      <c r="D639">
        <v>120</v>
      </c>
      <c r="E639">
        <v>2</v>
      </c>
      <c r="F639">
        <v>32</v>
      </c>
      <c r="G639">
        <v>104</v>
      </c>
      <c r="H639">
        <f t="shared" ref="H639:I639" si="2538">H638</f>
        <v>104.66666666666667</v>
      </c>
      <c r="I639">
        <f t="shared" si="2538"/>
        <v>3.2998316455372216</v>
      </c>
      <c r="J639">
        <v>4</v>
      </c>
      <c r="K639">
        <f t="shared" ref="K639:L639" si="2539">K638</f>
        <v>3.6666666666666665</v>
      </c>
      <c r="L639">
        <f t="shared" si="2539"/>
        <v>0.47140452079103168</v>
      </c>
      <c r="M639">
        <v>105</v>
      </c>
      <c r="N639">
        <f t="shared" ref="N639:O639" si="2540">N638</f>
        <v>105</v>
      </c>
      <c r="O639">
        <f t="shared" si="2540"/>
        <v>3.2659863237109041</v>
      </c>
      <c r="P639">
        <v>152</v>
      </c>
      <c r="Q639">
        <v>0.65</v>
      </c>
      <c r="R639">
        <v>98.8</v>
      </c>
      <c r="S639">
        <v>0.69</v>
      </c>
      <c r="T639">
        <v>104.88</v>
      </c>
      <c r="U639">
        <v>15.76</v>
      </c>
    </row>
    <row r="640" spans="1:21" x14ac:dyDescent="0.25">
      <c r="A640" t="s">
        <v>381</v>
      </c>
      <c r="B640" s="4" t="s">
        <v>94</v>
      </c>
      <c r="C640" s="1">
        <v>5</v>
      </c>
      <c r="D640">
        <v>120</v>
      </c>
      <c r="E640">
        <v>3</v>
      </c>
      <c r="F640" t="s">
        <v>20</v>
      </c>
      <c r="G640">
        <v>109</v>
      </c>
      <c r="H640">
        <f t="shared" ref="H640:I640" si="2541">H638</f>
        <v>104.66666666666667</v>
      </c>
      <c r="I640">
        <f t="shared" si="2541"/>
        <v>3.2998316455372216</v>
      </c>
      <c r="J640">
        <v>4</v>
      </c>
      <c r="K640">
        <f t="shared" ref="K640:L640" si="2542">K638</f>
        <v>3.6666666666666665</v>
      </c>
      <c r="L640">
        <f t="shared" si="2542"/>
        <v>0.47140452079103168</v>
      </c>
      <c r="M640">
        <v>109</v>
      </c>
      <c r="N640">
        <f t="shared" ref="N640:O640" si="2543">N638</f>
        <v>105</v>
      </c>
      <c r="O640">
        <f t="shared" si="2543"/>
        <v>3.2659863237109041</v>
      </c>
      <c r="P640">
        <v>167</v>
      </c>
      <c r="Q640">
        <v>0.68</v>
      </c>
      <c r="R640">
        <v>113.56</v>
      </c>
      <c r="S640">
        <v>0.72</v>
      </c>
      <c r="T640">
        <v>120.24</v>
      </c>
      <c r="U640">
        <v>18.71</v>
      </c>
    </row>
    <row r="641" spans="1:21" x14ac:dyDescent="0.25">
      <c r="A641" t="s">
        <v>382</v>
      </c>
      <c r="B641" s="4" t="s">
        <v>94</v>
      </c>
      <c r="C641" s="1">
        <v>5</v>
      </c>
      <c r="D641">
        <v>120</v>
      </c>
      <c r="E641">
        <v>1</v>
      </c>
      <c r="F641">
        <v>34</v>
      </c>
      <c r="G641">
        <v>112</v>
      </c>
      <c r="H641">
        <f t="shared" ref="H641" si="2544">AVERAGE(G641:G643)</f>
        <v>113.33333333333333</v>
      </c>
      <c r="I641">
        <f t="shared" ref="I641" si="2545">_xlfn.STDEV.P(G641:G643)</f>
        <v>1.247219128924647</v>
      </c>
      <c r="J641">
        <v>5</v>
      </c>
      <c r="K641">
        <f t="shared" ref="K641" si="2546">AVERAGE(J641:J643)</f>
        <v>2.3333333333333335</v>
      </c>
      <c r="L641">
        <f t="shared" ref="L641" si="2547">_xlfn.STDEV.P(J641:J643)</f>
        <v>1.8856180831641267</v>
      </c>
      <c r="M641">
        <v>98</v>
      </c>
      <c r="N641">
        <f t="shared" ref="N641" si="2548">AVERAGE(M641:M643)</f>
        <v>110</v>
      </c>
      <c r="O641">
        <f t="shared" ref="O641" si="2549">_xlfn.STDEV.P(M641:M643)</f>
        <v>10.230672835481871</v>
      </c>
      <c r="P641">
        <v>166</v>
      </c>
      <c r="Q641">
        <v>0.56999999999999995</v>
      </c>
      <c r="R641">
        <v>94.61999999999999</v>
      </c>
      <c r="S641">
        <v>0.7</v>
      </c>
      <c r="T641">
        <v>116.19999999999999</v>
      </c>
      <c r="U641">
        <v>18.489999999999998</v>
      </c>
    </row>
    <row r="642" spans="1:21" x14ac:dyDescent="0.25">
      <c r="A642" t="s">
        <v>382</v>
      </c>
      <c r="B642" s="4" t="s">
        <v>94</v>
      </c>
      <c r="C642" s="1">
        <v>5</v>
      </c>
      <c r="D642">
        <v>120</v>
      </c>
      <c r="E642">
        <v>2</v>
      </c>
      <c r="F642">
        <v>44</v>
      </c>
      <c r="G642">
        <v>113</v>
      </c>
      <c r="H642">
        <f t="shared" ref="H642:I642" si="2550">H641</f>
        <v>113.33333333333333</v>
      </c>
      <c r="I642">
        <f t="shared" si="2550"/>
        <v>1.247219128924647</v>
      </c>
      <c r="J642">
        <v>1</v>
      </c>
      <c r="K642">
        <f t="shared" ref="K642:L642" si="2551">K641</f>
        <v>2.3333333333333335</v>
      </c>
      <c r="L642">
        <f t="shared" si="2551"/>
        <v>1.8856180831641267</v>
      </c>
      <c r="M642">
        <v>123</v>
      </c>
      <c r="N642">
        <f t="shared" ref="N642:O642" si="2552">N641</f>
        <v>110</v>
      </c>
      <c r="O642">
        <f t="shared" si="2552"/>
        <v>10.230672835481871</v>
      </c>
      <c r="P642">
        <v>162</v>
      </c>
      <c r="Q642">
        <v>0.64</v>
      </c>
      <c r="R642">
        <v>103.68</v>
      </c>
      <c r="S642">
        <v>0.52</v>
      </c>
      <c r="T642">
        <v>84.240000000000009</v>
      </c>
      <c r="U642">
        <v>18.559999999999999</v>
      </c>
    </row>
    <row r="643" spans="1:21" x14ac:dyDescent="0.25">
      <c r="A643" t="s">
        <v>382</v>
      </c>
      <c r="B643" s="4" t="s">
        <v>94</v>
      </c>
      <c r="C643" s="1">
        <v>5</v>
      </c>
      <c r="D643">
        <v>120</v>
      </c>
      <c r="E643">
        <v>3</v>
      </c>
      <c r="F643">
        <v>36</v>
      </c>
      <c r="G643">
        <v>115</v>
      </c>
      <c r="H643">
        <f t="shared" ref="H643:I643" si="2553">H641</f>
        <v>113.33333333333333</v>
      </c>
      <c r="I643">
        <f t="shared" si="2553"/>
        <v>1.247219128924647</v>
      </c>
      <c r="J643">
        <v>1</v>
      </c>
      <c r="K643">
        <f t="shared" ref="K643:L643" si="2554">K641</f>
        <v>2.3333333333333335</v>
      </c>
      <c r="L643">
        <f t="shared" si="2554"/>
        <v>1.8856180831641267</v>
      </c>
      <c r="M643">
        <v>109</v>
      </c>
      <c r="N643">
        <f t="shared" ref="N643:O643" si="2555">N641</f>
        <v>110</v>
      </c>
      <c r="O643">
        <f t="shared" si="2555"/>
        <v>10.230672835481871</v>
      </c>
      <c r="P643">
        <v>167</v>
      </c>
      <c r="Q643">
        <v>0.59</v>
      </c>
      <c r="R643">
        <v>98.53</v>
      </c>
      <c r="S643">
        <v>0.72</v>
      </c>
      <c r="T643">
        <v>120.24</v>
      </c>
      <c r="U643">
        <v>16.47</v>
      </c>
    </row>
    <row r="644" spans="1:21" x14ac:dyDescent="0.25">
      <c r="A644" t="s">
        <v>383</v>
      </c>
      <c r="B644" s="4" t="s">
        <v>94</v>
      </c>
      <c r="C644" s="1">
        <v>5</v>
      </c>
      <c r="D644">
        <v>120</v>
      </c>
      <c r="E644">
        <v>1</v>
      </c>
      <c r="F644" t="s">
        <v>20</v>
      </c>
      <c r="G644">
        <v>99</v>
      </c>
      <c r="H644">
        <f t="shared" ref="H644" si="2556">AVERAGE(G644:G646)</f>
        <v>99.666666666666671</v>
      </c>
      <c r="I644">
        <f t="shared" ref="I644" si="2557">_xlfn.STDEV.P(G644:G646)</f>
        <v>0.94280904158206336</v>
      </c>
      <c r="J644">
        <v>1</v>
      </c>
      <c r="K644">
        <f t="shared" ref="K644" si="2558">AVERAGE(J644:J646)</f>
        <v>1.6666666666666667</v>
      </c>
      <c r="L644">
        <f t="shared" ref="L644" si="2559">_xlfn.STDEV.P(J644:J646)</f>
        <v>0.94280904158206336</v>
      </c>
      <c r="M644">
        <v>119</v>
      </c>
      <c r="N644">
        <f t="shared" ref="N644" si="2560">AVERAGE(M644:M646)</f>
        <v>114.66666666666667</v>
      </c>
      <c r="O644">
        <f t="shared" ref="O644" si="2561">_xlfn.STDEV.P(M644:M646)</f>
        <v>6.8475461947247123</v>
      </c>
      <c r="P644">
        <v>155</v>
      </c>
      <c r="Q644">
        <v>0.61</v>
      </c>
      <c r="R644">
        <v>94.55</v>
      </c>
      <c r="S644">
        <v>0.65</v>
      </c>
      <c r="T644">
        <v>100.75</v>
      </c>
      <c r="U644">
        <v>15.49</v>
      </c>
    </row>
    <row r="645" spans="1:21" x14ac:dyDescent="0.25">
      <c r="A645" t="s">
        <v>383</v>
      </c>
      <c r="B645" s="4" t="s">
        <v>94</v>
      </c>
      <c r="C645" s="1">
        <v>5</v>
      </c>
      <c r="D645">
        <v>120</v>
      </c>
      <c r="E645">
        <v>2</v>
      </c>
      <c r="F645" t="s">
        <v>20</v>
      </c>
      <c r="G645">
        <v>99</v>
      </c>
      <c r="H645">
        <f t="shared" ref="H645:I645" si="2562">H644</f>
        <v>99.666666666666671</v>
      </c>
      <c r="I645">
        <f t="shared" si="2562"/>
        <v>0.94280904158206336</v>
      </c>
      <c r="J645">
        <v>3</v>
      </c>
      <c r="K645">
        <f t="shared" ref="K645:L645" si="2563">K644</f>
        <v>1.6666666666666667</v>
      </c>
      <c r="L645">
        <f t="shared" si="2563"/>
        <v>0.94280904158206336</v>
      </c>
      <c r="M645">
        <v>105</v>
      </c>
      <c r="N645">
        <f t="shared" ref="N645:O645" si="2564">N644</f>
        <v>114.66666666666667</v>
      </c>
      <c r="O645">
        <f t="shared" si="2564"/>
        <v>6.8475461947247123</v>
      </c>
      <c r="P645">
        <v>150</v>
      </c>
      <c r="Q645">
        <v>0.71</v>
      </c>
      <c r="R645">
        <v>106.5</v>
      </c>
      <c r="S645">
        <v>0.66</v>
      </c>
      <c r="T645">
        <v>99</v>
      </c>
      <c r="U645">
        <v>14.56</v>
      </c>
    </row>
    <row r="646" spans="1:21" x14ac:dyDescent="0.25">
      <c r="A646" t="s">
        <v>383</v>
      </c>
      <c r="B646" s="4" t="s">
        <v>94</v>
      </c>
      <c r="C646" s="1">
        <v>5</v>
      </c>
      <c r="D646">
        <v>120</v>
      </c>
      <c r="E646">
        <v>3</v>
      </c>
      <c r="F646" t="s">
        <v>20</v>
      </c>
      <c r="G646">
        <v>101</v>
      </c>
      <c r="H646">
        <f t="shared" ref="H646:I646" si="2565">H644</f>
        <v>99.666666666666671</v>
      </c>
      <c r="I646">
        <f t="shared" si="2565"/>
        <v>0.94280904158206336</v>
      </c>
      <c r="J646">
        <v>1</v>
      </c>
      <c r="K646">
        <f t="shared" ref="K646:L646" si="2566">K644</f>
        <v>1.6666666666666667</v>
      </c>
      <c r="L646">
        <f t="shared" si="2566"/>
        <v>0.94280904158206336</v>
      </c>
      <c r="M646">
        <v>120</v>
      </c>
      <c r="N646">
        <f t="shared" ref="N646:O646" si="2567">N644</f>
        <v>114.66666666666667</v>
      </c>
      <c r="O646">
        <f t="shared" si="2567"/>
        <v>6.8475461947247123</v>
      </c>
      <c r="P646">
        <v>160</v>
      </c>
      <c r="Q646">
        <v>0.6</v>
      </c>
      <c r="R646">
        <v>96</v>
      </c>
      <c r="S646">
        <v>0.67</v>
      </c>
      <c r="T646">
        <v>107.2</v>
      </c>
      <c r="U646">
        <v>13.79</v>
      </c>
    </row>
    <row r="647" spans="1:21" x14ac:dyDescent="0.25">
      <c r="A647" t="s">
        <v>384</v>
      </c>
      <c r="B647" s="4" t="s">
        <v>94</v>
      </c>
      <c r="C647" s="1">
        <v>5</v>
      </c>
      <c r="D647">
        <v>120</v>
      </c>
      <c r="E647">
        <v>1</v>
      </c>
      <c r="F647">
        <v>20</v>
      </c>
      <c r="G647">
        <v>104</v>
      </c>
      <c r="H647">
        <f t="shared" ref="H647" si="2568">AVERAGE(G647:G649)</f>
        <v>106</v>
      </c>
      <c r="I647">
        <f t="shared" ref="I647" si="2569">_xlfn.STDEV.P(G647:G649)</f>
        <v>2.8284271247461903</v>
      </c>
      <c r="J647">
        <v>6</v>
      </c>
      <c r="K647">
        <f t="shared" ref="K647" si="2570">AVERAGE(J647:J649)</f>
        <v>6</v>
      </c>
      <c r="L647">
        <f t="shared" ref="L647" si="2571">_xlfn.STDEV.P(J647:J649)</f>
        <v>0.81649658092772603</v>
      </c>
      <c r="M647">
        <v>89</v>
      </c>
      <c r="N647">
        <f t="shared" ref="N647" si="2572">AVERAGE(M647:M649)</f>
        <v>92</v>
      </c>
      <c r="O647">
        <f t="shared" ref="O647" si="2573">_xlfn.STDEV.P(M647:M649)</f>
        <v>2.1602468994692869</v>
      </c>
      <c r="P647">
        <v>166</v>
      </c>
      <c r="Q647">
        <v>0.71</v>
      </c>
      <c r="R647">
        <v>117.86</v>
      </c>
      <c r="S647">
        <v>0.68</v>
      </c>
      <c r="T647">
        <v>112.88000000000001</v>
      </c>
      <c r="U647">
        <v>14.1</v>
      </c>
    </row>
    <row r="648" spans="1:21" x14ac:dyDescent="0.25">
      <c r="A648" t="s">
        <v>384</v>
      </c>
      <c r="B648" s="4" t="s">
        <v>94</v>
      </c>
      <c r="C648" s="1">
        <v>5</v>
      </c>
      <c r="D648">
        <v>120</v>
      </c>
      <c r="E648">
        <v>2</v>
      </c>
      <c r="F648">
        <v>16</v>
      </c>
      <c r="G648">
        <v>110</v>
      </c>
      <c r="H648">
        <f t="shared" ref="H648:I648" si="2574">H647</f>
        <v>106</v>
      </c>
      <c r="I648">
        <f t="shared" si="2574"/>
        <v>2.8284271247461903</v>
      </c>
      <c r="J648">
        <v>5</v>
      </c>
      <c r="K648">
        <f t="shared" ref="K648:L648" si="2575">K647</f>
        <v>6</v>
      </c>
      <c r="L648">
        <f t="shared" si="2575"/>
        <v>0.81649658092772603</v>
      </c>
      <c r="M648">
        <v>94</v>
      </c>
      <c r="N648">
        <f t="shared" ref="N648:O648" si="2576">N647</f>
        <v>92</v>
      </c>
      <c r="O648">
        <f t="shared" si="2576"/>
        <v>2.1602468994692869</v>
      </c>
      <c r="P648">
        <v>159</v>
      </c>
      <c r="Q648">
        <v>0.74</v>
      </c>
      <c r="R648">
        <v>117.66</v>
      </c>
      <c r="S648">
        <v>0.78</v>
      </c>
      <c r="T648">
        <v>124.02000000000001</v>
      </c>
      <c r="U648">
        <v>17.23</v>
      </c>
    </row>
    <row r="649" spans="1:21" x14ac:dyDescent="0.25">
      <c r="A649" t="s">
        <v>384</v>
      </c>
      <c r="B649" s="4" t="s">
        <v>94</v>
      </c>
      <c r="C649" s="1">
        <v>5</v>
      </c>
      <c r="D649">
        <v>120</v>
      </c>
      <c r="E649">
        <v>3</v>
      </c>
      <c r="F649" t="s">
        <v>20</v>
      </c>
      <c r="G649">
        <v>104</v>
      </c>
      <c r="H649">
        <f t="shared" ref="H649:I649" si="2577">H647</f>
        <v>106</v>
      </c>
      <c r="I649">
        <f t="shared" si="2577"/>
        <v>2.8284271247461903</v>
      </c>
      <c r="J649">
        <v>7</v>
      </c>
      <c r="K649">
        <f t="shared" ref="K649:L649" si="2578">K647</f>
        <v>6</v>
      </c>
      <c r="L649">
        <f t="shared" si="2578"/>
        <v>0.81649658092772603</v>
      </c>
      <c r="M649">
        <v>93</v>
      </c>
      <c r="N649">
        <f t="shared" ref="N649:O649" si="2579">N647</f>
        <v>92</v>
      </c>
      <c r="O649">
        <f t="shared" si="2579"/>
        <v>2.1602468994692869</v>
      </c>
      <c r="P649">
        <v>160</v>
      </c>
      <c r="Q649">
        <v>0.63</v>
      </c>
      <c r="R649">
        <v>100.8</v>
      </c>
      <c r="S649">
        <v>0.68</v>
      </c>
      <c r="T649">
        <v>108.80000000000001</v>
      </c>
      <c r="U649">
        <v>14.93</v>
      </c>
    </row>
    <row r="650" spans="1:21" x14ac:dyDescent="0.25">
      <c r="A650" t="s">
        <v>385</v>
      </c>
      <c r="B650" s="4" t="s">
        <v>94</v>
      </c>
      <c r="C650" s="1">
        <v>5</v>
      </c>
      <c r="D650">
        <v>120</v>
      </c>
      <c r="E650">
        <v>1</v>
      </c>
      <c r="F650">
        <v>30</v>
      </c>
      <c r="G650">
        <v>118</v>
      </c>
      <c r="H650">
        <f t="shared" ref="H650" si="2580">AVERAGE(G650:G652)</f>
        <v>117.33333333333333</v>
      </c>
      <c r="I650">
        <f t="shared" ref="I650" si="2581">_xlfn.STDEV.P(G650:G652)</f>
        <v>0.94280904158206336</v>
      </c>
      <c r="J650">
        <v>3</v>
      </c>
      <c r="K650">
        <f t="shared" ref="K650" si="2582">AVERAGE(J650:J652)</f>
        <v>2.3333333333333335</v>
      </c>
      <c r="L650">
        <f t="shared" ref="L650" si="2583">_xlfn.STDEV.P(J650:J652)</f>
        <v>0.47140452079103168</v>
      </c>
      <c r="M650">
        <v>90</v>
      </c>
      <c r="N650">
        <f t="shared" ref="N650" si="2584">AVERAGE(M650:M652)</f>
        <v>87.333333333333329</v>
      </c>
      <c r="O650">
        <f t="shared" ref="O650" si="2585">_xlfn.STDEV.P(M650:M652)</f>
        <v>3.0912061651652345</v>
      </c>
      <c r="P650">
        <v>181</v>
      </c>
      <c r="Q650">
        <v>0.54</v>
      </c>
      <c r="R650">
        <v>97.740000000000009</v>
      </c>
      <c r="S650">
        <v>0.65</v>
      </c>
      <c r="T650">
        <v>117.65</v>
      </c>
      <c r="U650">
        <v>15.31</v>
      </c>
    </row>
    <row r="651" spans="1:21" x14ac:dyDescent="0.25">
      <c r="A651" t="s">
        <v>385</v>
      </c>
      <c r="B651" s="4" t="s">
        <v>94</v>
      </c>
      <c r="C651" s="1">
        <v>5</v>
      </c>
      <c r="D651">
        <v>120</v>
      </c>
      <c r="E651">
        <v>2</v>
      </c>
      <c r="F651">
        <v>30</v>
      </c>
      <c r="G651">
        <v>116</v>
      </c>
      <c r="H651">
        <f t="shared" ref="H651:I651" si="2586">H650</f>
        <v>117.33333333333333</v>
      </c>
      <c r="I651">
        <f t="shared" si="2586"/>
        <v>0.94280904158206336</v>
      </c>
      <c r="J651">
        <v>2</v>
      </c>
      <c r="K651">
        <f t="shared" ref="K651:L651" si="2587">K650</f>
        <v>2.3333333333333335</v>
      </c>
      <c r="L651">
        <f t="shared" si="2587"/>
        <v>0.47140452079103168</v>
      </c>
      <c r="M651">
        <v>83</v>
      </c>
      <c r="N651">
        <f t="shared" ref="N651:O651" si="2588">N650</f>
        <v>87.333333333333329</v>
      </c>
      <c r="O651">
        <f t="shared" si="2588"/>
        <v>3.0912061651652345</v>
      </c>
      <c r="P651">
        <v>181</v>
      </c>
      <c r="Q651">
        <v>0.56000000000000005</v>
      </c>
      <c r="R651">
        <v>101.36000000000001</v>
      </c>
      <c r="S651">
        <v>0.38</v>
      </c>
      <c r="T651">
        <v>68.78</v>
      </c>
      <c r="U651">
        <v>15.84</v>
      </c>
    </row>
    <row r="652" spans="1:21" x14ac:dyDescent="0.25">
      <c r="A652" t="s">
        <v>385</v>
      </c>
      <c r="B652" s="4" t="s">
        <v>94</v>
      </c>
      <c r="C652" s="1">
        <v>5</v>
      </c>
      <c r="D652">
        <v>120</v>
      </c>
      <c r="E652">
        <v>3</v>
      </c>
      <c r="F652" t="s">
        <v>20</v>
      </c>
      <c r="G652">
        <v>118</v>
      </c>
      <c r="H652">
        <f t="shared" ref="H652:I652" si="2589">H650</f>
        <v>117.33333333333333</v>
      </c>
      <c r="I652">
        <f t="shared" si="2589"/>
        <v>0.94280904158206336</v>
      </c>
      <c r="J652">
        <v>2</v>
      </c>
      <c r="K652">
        <f t="shared" ref="K652:L652" si="2590">K650</f>
        <v>2.3333333333333335</v>
      </c>
      <c r="L652">
        <f t="shared" si="2590"/>
        <v>0.47140452079103168</v>
      </c>
      <c r="M652">
        <v>89</v>
      </c>
      <c r="N652">
        <f t="shared" ref="N652:O652" si="2591">N650</f>
        <v>87.333333333333329</v>
      </c>
      <c r="O652">
        <f t="shared" si="2591"/>
        <v>3.0912061651652345</v>
      </c>
      <c r="P652">
        <v>192</v>
      </c>
      <c r="Q652">
        <v>0.41</v>
      </c>
      <c r="R652">
        <v>78.72</v>
      </c>
      <c r="S652">
        <v>0.3</v>
      </c>
      <c r="T652">
        <v>57.599999999999994</v>
      </c>
      <c r="U652">
        <v>17.93</v>
      </c>
    </row>
    <row r="653" spans="1:21" x14ac:dyDescent="0.25">
      <c r="A653" t="s">
        <v>386</v>
      </c>
      <c r="B653" s="4" t="s">
        <v>94</v>
      </c>
      <c r="C653" s="1" t="s">
        <v>20</v>
      </c>
      <c r="D653">
        <v>120</v>
      </c>
      <c r="E653">
        <v>1</v>
      </c>
      <c r="F653">
        <v>34</v>
      </c>
      <c r="G653">
        <v>124</v>
      </c>
      <c r="H653">
        <f t="shared" ref="H653" si="2592">AVERAGE(G653:G655)</f>
        <v>126</v>
      </c>
      <c r="I653">
        <f t="shared" ref="I653" si="2593">_xlfn.STDEV.P(G653:G655)</f>
        <v>2.8284271247461903</v>
      </c>
      <c r="J653">
        <v>3</v>
      </c>
      <c r="K653">
        <f t="shared" ref="K653" si="2594">AVERAGE(J653:J655)</f>
        <v>1.6666666666666667</v>
      </c>
      <c r="L653">
        <f t="shared" ref="L653" si="2595">_xlfn.STDEV.P(J653:J655)</f>
        <v>0.94280904158206336</v>
      </c>
      <c r="M653">
        <v>96</v>
      </c>
      <c r="N653">
        <f t="shared" ref="N653" si="2596">AVERAGE(M653:M655)</f>
        <v>97</v>
      </c>
      <c r="O653">
        <f t="shared" ref="O653" si="2597">_xlfn.STDEV.P(M653:M655)</f>
        <v>2.1602468994692869</v>
      </c>
      <c r="P653">
        <v>186</v>
      </c>
      <c r="Q653">
        <v>0.55000000000000004</v>
      </c>
      <c r="R653" t="s">
        <v>20</v>
      </c>
      <c r="S653">
        <v>0.69</v>
      </c>
      <c r="T653" t="s">
        <v>20</v>
      </c>
      <c r="U653" t="s">
        <v>20</v>
      </c>
    </row>
    <row r="654" spans="1:21" x14ac:dyDescent="0.25">
      <c r="A654" t="s">
        <v>386</v>
      </c>
      <c r="B654" s="4" t="s">
        <v>94</v>
      </c>
      <c r="C654" s="1" t="s">
        <v>20</v>
      </c>
      <c r="D654">
        <v>120</v>
      </c>
      <c r="E654">
        <v>2</v>
      </c>
      <c r="F654" t="s">
        <v>20</v>
      </c>
      <c r="G654">
        <v>130</v>
      </c>
      <c r="H654">
        <f t="shared" ref="H654:I654" si="2598">H653</f>
        <v>126</v>
      </c>
      <c r="I654">
        <f t="shared" si="2598"/>
        <v>2.8284271247461903</v>
      </c>
      <c r="J654">
        <v>1</v>
      </c>
      <c r="K654">
        <f t="shared" ref="K654:L654" si="2599">K653</f>
        <v>1.6666666666666667</v>
      </c>
      <c r="L654">
        <f t="shared" si="2599"/>
        <v>0.94280904158206336</v>
      </c>
      <c r="M654">
        <v>100</v>
      </c>
      <c r="N654">
        <f t="shared" ref="N654:O654" si="2600">N653</f>
        <v>97</v>
      </c>
      <c r="O654">
        <f t="shared" si="2600"/>
        <v>2.1602468994692869</v>
      </c>
      <c r="P654">
        <v>192</v>
      </c>
      <c r="Q654">
        <v>0.67</v>
      </c>
      <c r="R654" t="s">
        <v>20</v>
      </c>
      <c r="S654">
        <v>0.75</v>
      </c>
      <c r="T654" t="s">
        <v>20</v>
      </c>
      <c r="U654" t="s">
        <v>20</v>
      </c>
    </row>
    <row r="655" spans="1:21" x14ac:dyDescent="0.25">
      <c r="A655" t="s">
        <v>386</v>
      </c>
      <c r="B655" s="4" t="s">
        <v>94</v>
      </c>
      <c r="C655" s="1" t="s">
        <v>20</v>
      </c>
      <c r="D655">
        <v>120</v>
      </c>
      <c r="E655">
        <v>3</v>
      </c>
      <c r="F655" t="s">
        <v>20</v>
      </c>
      <c r="G655">
        <v>124</v>
      </c>
      <c r="H655">
        <f t="shared" ref="H655:I655" si="2601">H653</f>
        <v>126</v>
      </c>
      <c r="I655">
        <f t="shared" si="2601"/>
        <v>2.8284271247461903</v>
      </c>
      <c r="J655">
        <v>1</v>
      </c>
      <c r="K655">
        <f t="shared" ref="K655:L655" si="2602">K653</f>
        <v>1.6666666666666667</v>
      </c>
      <c r="L655">
        <f t="shared" si="2602"/>
        <v>0.94280904158206336</v>
      </c>
      <c r="M655">
        <v>95</v>
      </c>
      <c r="N655">
        <f t="shared" ref="N655:O655" si="2603">N653</f>
        <v>97</v>
      </c>
      <c r="O655">
        <f t="shared" si="2603"/>
        <v>2.1602468994692869</v>
      </c>
      <c r="Q655">
        <v>0.47</v>
      </c>
      <c r="R655" t="s">
        <v>20</v>
      </c>
      <c r="S655">
        <v>0.57999999999999996</v>
      </c>
      <c r="T655" t="s">
        <v>20</v>
      </c>
      <c r="U655" t="s">
        <v>20</v>
      </c>
    </row>
    <row r="656" spans="1:21" x14ac:dyDescent="0.25">
      <c r="A656" t="s">
        <v>387</v>
      </c>
      <c r="B656" s="4" t="s">
        <v>94</v>
      </c>
      <c r="C656" s="1">
        <v>5</v>
      </c>
      <c r="D656">
        <v>120</v>
      </c>
      <c r="E656">
        <v>1</v>
      </c>
      <c r="F656">
        <v>4</v>
      </c>
      <c r="G656">
        <v>115</v>
      </c>
      <c r="H656">
        <f t="shared" ref="H656" si="2604">AVERAGE(G656:G658)</f>
        <v>107.33333333333333</v>
      </c>
      <c r="I656">
        <f t="shared" ref="I656" si="2605">_xlfn.STDEV.P(G656:G658)</f>
        <v>5.4365021434333629</v>
      </c>
      <c r="J656">
        <v>6</v>
      </c>
      <c r="K656">
        <f t="shared" ref="K656" si="2606">AVERAGE(J656:J658)</f>
        <v>5.666666666666667</v>
      </c>
      <c r="L656">
        <f t="shared" ref="L656" si="2607">_xlfn.STDEV.P(J656:J658)</f>
        <v>1.247219128924647</v>
      </c>
      <c r="M656">
        <v>104</v>
      </c>
      <c r="N656">
        <f t="shared" ref="N656" si="2608">AVERAGE(M656:M658)</f>
        <v>98</v>
      </c>
      <c r="O656">
        <f t="shared" ref="O656" si="2609">_xlfn.STDEV.P(M656:M658)</f>
        <v>5.8878405775518976</v>
      </c>
      <c r="P656">
        <v>168</v>
      </c>
      <c r="Q656">
        <v>0.61</v>
      </c>
      <c r="R656">
        <v>102.48</v>
      </c>
      <c r="S656">
        <v>0.63</v>
      </c>
      <c r="T656">
        <v>105.84</v>
      </c>
      <c r="U656">
        <v>17.13</v>
      </c>
    </row>
    <row r="657" spans="1:21" x14ac:dyDescent="0.25">
      <c r="A657" t="s">
        <v>387</v>
      </c>
      <c r="B657" s="4" t="s">
        <v>94</v>
      </c>
      <c r="C657" s="1">
        <v>5</v>
      </c>
      <c r="D657">
        <v>120</v>
      </c>
      <c r="E657">
        <v>2</v>
      </c>
      <c r="F657">
        <v>10</v>
      </c>
      <c r="G657">
        <v>103</v>
      </c>
      <c r="H657">
        <f t="shared" ref="H657:I657" si="2610">H656</f>
        <v>107.33333333333333</v>
      </c>
      <c r="I657">
        <f t="shared" si="2610"/>
        <v>5.4365021434333629</v>
      </c>
      <c r="J657">
        <v>4</v>
      </c>
      <c r="K657">
        <f t="shared" ref="K657:L657" si="2611">K656</f>
        <v>5.666666666666667</v>
      </c>
      <c r="L657">
        <f t="shared" si="2611"/>
        <v>1.247219128924647</v>
      </c>
      <c r="M657">
        <v>100</v>
      </c>
      <c r="N657">
        <f t="shared" ref="N657:O657" si="2612">N656</f>
        <v>98</v>
      </c>
      <c r="O657">
        <f t="shared" si="2612"/>
        <v>5.8878405775518976</v>
      </c>
      <c r="P657">
        <v>155</v>
      </c>
      <c r="Q657">
        <v>0.66</v>
      </c>
      <c r="R657">
        <v>102.30000000000001</v>
      </c>
      <c r="S657">
        <v>0.67</v>
      </c>
      <c r="T657">
        <v>103.85000000000001</v>
      </c>
      <c r="U657">
        <v>18.510000000000002</v>
      </c>
    </row>
    <row r="658" spans="1:21" x14ac:dyDescent="0.25">
      <c r="A658" t="s">
        <v>387</v>
      </c>
      <c r="B658" s="4" t="s">
        <v>94</v>
      </c>
      <c r="C658" s="1">
        <v>5</v>
      </c>
      <c r="D658">
        <v>120</v>
      </c>
      <c r="E658">
        <v>3</v>
      </c>
      <c r="F658" t="s">
        <v>20</v>
      </c>
      <c r="G658">
        <v>104</v>
      </c>
      <c r="H658">
        <f t="shared" ref="H658:I658" si="2613">H656</f>
        <v>107.33333333333333</v>
      </c>
      <c r="I658">
        <f t="shared" si="2613"/>
        <v>5.4365021434333629</v>
      </c>
      <c r="J658">
        <v>7</v>
      </c>
      <c r="K658">
        <f t="shared" ref="K658:L658" si="2614">K656</f>
        <v>5.666666666666667</v>
      </c>
      <c r="L658">
        <f t="shared" si="2614"/>
        <v>1.247219128924647</v>
      </c>
      <c r="M658">
        <v>90</v>
      </c>
      <c r="N658">
        <f t="shared" ref="N658:O658" si="2615">N656</f>
        <v>98</v>
      </c>
      <c r="O658">
        <f t="shared" si="2615"/>
        <v>5.8878405775518976</v>
      </c>
      <c r="P658">
        <v>167</v>
      </c>
      <c r="Q658">
        <v>0.7</v>
      </c>
      <c r="R658">
        <v>116.89999999999999</v>
      </c>
      <c r="S658">
        <v>0.5</v>
      </c>
      <c r="T658">
        <v>83.5</v>
      </c>
      <c r="U658">
        <v>15.13</v>
      </c>
    </row>
    <row r="659" spans="1:21" x14ac:dyDescent="0.25">
      <c r="A659" t="s">
        <v>388</v>
      </c>
      <c r="B659" s="4" t="s">
        <v>94</v>
      </c>
      <c r="C659" s="1">
        <v>5</v>
      </c>
      <c r="D659">
        <v>120</v>
      </c>
      <c r="E659">
        <v>1</v>
      </c>
      <c r="F659">
        <v>30</v>
      </c>
      <c r="G659">
        <v>118</v>
      </c>
      <c r="H659">
        <f t="shared" ref="H659" si="2616">AVERAGE(G659:G661)</f>
        <v>120</v>
      </c>
      <c r="I659">
        <f t="shared" ref="I659" si="2617">_xlfn.STDEV.P(G659:G661)</f>
        <v>2.8284271247461903</v>
      </c>
      <c r="J659">
        <v>3</v>
      </c>
      <c r="K659">
        <f t="shared" ref="K659" si="2618">AVERAGE(J659:J661)</f>
        <v>2</v>
      </c>
      <c r="L659">
        <f t="shared" ref="L659" si="2619">_xlfn.STDEV.P(J659:J661)</f>
        <v>0.81649658092772603</v>
      </c>
      <c r="M659">
        <v>81</v>
      </c>
      <c r="N659">
        <f t="shared" ref="N659" si="2620">AVERAGE(M659:M661)</f>
        <v>83</v>
      </c>
      <c r="O659">
        <f t="shared" ref="O659" si="2621">_xlfn.STDEV.P(M659:M661)</f>
        <v>1.6329931618554521</v>
      </c>
      <c r="P659">
        <v>187</v>
      </c>
      <c r="Q659">
        <v>0.54</v>
      </c>
      <c r="R659">
        <v>100.98</v>
      </c>
      <c r="S659">
        <v>0.63</v>
      </c>
      <c r="T659">
        <v>117.81</v>
      </c>
      <c r="U659">
        <v>20.72</v>
      </c>
    </row>
    <row r="660" spans="1:21" x14ac:dyDescent="0.25">
      <c r="A660" t="s">
        <v>388</v>
      </c>
      <c r="B660" s="4" t="s">
        <v>94</v>
      </c>
      <c r="C660" s="1">
        <v>5</v>
      </c>
      <c r="D660">
        <v>120</v>
      </c>
      <c r="E660">
        <v>2</v>
      </c>
      <c r="F660">
        <v>54</v>
      </c>
      <c r="G660">
        <v>118</v>
      </c>
      <c r="H660">
        <f t="shared" ref="H660:I660" si="2622">H659</f>
        <v>120</v>
      </c>
      <c r="I660">
        <f t="shared" si="2622"/>
        <v>2.8284271247461903</v>
      </c>
      <c r="J660">
        <v>2</v>
      </c>
      <c r="K660">
        <f t="shared" ref="K660:L660" si="2623">K659</f>
        <v>2</v>
      </c>
      <c r="L660">
        <f t="shared" si="2623"/>
        <v>0.81649658092772603</v>
      </c>
      <c r="M660">
        <v>85</v>
      </c>
      <c r="N660">
        <f t="shared" ref="N660:O660" si="2624">N659</f>
        <v>83</v>
      </c>
      <c r="O660">
        <f t="shared" si="2624"/>
        <v>1.6329931618554521</v>
      </c>
      <c r="P660">
        <v>183</v>
      </c>
      <c r="Q660">
        <v>0.5</v>
      </c>
      <c r="R660">
        <v>91.5</v>
      </c>
      <c r="S660">
        <v>0.3</v>
      </c>
      <c r="T660">
        <v>54.9</v>
      </c>
      <c r="U660">
        <v>17.47</v>
      </c>
    </row>
    <row r="661" spans="1:21" x14ac:dyDescent="0.25">
      <c r="A661" t="s">
        <v>388</v>
      </c>
      <c r="B661" s="4" t="s">
        <v>94</v>
      </c>
      <c r="C661" s="1">
        <v>5</v>
      </c>
      <c r="D661">
        <v>120</v>
      </c>
      <c r="E661">
        <v>3</v>
      </c>
      <c r="F661" t="s">
        <v>20</v>
      </c>
      <c r="G661">
        <v>124</v>
      </c>
      <c r="H661">
        <f t="shared" ref="H661:I661" si="2625">H659</f>
        <v>120</v>
      </c>
      <c r="I661">
        <f t="shared" si="2625"/>
        <v>2.8284271247461903</v>
      </c>
      <c r="J661">
        <v>1</v>
      </c>
      <c r="K661">
        <f t="shared" ref="K661:L661" si="2626">K659</f>
        <v>2</v>
      </c>
      <c r="L661">
        <f t="shared" si="2626"/>
        <v>0.81649658092772603</v>
      </c>
      <c r="M661">
        <v>83</v>
      </c>
      <c r="N661">
        <f t="shared" ref="N661:O661" si="2627">N659</f>
        <v>83</v>
      </c>
      <c r="O661">
        <f t="shared" si="2627"/>
        <v>1.6329931618554521</v>
      </c>
      <c r="P661">
        <v>181</v>
      </c>
      <c r="Q661">
        <v>0.5</v>
      </c>
      <c r="R661">
        <v>90.5</v>
      </c>
      <c r="S661">
        <v>0.59</v>
      </c>
      <c r="T661">
        <v>106.78999999999999</v>
      </c>
      <c r="U661">
        <v>17.440000000000001</v>
      </c>
    </row>
    <row r="662" spans="1:21" x14ac:dyDescent="0.25">
      <c r="A662" t="s">
        <v>389</v>
      </c>
      <c r="B662" s="4" t="s">
        <v>94</v>
      </c>
      <c r="C662" s="1">
        <v>5</v>
      </c>
      <c r="D662">
        <v>120</v>
      </c>
      <c r="E662">
        <v>1</v>
      </c>
      <c r="F662">
        <v>12</v>
      </c>
      <c r="G662">
        <v>101</v>
      </c>
      <c r="H662">
        <f t="shared" ref="H662" si="2628">AVERAGE(G662:G664)</f>
        <v>101.33333333333333</v>
      </c>
      <c r="I662">
        <f t="shared" ref="I662" si="2629">_xlfn.STDEV.P(G662:G664)</f>
        <v>0.47140452079103168</v>
      </c>
      <c r="J662">
        <v>3</v>
      </c>
      <c r="K662">
        <f t="shared" ref="K662" si="2630">AVERAGE(J662:J664)</f>
        <v>2.6666666666666665</v>
      </c>
      <c r="L662">
        <f t="shared" ref="L662" si="2631">_xlfn.STDEV.P(J662:J664)</f>
        <v>0.47140452079103168</v>
      </c>
      <c r="M662">
        <v>105</v>
      </c>
      <c r="N662">
        <f t="shared" ref="N662" si="2632">AVERAGE(M662:M664)</f>
        <v>104.66666666666667</v>
      </c>
      <c r="O662">
        <f t="shared" ref="O662" si="2633">_xlfn.STDEV.P(M662:M664)</f>
        <v>3.6817870057290869</v>
      </c>
      <c r="P662">
        <v>167</v>
      </c>
      <c r="Q662">
        <v>0.68</v>
      </c>
      <c r="R662">
        <v>113.56</v>
      </c>
      <c r="S662">
        <v>0.73</v>
      </c>
      <c r="T662">
        <v>121.91</v>
      </c>
      <c r="U662">
        <v>16.21</v>
      </c>
    </row>
    <row r="663" spans="1:21" x14ac:dyDescent="0.25">
      <c r="A663" t="s">
        <v>389</v>
      </c>
      <c r="B663" s="4" t="s">
        <v>94</v>
      </c>
      <c r="C663" s="1">
        <v>5</v>
      </c>
      <c r="D663">
        <v>120</v>
      </c>
      <c r="E663">
        <v>2</v>
      </c>
      <c r="F663">
        <v>0</v>
      </c>
      <c r="G663">
        <v>101</v>
      </c>
      <c r="H663">
        <f t="shared" ref="H663:I663" si="2634">H662</f>
        <v>101.33333333333333</v>
      </c>
      <c r="I663">
        <f t="shared" si="2634"/>
        <v>0.47140452079103168</v>
      </c>
      <c r="J663">
        <v>3</v>
      </c>
      <c r="K663">
        <f t="shared" ref="K663:L663" si="2635">K662</f>
        <v>2.6666666666666665</v>
      </c>
      <c r="L663">
        <f t="shared" si="2635"/>
        <v>0.47140452079103168</v>
      </c>
      <c r="M663">
        <v>100</v>
      </c>
      <c r="N663">
        <f t="shared" ref="N663:O663" si="2636">N662</f>
        <v>104.66666666666667</v>
      </c>
      <c r="O663">
        <f t="shared" si="2636"/>
        <v>3.6817870057290869</v>
      </c>
      <c r="P663">
        <v>162</v>
      </c>
      <c r="Q663">
        <v>0.67</v>
      </c>
      <c r="R663">
        <v>108.54</v>
      </c>
      <c r="S663">
        <v>0.66</v>
      </c>
      <c r="T663">
        <v>106.92</v>
      </c>
      <c r="U663">
        <v>15.7</v>
      </c>
    </row>
    <row r="664" spans="1:21" x14ac:dyDescent="0.25">
      <c r="A664" t="s">
        <v>389</v>
      </c>
      <c r="B664" s="4" t="s">
        <v>94</v>
      </c>
      <c r="C664" s="1">
        <v>5</v>
      </c>
      <c r="D664">
        <v>120</v>
      </c>
      <c r="E664">
        <v>3</v>
      </c>
      <c r="F664" t="s">
        <v>20</v>
      </c>
      <c r="G664">
        <v>102</v>
      </c>
      <c r="H664">
        <f t="shared" ref="H664:I664" si="2637">H662</f>
        <v>101.33333333333333</v>
      </c>
      <c r="I664">
        <f t="shared" si="2637"/>
        <v>0.47140452079103168</v>
      </c>
      <c r="J664">
        <v>2</v>
      </c>
      <c r="K664">
        <f t="shared" ref="K664:L664" si="2638">K662</f>
        <v>2.6666666666666665</v>
      </c>
      <c r="L664">
        <f t="shared" si="2638"/>
        <v>0.47140452079103168</v>
      </c>
      <c r="M664">
        <v>109</v>
      </c>
      <c r="N664">
        <f t="shared" ref="N664:O664" si="2639">N662</f>
        <v>104.66666666666667</v>
      </c>
      <c r="O664">
        <f t="shared" si="2639"/>
        <v>3.6817870057290869</v>
      </c>
      <c r="P664">
        <v>167</v>
      </c>
      <c r="Q664">
        <v>0.64</v>
      </c>
      <c r="R664">
        <v>106.88</v>
      </c>
      <c r="S664">
        <v>0.7</v>
      </c>
      <c r="T664">
        <v>116.89999999999999</v>
      </c>
      <c r="U664">
        <v>18.91</v>
      </c>
    </row>
    <row r="665" spans="1:21" x14ac:dyDescent="0.25">
      <c r="A665" t="s">
        <v>390</v>
      </c>
      <c r="B665" s="4" t="s">
        <v>94</v>
      </c>
      <c r="C665" s="1">
        <v>5</v>
      </c>
      <c r="D665">
        <v>120</v>
      </c>
      <c r="E665">
        <v>1</v>
      </c>
      <c r="F665">
        <v>26</v>
      </c>
      <c r="G665">
        <v>100</v>
      </c>
      <c r="H665">
        <f t="shared" ref="H665" si="2640">AVERAGE(G665:G667)</f>
        <v>93.333333333333329</v>
      </c>
      <c r="I665">
        <f t="shared" ref="I665" si="2641">_xlfn.STDEV.P(G665:G667)</f>
        <v>4.7842333648024411</v>
      </c>
      <c r="J665">
        <v>6</v>
      </c>
      <c r="K665">
        <f t="shared" ref="K665" si="2642">AVERAGE(J665:J667)</f>
        <v>5</v>
      </c>
      <c r="L665">
        <f t="shared" ref="L665" si="2643">_xlfn.STDEV.P(J665:J667)</f>
        <v>0.81649658092772603</v>
      </c>
      <c r="M665">
        <v>90</v>
      </c>
      <c r="N665">
        <f t="shared" ref="N665" si="2644">AVERAGE(M665:M667)</f>
        <v>98.333333333333329</v>
      </c>
      <c r="O665">
        <f t="shared" ref="O665" si="2645">_xlfn.STDEV.P(M665:M667)</f>
        <v>8.4983658559879753</v>
      </c>
      <c r="P665">
        <v>152</v>
      </c>
      <c r="Q665">
        <v>0.53</v>
      </c>
      <c r="R665">
        <v>80.56</v>
      </c>
      <c r="S665">
        <v>0.63</v>
      </c>
      <c r="T665">
        <v>95.76</v>
      </c>
      <c r="U665">
        <v>13.1</v>
      </c>
    </row>
    <row r="666" spans="1:21" x14ac:dyDescent="0.25">
      <c r="A666" t="s">
        <v>390</v>
      </c>
      <c r="B666" s="4" t="s">
        <v>94</v>
      </c>
      <c r="C666" s="1">
        <v>5</v>
      </c>
      <c r="D666">
        <v>120</v>
      </c>
      <c r="E666">
        <v>2</v>
      </c>
      <c r="F666">
        <v>54</v>
      </c>
      <c r="G666">
        <v>91</v>
      </c>
      <c r="H666">
        <f t="shared" ref="H666:I666" si="2646">H665</f>
        <v>93.333333333333329</v>
      </c>
      <c r="I666">
        <f t="shared" si="2646"/>
        <v>4.7842333648024411</v>
      </c>
      <c r="J666">
        <v>5</v>
      </c>
      <c r="K666">
        <f t="shared" ref="K666:L666" si="2647">K665</f>
        <v>5</v>
      </c>
      <c r="L666">
        <f t="shared" si="2647"/>
        <v>0.81649658092772603</v>
      </c>
      <c r="M666">
        <v>110</v>
      </c>
      <c r="N666">
        <f t="shared" ref="N666:O666" si="2648">N665</f>
        <v>98.333333333333329</v>
      </c>
      <c r="O666">
        <f t="shared" si="2648"/>
        <v>8.4983658559879753</v>
      </c>
      <c r="P666">
        <v>138</v>
      </c>
      <c r="Q666">
        <v>0.65</v>
      </c>
      <c r="R666">
        <v>89.7</v>
      </c>
      <c r="S666">
        <v>0.79</v>
      </c>
      <c r="T666">
        <v>109.02000000000001</v>
      </c>
      <c r="U666">
        <v>13.82</v>
      </c>
    </row>
    <row r="667" spans="1:21" x14ac:dyDescent="0.25">
      <c r="A667" t="s">
        <v>390</v>
      </c>
      <c r="B667" s="4" t="s">
        <v>94</v>
      </c>
      <c r="C667" s="1">
        <v>5</v>
      </c>
      <c r="D667">
        <v>120</v>
      </c>
      <c r="E667">
        <v>3</v>
      </c>
      <c r="F667">
        <v>30</v>
      </c>
      <c r="G667">
        <v>89</v>
      </c>
      <c r="H667">
        <f t="shared" ref="H667:I667" si="2649">H665</f>
        <v>93.333333333333329</v>
      </c>
      <c r="I667">
        <f t="shared" si="2649"/>
        <v>4.7842333648024411</v>
      </c>
      <c r="J667">
        <v>4</v>
      </c>
      <c r="K667">
        <f t="shared" ref="K667:L667" si="2650">K665</f>
        <v>5</v>
      </c>
      <c r="L667">
        <f t="shared" si="2650"/>
        <v>0.81649658092772603</v>
      </c>
      <c r="M667">
        <v>95</v>
      </c>
      <c r="N667">
        <f t="shared" ref="N667:O667" si="2651">N665</f>
        <v>98.333333333333329</v>
      </c>
      <c r="O667">
        <f t="shared" si="2651"/>
        <v>8.4983658559879753</v>
      </c>
      <c r="P667">
        <v>138</v>
      </c>
      <c r="Q667">
        <v>0.57999999999999996</v>
      </c>
      <c r="R667">
        <v>80.039999999999992</v>
      </c>
      <c r="S667">
        <v>0.78</v>
      </c>
      <c r="T667">
        <v>107.64</v>
      </c>
      <c r="U667">
        <v>15.11</v>
      </c>
    </row>
    <row r="668" spans="1:21" x14ac:dyDescent="0.25">
      <c r="A668" t="s">
        <v>391</v>
      </c>
      <c r="B668" s="4" t="s">
        <v>94</v>
      </c>
      <c r="C668" s="1">
        <v>5</v>
      </c>
      <c r="D668">
        <v>120</v>
      </c>
      <c r="E668">
        <v>1</v>
      </c>
      <c r="F668">
        <v>16</v>
      </c>
      <c r="G668">
        <v>99</v>
      </c>
      <c r="H668">
        <f t="shared" ref="H668" si="2652">AVERAGE(G668:G670)</f>
        <v>101.33333333333333</v>
      </c>
      <c r="I668">
        <f t="shared" ref="I668" si="2653">_xlfn.STDEV.P(G668:G670)</f>
        <v>3.2998316455372216</v>
      </c>
      <c r="J668">
        <v>5</v>
      </c>
      <c r="K668">
        <f t="shared" ref="K668" si="2654">AVERAGE(J668:J670)</f>
        <v>4</v>
      </c>
      <c r="L668">
        <f t="shared" ref="L668" si="2655">_xlfn.STDEV.P(J668:J670)</f>
        <v>0.81649658092772603</v>
      </c>
      <c r="M668">
        <v>97</v>
      </c>
      <c r="N668">
        <f t="shared" ref="N668" si="2656">AVERAGE(M668:M670)</f>
        <v>94.666666666666671</v>
      </c>
      <c r="O668">
        <f t="shared" ref="O668" si="2657">_xlfn.STDEV.P(M668:M670)</f>
        <v>2.0548046676563256</v>
      </c>
      <c r="P668">
        <v>149</v>
      </c>
      <c r="Q668">
        <v>0.57999999999999996</v>
      </c>
      <c r="R668" t="s">
        <v>20</v>
      </c>
      <c r="S668">
        <v>0.71</v>
      </c>
      <c r="T668" t="s">
        <v>20</v>
      </c>
      <c r="U668">
        <v>15.21</v>
      </c>
    </row>
    <row r="669" spans="1:21" x14ac:dyDescent="0.25">
      <c r="A669" t="s">
        <v>391</v>
      </c>
      <c r="B669" s="4" t="s">
        <v>94</v>
      </c>
      <c r="C669" s="1">
        <v>5</v>
      </c>
      <c r="D669">
        <v>120</v>
      </c>
      <c r="E669">
        <v>2</v>
      </c>
      <c r="F669" t="s">
        <v>20</v>
      </c>
      <c r="G669">
        <v>99</v>
      </c>
      <c r="H669">
        <f t="shared" ref="H669:I669" si="2658">H668</f>
        <v>101.33333333333333</v>
      </c>
      <c r="I669">
        <f t="shared" si="2658"/>
        <v>3.2998316455372216</v>
      </c>
      <c r="J669">
        <v>4</v>
      </c>
      <c r="K669">
        <f t="shared" ref="K669:L669" si="2659">K668</f>
        <v>4</v>
      </c>
      <c r="L669">
        <f t="shared" si="2659"/>
        <v>0.81649658092772603</v>
      </c>
      <c r="M669">
        <v>92</v>
      </c>
      <c r="N669">
        <f t="shared" ref="N669:O669" si="2660">N668</f>
        <v>94.666666666666671</v>
      </c>
      <c r="O669">
        <f t="shared" si="2660"/>
        <v>2.0548046676563256</v>
      </c>
      <c r="Q669">
        <v>0.67</v>
      </c>
      <c r="R669" t="s">
        <v>20</v>
      </c>
      <c r="S669">
        <v>0.68</v>
      </c>
      <c r="T669" t="s">
        <v>20</v>
      </c>
      <c r="U669">
        <v>14.93</v>
      </c>
    </row>
    <row r="670" spans="1:21" x14ac:dyDescent="0.25">
      <c r="A670" t="s">
        <v>391</v>
      </c>
      <c r="B670" s="4" t="s">
        <v>94</v>
      </c>
      <c r="C670" s="1">
        <v>5</v>
      </c>
      <c r="D670">
        <v>120</v>
      </c>
      <c r="E670">
        <v>3</v>
      </c>
      <c r="F670" t="s">
        <v>20</v>
      </c>
      <c r="G670">
        <v>106</v>
      </c>
      <c r="H670">
        <f t="shared" ref="H670:I670" si="2661">H668</f>
        <v>101.33333333333333</v>
      </c>
      <c r="I670">
        <f t="shared" si="2661"/>
        <v>3.2998316455372216</v>
      </c>
      <c r="J670">
        <v>3</v>
      </c>
      <c r="K670">
        <f t="shared" ref="K670:L670" si="2662">K668</f>
        <v>4</v>
      </c>
      <c r="L670">
        <f t="shared" si="2662"/>
        <v>0.81649658092772603</v>
      </c>
      <c r="M670">
        <v>95</v>
      </c>
      <c r="N670">
        <f t="shared" ref="N670:O670" si="2663">N668</f>
        <v>94.666666666666671</v>
      </c>
      <c r="O670">
        <f t="shared" si="2663"/>
        <v>2.0548046676563256</v>
      </c>
      <c r="P670">
        <v>160</v>
      </c>
      <c r="Q670">
        <v>0.62</v>
      </c>
      <c r="R670" t="s">
        <v>20</v>
      </c>
      <c r="S670">
        <v>0.4</v>
      </c>
      <c r="T670" t="s">
        <v>20</v>
      </c>
      <c r="U670">
        <v>15.4</v>
      </c>
    </row>
    <row r="671" spans="1:21" x14ac:dyDescent="0.25">
      <c r="A671" t="s">
        <v>392</v>
      </c>
      <c r="B671" s="4" t="s">
        <v>94</v>
      </c>
      <c r="C671" s="1">
        <v>5</v>
      </c>
      <c r="D671">
        <v>120</v>
      </c>
      <c r="E671">
        <v>1</v>
      </c>
      <c r="F671" t="s">
        <v>20</v>
      </c>
      <c r="G671">
        <v>115</v>
      </c>
      <c r="H671">
        <f t="shared" ref="H671" si="2664">AVERAGE(G671:G673)</f>
        <v>110</v>
      </c>
      <c r="I671">
        <f t="shared" ref="I671" si="2665">_xlfn.STDEV.P(G671:G673)</f>
        <v>3.7416573867739413</v>
      </c>
      <c r="J671">
        <v>4</v>
      </c>
      <c r="K671">
        <f t="shared" ref="K671" si="2666">AVERAGE(J671:J673)</f>
        <v>2.3333333333333335</v>
      </c>
      <c r="L671">
        <f t="shared" ref="L671" si="2667">_xlfn.STDEV.P(J671:J673)</f>
        <v>1.247219128924647</v>
      </c>
      <c r="M671">
        <v>108</v>
      </c>
      <c r="N671">
        <f t="shared" ref="N671" si="2668">AVERAGE(M671:M673)</f>
        <v>113.66666666666667</v>
      </c>
      <c r="O671">
        <f t="shared" ref="O671" si="2669">_xlfn.STDEV.P(M671:M673)</f>
        <v>4.0276819911981905</v>
      </c>
      <c r="P671">
        <v>166</v>
      </c>
      <c r="Q671">
        <v>0.61</v>
      </c>
      <c r="R671">
        <v>101.25999999999999</v>
      </c>
      <c r="S671">
        <v>0.7</v>
      </c>
      <c r="T671">
        <v>116.19999999999999</v>
      </c>
      <c r="U671">
        <v>18.72</v>
      </c>
    </row>
    <row r="672" spans="1:21" x14ac:dyDescent="0.25">
      <c r="A672" t="s">
        <v>392</v>
      </c>
      <c r="B672" s="4" t="s">
        <v>94</v>
      </c>
      <c r="C672" s="1">
        <v>5</v>
      </c>
      <c r="D672">
        <v>120</v>
      </c>
      <c r="E672">
        <v>2</v>
      </c>
      <c r="F672" t="s">
        <v>20</v>
      </c>
      <c r="G672">
        <v>106</v>
      </c>
      <c r="H672">
        <f t="shared" ref="H672:I672" si="2670">H671</f>
        <v>110</v>
      </c>
      <c r="I672">
        <f t="shared" si="2670"/>
        <v>3.7416573867739413</v>
      </c>
      <c r="J672">
        <v>2</v>
      </c>
      <c r="K672">
        <f t="shared" ref="K672:L672" si="2671">K671</f>
        <v>2.3333333333333335</v>
      </c>
      <c r="L672">
        <f t="shared" si="2671"/>
        <v>1.247219128924647</v>
      </c>
      <c r="M672">
        <v>116</v>
      </c>
      <c r="N672">
        <f t="shared" ref="N672:O672" si="2672">N671</f>
        <v>113.66666666666667</v>
      </c>
      <c r="O672">
        <f t="shared" si="2672"/>
        <v>4.0276819911981905</v>
      </c>
      <c r="P672">
        <v>159</v>
      </c>
      <c r="Q672">
        <v>0.69</v>
      </c>
      <c r="R672">
        <v>109.71</v>
      </c>
      <c r="S672">
        <v>0.64</v>
      </c>
      <c r="T672">
        <v>101.76</v>
      </c>
      <c r="U672">
        <v>14.15</v>
      </c>
    </row>
    <row r="673" spans="1:21" x14ac:dyDescent="0.25">
      <c r="A673" t="s">
        <v>392</v>
      </c>
      <c r="B673" s="4" t="s">
        <v>94</v>
      </c>
      <c r="C673" s="1">
        <v>5</v>
      </c>
      <c r="D673">
        <v>120</v>
      </c>
      <c r="E673">
        <v>3</v>
      </c>
      <c r="F673" t="s">
        <v>20</v>
      </c>
      <c r="G673">
        <v>109</v>
      </c>
      <c r="H673">
        <f t="shared" ref="H673:I673" si="2673">H671</f>
        <v>110</v>
      </c>
      <c r="I673">
        <f t="shared" si="2673"/>
        <v>3.7416573867739413</v>
      </c>
      <c r="J673">
        <v>1</v>
      </c>
      <c r="K673">
        <f t="shared" ref="K673:L673" si="2674">K671</f>
        <v>2.3333333333333335</v>
      </c>
      <c r="L673">
        <f t="shared" si="2674"/>
        <v>1.247219128924647</v>
      </c>
      <c r="M673">
        <v>117</v>
      </c>
      <c r="N673">
        <f t="shared" ref="N673:O673" si="2675">N671</f>
        <v>113.66666666666667</v>
      </c>
      <c r="O673">
        <f t="shared" si="2675"/>
        <v>4.0276819911981905</v>
      </c>
      <c r="P673">
        <v>167</v>
      </c>
      <c r="Q673">
        <v>0.71</v>
      </c>
      <c r="R673">
        <v>118.57</v>
      </c>
      <c r="S673">
        <v>0.76800000000000002</v>
      </c>
      <c r="T673">
        <v>128.256</v>
      </c>
      <c r="U673">
        <v>17.09</v>
      </c>
    </row>
    <row r="674" spans="1:21" x14ac:dyDescent="0.25">
      <c r="A674" t="s">
        <v>393</v>
      </c>
      <c r="B674" s="4" t="s">
        <v>94</v>
      </c>
      <c r="C674" s="1">
        <v>5</v>
      </c>
      <c r="D674">
        <v>120</v>
      </c>
      <c r="E674">
        <v>1</v>
      </c>
      <c r="F674">
        <v>6</v>
      </c>
      <c r="G674">
        <v>113</v>
      </c>
      <c r="H674">
        <f t="shared" ref="H674" si="2676">AVERAGE(G674:G676)</f>
        <v>111.33333333333333</v>
      </c>
      <c r="I674">
        <f t="shared" ref="I674" si="2677">_xlfn.STDEV.P(G674:G676)</f>
        <v>3.858612300930075</v>
      </c>
      <c r="J674">
        <v>6</v>
      </c>
      <c r="K674">
        <f t="shared" ref="K674" si="2678">AVERAGE(J674:J676)</f>
        <v>6</v>
      </c>
      <c r="L674">
        <f t="shared" ref="L674" si="2679">_xlfn.STDEV.P(J674:J676)</f>
        <v>0.81649658092772603</v>
      </c>
      <c r="M674">
        <v>90</v>
      </c>
      <c r="N674">
        <f t="shared" ref="N674" si="2680">AVERAGE(M674:M676)</f>
        <v>90</v>
      </c>
      <c r="O674">
        <f t="shared" ref="O674" si="2681">_xlfn.STDEV.P(M674:M676)</f>
        <v>0</v>
      </c>
      <c r="P674">
        <v>166</v>
      </c>
      <c r="Q674">
        <v>0.67</v>
      </c>
      <c r="R674">
        <v>111.22000000000001</v>
      </c>
      <c r="S674">
        <v>0.72</v>
      </c>
      <c r="T674">
        <v>119.52</v>
      </c>
      <c r="U674">
        <v>22.14</v>
      </c>
    </row>
    <row r="675" spans="1:21" x14ac:dyDescent="0.25">
      <c r="A675" t="s">
        <v>393</v>
      </c>
      <c r="B675" s="4" t="s">
        <v>94</v>
      </c>
      <c r="C675" s="1">
        <v>5</v>
      </c>
      <c r="D675">
        <v>120</v>
      </c>
      <c r="E675">
        <v>2</v>
      </c>
      <c r="F675">
        <v>20</v>
      </c>
      <c r="G675">
        <v>115</v>
      </c>
      <c r="H675">
        <f t="shared" ref="H675:I675" si="2682">H674</f>
        <v>111.33333333333333</v>
      </c>
      <c r="I675">
        <f t="shared" si="2682"/>
        <v>3.858612300930075</v>
      </c>
      <c r="J675">
        <v>5</v>
      </c>
      <c r="K675">
        <f t="shared" ref="K675:L675" si="2683">K674</f>
        <v>6</v>
      </c>
      <c r="L675">
        <f t="shared" si="2683"/>
        <v>0.81649658092772603</v>
      </c>
      <c r="M675">
        <v>90</v>
      </c>
      <c r="N675">
        <f t="shared" ref="N675:O675" si="2684">N674</f>
        <v>90</v>
      </c>
      <c r="O675">
        <f t="shared" si="2684"/>
        <v>0</v>
      </c>
      <c r="P675">
        <v>162</v>
      </c>
      <c r="Q675">
        <v>0.74</v>
      </c>
      <c r="R675">
        <v>119.88</v>
      </c>
      <c r="S675">
        <v>0.75</v>
      </c>
      <c r="T675">
        <v>121.5</v>
      </c>
      <c r="U675">
        <v>19.89</v>
      </c>
    </row>
    <row r="676" spans="1:21" x14ac:dyDescent="0.25">
      <c r="A676" t="s">
        <v>393</v>
      </c>
      <c r="B676" s="4" t="s">
        <v>94</v>
      </c>
      <c r="C676" s="1">
        <v>5</v>
      </c>
      <c r="D676">
        <v>120</v>
      </c>
      <c r="E676">
        <v>3</v>
      </c>
      <c r="F676" t="s">
        <v>20</v>
      </c>
      <c r="G676">
        <v>106</v>
      </c>
      <c r="H676">
        <f t="shared" ref="H676:I676" si="2685">H674</f>
        <v>111.33333333333333</v>
      </c>
      <c r="I676">
        <f t="shared" si="2685"/>
        <v>3.858612300930075</v>
      </c>
      <c r="J676">
        <v>7</v>
      </c>
      <c r="K676">
        <f t="shared" ref="K676:L676" si="2686">K674</f>
        <v>6</v>
      </c>
      <c r="L676">
        <f t="shared" si="2686"/>
        <v>0.81649658092772603</v>
      </c>
      <c r="M676">
        <v>90</v>
      </c>
      <c r="N676">
        <f t="shared" ref="N676:O676" si="2687">N674</f>
        <v>90</v>
      </c>
      <c r="O676">
        <f t="shared" si="2687"/>
        <v>0</v>
      </c>
      <c r="P676">
        <v>160</v>
      </c>
      <c r="Q676">
        <v>0.67</v>
      </c>
      <c r="R676">
        <v>107.2</v>
      </c>
      <c r="S676">
        <v>0.6</v>
      </c>
      <c r="T676">
        <v>96</v>
      </c>
      <c r="U676">
        <v>16.75</v>
      </c>
    </row>
    <row r="677" spans="1:21" x14ac:dyDescent="0.25">
      <c r="A677" t="s">
        <v>394</v>
      </c>
      <c r="B677" s="4" t="s">
        <v>94</v>
      </c>
      <c r="C677" s="1">
        <v>5</v>
      </c>
      <c r="D677">
        <v>120</v>
      </c>
      <c r="E677">
        <v>1</v>
      </c>
      <c r="F677">
        <v>0</v>
      </c>
      <c r="G677">
        <v>106</v>
      </c>
      <c r="H677">
        <f t="shared" ref="H677" si="2688">AVERAGE(G677:G679)</f>
        <v>107.5</v>
      </c>
      <c r="I677">
        <f t="shared" ref="I677" si="2689">_xlfn.STDEV.P(G677:G679)</f>
        <v>1.5</v>
      </c>
      <c r="J677">
        <v>3</v>
      </c>
      <c r="K677">
        <f t="shared" ref="K677" si="2690">AVERAGE(J677:J679)</f>
        <v>3</v>
      </c>
      <c r="L677">
        <f t="shared" ref="L677" si="2691">_xlfn.STDEV.P(J677:J679)</f>
        <v>0</v>
      </c>
      <c r="M677">
        <v>90</v>
      </c>
      <c r="N677">
        <f t="shared" ref="N677" si="2692">AVERAGE(M677:M679)</f>
        <v>95</v>
      </c>
      <c r="O677">
        <f t="shared" ref="O677" si="2693">_xlfn.STDEV.P(M677:M679)</f>
        <v>5</v>
      </c>
      <c r="P677">
        <v>166</v>
      </c>
      <c r="Q677">
        <v>0.45</v>
      </c>
      <c r="R677" t="s">
        <v>20</v>
      </c>
      <c r="S677">
        <v>0.69</v>
      </c>
      <c r="T677" t="s">
        <v>20</v>
      </c>
      <c r="U677">
        <v>18</v>
      </c>
    </row>
    <row r="678" spans="1:21" x14ac:dyDescent="0.25">
      <c r="A678" t="s">
        <v>394</v>
      </c>
      <c r="B678" s="4" t="s">
        <v>94</v>
      </c>
      <c r="C678" s="1">
        <v>5</v>
      </c>
      <c r="D678">
        <v>120</v>
      </c>
      <c r="E678">
        <v>2</v>
      </c>
      <c r="F678" t="s">
        <v>20</v>
      </c>
      <c r="G678" t="s">
        <v>20</v>
      </c>
      <c r="H678">
        <f t="shared" ref="H678:I678" si="2694">H677</f>
        <v>107.5</v>
      </c>
      <c r="I678">
        <f t="shared" si="2694"/>
        <v>1.5</v>
      </c>
      <c r="J678" t="s">
        <v>20</v>
      </c>
      <c r="K678">
        <f t="shared" ref="K678:L678" si="2695">K677</f>
        <v>3</v>
      </c>
      <c r="L678">
        <f t="shared" si="2695"/>
        <v>0</v>
      </c>
      <c r="M678" t="s">
        <v>20</v>
      </c>
      <c r="N678">
        <f t="shared" ref="N678:O678" si="2696">N677</f>
        <v>95</v>
      </c>
      <c r="O678">
        <f t="shared" si="2696"/>
        <v>5</v>
      </c>
      <c r="Q678" t="s">
        <v>20</v>
      </c>
      <c r="R678" t="s">
        <v>20</v>
      </c>
      <c r="S678" t="s">
        <v>20</v>
      </c>
      <c r="T678" t="s">
        <v>20</v>
      </c>
      <c r="U678">
        <v>17.09</v>
      </c>
    </row>
    <row r="679" spans="1:21" x14ac:dyDescent="0.25">
      <c r="A679" t="s">
        <v>394</v>
      </c>
      <c r="B679" s="4" t="s">
        <v>94</v>
      </c>
      <c r="C679" s="1">
        <v>5</v>
      </c>
      <c r="D679">
        <v>120</v>
      </c>
      <c r="E679">
        <v>3</v>
      </c>
      <c r="F679" t="s">
        <v>20</v>
      </c>
      <c r="G679">
        <v>109</v>
      </c>
      <c r="H679">
        <f t="shared" ref="H679:I679" si="2697">H677</f>
        <v>107.5</v>
      </c>
      <c r="I679">
        <f t="shared" si="2697"/>
        <v>1.5</v>
      </c>
      <c r="J679">
        <v>3</v>
      </c>
      <c r="K679">
        <f t="shared" ref="K679:L679" si="2698">K677</f>
        <v>3</v>
      </c>
      <c r="L679">
        <f t="shared" si="2698"/>
        <v>0</v>
      </c>
      <c r="M679">
        <v>100</v>
      </c>
      <c r="N679">
        <f t="shared" ref="N679:O679" si="2699">N677</f>
        <v>95</v>
      </c>
      <c r="O679">
        <f t="shared" si="2699"/>
        <v>5</v>
      </c>
      <c r="P679">
        <v>162</v>
      </c>
      <c r="Q679">
        <v>0.69</v>
      </c>
      <c r="R679" t="s">
        <v>20</v>
      </c>
      <c r="S679">
        <v>0.55000000000000004</v>
      </c>
      <c r="T679" t="s">
        <v>20</v>
      </c>
      <c r="U679" t="s">
        <v>20</v>
      </c>
    </row>
    <row r="680" spans="1:21" x14ac:dyDescent="0.25">
      <c r="A680" t="s">
        <v>395</v>
      </c>
      <c r="B680" s="4" t="s">
        <v>94</v>
      </c>
      <c r="C680" s="1">
        <v>5</v>
      </c>
      <c r="D680">
        <v>120</v>
      </c>
      <c r="E680">
        <v>1</v>
      </c>
      <c r="F680">
        <v>26</v>
      </c>
      <c r="G680">
        <v>106</v>
      </c>
      <c r="H680">
        <f t="shared" ref="H680" si="2700">AVERAGE(G680:G682)</f>
        <v>107.33333333333333</v>
      </c>
      <c r="I680">
        <f t="shared" ref="I680" si="2701">_xlfn.STDEV.P(G680:G682)</f>
        <v>3.39934634239519</v>
      </c>
      <c r="J680">
        <v>3</v>
      </c>
      <c r="K680">
        <f t="shared" ref="K680" si="2702">AVERAGE(J680:J682)</f>
        <v>1.6666666666666667</v>
      </c>
      <c r="L680">
        <f t="shared" ref="L680" si="2703">_xlfn.STDEV.P(J680:J682)</f>
        <v>0.94280904158206336</v>
      </c>
      <c r="M680">
        <v>110</v>
      </c>
      <c r="N680">
        <f t="shared" ref="N680" si="2704">AVERAGE(M680:M682)</f>
        <v>103.33333333333333</v>
      </c>
      <c r="O680">
        <f t="shared" ref="O680" si="2705">_xlfn.STDEV.P(M680:M682)</f>
        <v>6.2360956446232363</v>
      </c>
      <c r="P680">
        <v>159</v>
      </c>
      <c r="Q680">
        <v>0.69</v>
      </c>
      <c r="R680">
        <v>109.71</v>
      </c>
      <c r="S680">
        <v>0.78</v>
      </c>
      <c r="T680">
        <v>124.02000000000001</v>
      </c>
      <c r="U680">
        <v>14.27</v>
      </c>
    </row>
    <row r="681" spans="1:21" x14ac:dyDescent="0.25">
      <c r="A681" t="s">
        <v>395</v>
      </c>
      <c r="B681" s="4" t="s">
        <v>94</v>
      </c>
      <c r="C681" s="1">
        <v>5</v>
      </c>
      <c r="D681">
        <v>120</v>
      </c>
      <c r="E681">
        <v>2</v>
      </c>
      <c r="F681">
        <v>24</v>
      </c>
      <c r="G681">
        <v>112</v>
      </c>
      <c r="H681">
        <f t="shared" ref="H681:I681" si="2706">H680</f>
        <v>107.33333333333333</v>
      </c>
      <c r="I681">
        <f t="shared" si="2706"/>
        <v>3.39934634239519</v>
      </c>
      <c r="J681">
        <v>1</v>
      </c>
      <c r="K681">
        <f t="shared" ref="K681:L681" si="2707">K680</f>
        <v>1.6666666666666667</v>
      </c>
      <c r="L681">
        <f t="shared" si="2707"/>
        <v>0.94280904158206336</v>
      </c>
      <c r="M681">
        <v>95</v>
      </c>
      <c r="N681">
        <f t="shared" ref="N681:O681" si="2708">N680</f>
        <v>103.33333333333333</v>
      </c>
      <c r="O681">
        <f t="shared" si="2708"/>
        <v>6.2360956446232363</v>
      </c>
      <c r="P681">
        <v>187</v>
      </c>
      <c r="Q681">
        <v>0.5</v>
      </c>
      <c r="R681">
        <v>93.5</v>
      </c>
      <c r="S681">
        <v>0.61</v>
      </c>
      <c r="T681">
        <v>114.07</v>
      </c>
      <c r="U681">
        <v>14.48</v>
      </c>
    </row>
    <row r="682" spans="1:21" x14ac:dyDescent="0.25">
      <c r="A682" t="s">
        <v>395</v>
      </c>
      <c r="B682" s="4" t="s">
        <v>94</v>
      </c>
      <c r="C682" s="1">
        <v>5</v>
      </c>
      <c r="D682">
        <v>120</v>
      </c>
      <c r="E682">
        <v>3</v>
      </c>
      <c r="F682" t="s">
        <v>20</v>
      </c>
      <c r="G682">
        <v>104</v>
      </c>
      <c r="H682">
        <f t="shared" ref="H682:I682" si="2709">H680</f>
        <v>107.33333333333333</v>
      </c>
      <c r="I682">
        <f t="shared" si="2709"/>
        <v>3.39934634239519</v>
      </c>
      <c r="J682">
        <v>1</v>
      </c>
      <c r="K682">
        <f t="shared" ref="K682:L682" si="2710">K680</f>
        <v>1.6666666666666667</v>
      </c>
      <c r="L682">
        <f t="shared" si="2710"/>
        <v>0.94280904158206336</v>
      </c>
      <c r="M682">
        <v>105</v>
      </c>
      <c r="N682">
        <f t="shared" ref="N682:O682" si="2711">N680</f>
        <v>103.33333333333333</v>
      </c>
      <c r="O682">
        <f t="shared" si="2711"/>
        <v>6.2360956446232363</v>
      </c>
      <c r="P682">
        <v>160</v>
      </c>
      <c r="Q682">
        <v>0.69</v>
      </c>
      <c r="R682">
        <v>110.39999999999999</v>
      </c>
      <c r="S682">
        <v>0.78</v>
      </c>
      <c r="T682">
        <v>124.80000000000001</v>
      </c>
      <c r="U682">
        <v>18.489999999999998</v>
      </c>
    </row>
    <row r="683" spans="1:21" x14ac:dyDescent="0.25">
      <c r="A683" t="s">
        <v>396</v>
      </c>
      <c r="B683" s="4" t="s">
        <v>94</v>
      </c>
      <c r="C683" s="1">
        <v>5</v>
      </c>
      <c r="D683">
        <v>120</v>
      </c>
      <c r="E683">
        <v>1</v>
      </c>
      <c r="F683">
        <v>64</v>
      </c>
      <c r="G683">
        <v>100</v>
      </c>
      <c r="H683">
        <f t="shared" ref="H683" si="2712">AVERAGE(G683:G685)</f>
        <v>100</v>
      </c>
      <c r="I683">
        <f t="shared" ref="I683" si="2713">_xlfn.STDEV.P(G683:G685)</f>
        <v>0</v>
      </c>
      <c r="J683">
        <v>1</v>
      </c>
      <c r="K683">
        <f t="shared" ref="K683" si="2714">AVERAGE(J683:J685)</f>
        <v>0.66666666666666663</v>
      </c>
      <c r="L683">
        <f t="shared" ref="L683" si="2715">_xlfn.STDEV.P(J683:J685)</f>
        <v>0.47140452079103168</v>
      </c>
      <c r="M683">
        <v>92</v>
      </c>
      <c r="N683">
        <f t="shared" ref="N683" si="2716">AVERAGE(M683:M685)</f>
        <v>99.666666666666671</v>
      </c>
      <c r="O683">
        <f t="shared" ref="O683" si="2717">_xlfn.STDEV.P(M683:M685)</f>
        <v>6.1282587702834119</v>
      </c>
      <c r="P683">
        <v>155</v>
      </c>
      <c r="Q683">
        <v>0.62</v>
      </c>
      <c r="R683">
        <v>96.1</v>
      </c>
      <c r="S683">
        <v>0.6</v>
      </c>
      <c r="T683">
        <v>93</v>
      </c>
      <c r="U683">
        <v>17.32</v>
      </c>
    </row>
    <row r="684" spans="1:21" x14ac:dyDescent="0.25">
      <c r="A684" t="s">
        <v>396</v>
      </c>
      <c r="B684" s="4" t="s">
        <v>94</v>
      </c>
      <c r="C684" s="1">
        <v>5</v>
      </c>
      <c r="D684">
        <v>120</v>
      </c>
      <c r="E684">
        <v>2</v>
      </c>
      <c r="F684">
        <v>42</v>
      </c>
      <c r="G684">
        <v>100</v>
      </c>
      <c r="H684">
        <f t="shared" ref="H684:I684" si="2718">H683</f>
        <v>100</v>
      </c>
      <c r="I684">
        <f t="shared" si="2718"/>
        <v>0</v>
      </c>
      <c r="J684">
        <v>1</v>
      </c>
      <c r="K684">
        <f t="shared" ref="K684:L684" si="2719">K683</f>
        <v>0.66666666666666663</v>
      </c>
      <c r="L684">
        <f t="shared" si="2719"/>
        <v>0.47140452079103168</v>
      </c>
      <c r="M684">
        <v>107</v>
      </c>
      <c r="N684">
        <f t="shared" ref="N684:O684" si="2720">N683</f>
        <v>99.666666666666671</v>
      </c>
      <c r="O684">
        <f t="shared" si="2720"/>
        <v>6.1282587702834119</v>
      </c>
      <c r="P684">
        <v>155</v>
      </c>
      <c r="Q684">
        <v>0.63</v>
      </c>
      <c r="R684">
        <v>97.65</v>
      </c>
      <c r="S684">
        <v>0.72</v>
      </c>
      <c r="T684">
        <v>111.6</v>
      </c>
      <c r="U684">
        <v>18.66</v>
      </c>
    </row>
    <row r="685" spans="1:21" x14ac:dyDescent="0.25">
      <c r="A685" t="s">
        <v>396</v>
      </c>
      <c r="B685" s="4" t="s">
        <v>94</v>
      </c>
      <c r="C685" s="1">
        <v>5</v>
      </c>
      <c r="D685">
        <v>120</v>
      </c>
      <c r="E685">
        <v>3</v>
      </c>
      <c r="F685" t="s">
        <v>20</v>
      </c>
      <c r="G685">
        <v>100</v>
      </c>
      <c r="H685">
        <f t="shared" ref="H685:I685" si="2721">H683</f>
        <v>100</v>
      </c>
      <c r="I685">
        <f t="shared" si="2721"/>
        <v>0</v>
      </c>
      <c r="J685">
        <v>0</v>
      </c>
      <c r="K685">
        <f t="shared" ref="K685:L685" si="2722">K683</f>
        <v>0.66666666666666663</v>
      </c>
      <c r="L685">
        <f t="shared" si="2722"/>
        <v>0.47140452079103168</v>
      </c>
      <c r="M685">
        <v>100</v>
      </c>
      <c r="N685">
        <f t="shared" ref="N685:O685" si="2723">N683</f>
        <v>99.666666666666671</v>
      </c>
      <c r="O685">
        <f t="shared" si="2723"/>
        <v>6.1282587702834119</v>
      </c>
      <c r="P685">
        <v>167</v>
      </c>
      <c r="Q685">
        <v>0.47</v>
      </c>
      <c r="R685">
        <v>78.489999999999995</v>
      </c>
      <c r="S685">
        <v>0.56000000000000005</v>
      </c>
      <c r="T685">
        <v>93.52000000000001</v>
      </c>
      <c r="U685">
        <v>16.23</v>
      </c>
    </row>
    <row r="686" spans="1:21" x14ac:dyDescent="0.25">
      <c r="A686" t="s">
        <v>397</v>
      </c>
      <c r="B686" s="4" t="s">
        <v>94</v>
      </c>
      <c r="C686" s="1">
        <v>5</v>
      </c>
      <c r="D686">
        <v>120</v>
      </c>
      <c r="E686">
        <v>1</v>
      </c>
      <c r="F686">
        <v>72</v>
      </c>
      <c r="G686">
        <v>100</v>
      </c>
      <c r="H686">
        <f t="shared" ref="H686" si="2724">AVERAGE(G686:G688)</f>
        <v>100.33333333333333</v>
      </c>
      <c r="I686">
        <f t="shared" ref="I686" si="2725">_xlfn.STDEV.P(G686:G688)</f>
        <v>0.47140452079103168</v>
      </c>
      <c r="J686">
        <v>2</v>
      </c>
      <c r="K686">
        <f t="shared" ref="K686" si="2726">AVERAGE(J686:J688)</f>
        <v>2.3333333333333335</v>
      </c>
      <c r="L686">
        <f t="shared" ref="L686" si="2727">_xlfn.STDEV.P(J686:J688)</f>
        <v>0.47140452079103168</v>
      </c>
      <c r="M686">
        <v>110</v>
      </c>
      <c r="N686">
        <f t="shared" ref="N686" si="2728">AVERAGE(M686:M688)</f>
        <v>109</v>
      </c>
      <c r="O686">
        <f t="shared" ref="O686" si="2729">_xlfn.STDEV.P(M686:M688)</f>
        <v>1.4142135623730951</v>
      </c>
      <c r="P686">
        <v>150</v>
      </c>
      <c r="Q686">
        <v>0.66</v>
      </c>
      <c r="R686">
        <v>99</v>
      </c>
      <c r="S686">
        <v>0.52</v>
      </c>
      <c r="T686">
        <v>78</v>
      </c>
      <c r="U686">
        <v>13.49</v>
      </c>
    </row>
    <row r="687" spans="1:21" x14ac:dyDescent="0.25">
      <c r="A687" t="s">
        <v>397</v>
      </c>
      <c r="B687" s="4" t="s">
        <v>94</v>
      </c>
      <c r="C687" s="1">
        <v>5</v>
      </c>
      <c r="D687">
        <v>120</v>
      </c>
      <c r="E687">
        <v>2</v>
      </c>
      <c r="F687" t="s">
        <v>20</v>
      </c>
      <c r="G687">
        <v>100</v>
      </c>
      <c r="H687">
        <f t="shared" ref="H687:I687" si="2730">H686</f>
        <v>100.33333333333333</v>
      </c>
      <c r="I687">
        <f t="shared" si="2730"/>
        <v>0.47140452079103168</v>
      </c>
      <c r="J687">
        <v>2</v>
      </c>
      <c r="K687">
        <f t="shared" ref="K687:L687" si="2731">K686</f>
        <v>2.3333333333333335</v>
      </c>
      <c r="L687">
        <f t="shared" si="2731"/>
        <v>0.47140452079103168</v>
      </c>
      <c r="M687">
        <v>110</v>
      </c>
      <c r="N687">
        <f t="shared" ref="N687:O687" si="2732">N686</f>
        <v>109</v>
      </c>
      <c r="O687">
        <f t="shared" si="2732"/>
        <v>1.4142135623730951</v>
      </c>
      <c r="P687">
        <v>150</v>
      </c>
      <c r="Q687">
        <v>0.68</v>
      </c>
      <c r="R687">
        <v>102.00000000000001</v>
      </c>
      <c r="S687">
        <v>0.76</v>
      </c>
      <c r="T687">
        <v>114</v>
      </c>
      <c r="U687">
        <v>14.62</v>
      </c>
    </row>
    <row r="688" spans="1:21" x14ac:dyDescent="0.25">
      <c r="A688" t="s">
        <v>397</v>
      </c>
      <c r="B688" s="4" t="s">
        <v>94</v>
      </c>
      <c r="C688" s="1">
        <v>5</v>
      </c>
      <c r="D688">
        <v>120</v>
      </c>
      <c r="E688">
        <v>3</v>
      </c>
      <c r="F688" t="s">
        <v>20</v>
      </c>
      <c r="G688">
        <v>101</v>
      </c>
      <c r="H688">
        <f t="shared" ref="H688:I688" si="2733">H686</f>
        <v>100.33333333333333</v>
      </c>
      <c r="I688">
        <f t="shared" si="2733"/>
        <v>0.47140452079103168</v>
      </c>
      <c r="J688">
        <v>3</v>
      </c>
      <c r="K688">
        <f t="shared" ref="K688:L688" si="2734">K686</f>
        <v>2.3333333333333335</v>
      </c>
      <c r="L688">
        <f t="shared" si="2734"/>
        <v>0.47140452079103168</v>
      </c>
      <c r="M688" s="10">
        <v>107</v>
      </c>
      <c r="N688">
        <f t="shared" ref="N688:O688" si="2735">N686</f>
        <v>109</v>
      </c>
      <c r="O688">
        <f t="shared" si="2735"/>
        <v>1.4142135623730951</v>
      </c>
      <c r="P688">
        <v>153</v>
      </c>
      <c r="Q688" s="10">
        <v>0.73</v>
      </c>
      <c r="R688" s="10">
        <v>111.69</v>
      </c>
      <c r="S688" s="10">
        <v>0.71</v>
      </c>
      <c r="T688">
        <v>108.63</v>
      </c>
      <c r="U688">
        <v>14.79</v>
      </c>
    </row>
    <row r="689" spans="1:21" x14ac:dyDescent="0.25">
      <c r="A689" t="s">
        <v>398</v>
      </c>
      <c r="B689" s="4" t="s">
        <v>94</v>
      </c>
      <c r="C689" s="1">
        <v>4</v>
      </c>
      <c r="D689">
        <v>120</v>
      </c>
      <c r="E689">
        <v>2</v>
      </c>
      <c r="F689" t="s">
        <v>20</v>
      </c>
      <c r="G689">
        <v>104</v>
      </c>
      <c r="H689">
        <f t="shared" ref="H689" si="2736">AVERAGE(G689:G691)</f>
        <v>108.5</v>
      </c>
      <c r="I689">
        <f t="shared" ref="I689" si="2737">_xlfn.STDEV.P(G689:G691)</f>
        <v>4.5</v>
      </c>
      <c r="J689">
        <v>1</v>
      </c>
      <c r="K689">
        <f t="shared" ref="K689" si="2738">AVERAGE(J689:J691)</f>
        <v>1.5</v>
      </c>
      <c r="L689">
        <f t="shared" ref="L689" si="2739">_xlfn.STDEV.P(J689:J691)</f>
        <v>0.5</v>
      </c>
      <c r="M689">
        <v>108</v>
      </c>
      <c r="N689">
        <f t="shared" ref="N689" si="2740">AVERAGE(M689:M691)</f>
        <v>108.5</v>
      </c>
      <c r="O689">
        <f t="shared" ref="O689" si="2741">_xlfn.STDEV.P(M689:M691)</f>
        <v>0.5</v>
      </c>
      <c r="P689">
        <v>156</v>
      </c>
      <c r="Q689">
        <v>0.65</v>
      </c>
      <c r="R689" t="s">
        <v>20</v>
      </c>
      <c r="S689">
        <v>0.68</v>
      </c>
      <c r="T689" t="s">
        <v>20</v>
      </c>
      <c r="U689">
        <v>14.04</v>
      </c>
    </row>
    <row r="690" spans="1:21" x14ac:dyDescent="0.25">
      <c r="A690" t="s">
        <v>398</v>
      </c>
      <c r="B690" s="4" t="s">
        <v>94</v>
      </c>
      <c r="C690" s="1">
        <v>4</v>
      </c>
      <c r="D690">
        <v>120</v>
      </c>
      <c r="E690">
        <v>3</v>
      </c>
      <c r="F690" t="s">
        <v>20</v>
      </c>
      <c r="G690">
        <v>113</v>
      </c>
      <c r="H690">
        <f t="shared" ref="H690:I690" si="2742">H689</f>
        <v>108.5</v>
      </c>
      <c r="I690">
        <f t="shared" si="2742"/>
        <v>4.5</v>
      </c>
      <c r="J690">
        <v>2</v>
      </c>
      <c r="K690">
        <f t="shared" ref="K690:L690" si="2743">K689</f>
        <v>1.5</v>
      </c>
      <c r="L690">
        <f t="shared" si="2743"/>
        <v>0.5</v>
      </c>
      <c r="M690">
        <v>109</v>
      </c>
      <c r="N690">
        <f t="shared" ref="N690:O690" si="2744">N689</f>
        <v>108.5</v>
      </c>
      <c r="O690">
        <f t="shared" si="2744"/>
        <v>0.5</v>
      </c>
      <c r="P690">
        <v>162</v>
      </c>
      <c r="Q690">
        <v>0.72</v>
      </c>
      <c r="R690" t="s">
        <v>20</v>
      </c>
      <c r="S690">
        <v>0.72</v>
      </c>
      <c r="T690" t="s">
        <v>20</v>
      </c>
      <c r="U690">
        <v>17.399999999999999</v>
      </c>
    </row>
    <row r="691" spans="1:21" x14ac:dyDescent="0.25">
      <c r="A691" t="s">
        <v>398</v>
      </c>
      <c r="B691" s="4" t="s">
        <v>94</v>
      </c>
      <c r="C691" s="1">
        <v>4</v>
      </c>
      <c r="D691">
        <v>120</v>
      </c>
      <c r="E691">
        <v>1</v>
      </c>
      <c r="F691" t="s">
        <v>20</v>
      </c>
      <c r="G691" t="s">
        <v>20</v>
      </c>
      <c r="H691">
        <f t="shared" ref="H691:I691" si="2745">H689</f>
        <v>108.5</v>
      </c>
      <c r="I691">
        <f t="shared" si="2745"/>
        <v>4.5</v>
      </c>
      <c r="J691" t="s">
        <v>20</v>
      </c>
      <c r="K691">
        <f t="shared" ref="K691:L691" si="2746">K689</f>
        <v>1.5</v>
      </c>
      <c r="L691">
        <f t="shared" si="2746"/>
        <v>0.5</v>
      </c>
      <c r="M691" t="s">
        <v>20</v>
      </c>
      <c r="N691">
        <f t="shared" ref="N691:O691" si="2747">N689</f>
        <v>108.5</v>
      </c>
      <c r="O691">
        <f t="shared" si="2747"/>
        <v>0.5</v>
      </c>
      <c r="P691" t="s">
        <v>20</v>
      </c>
      <c r="Q691" t="s">
        <v>20</v>
      </c>
      <c r="R691" t="s">
        <v>20</v>
      </c>
      <c r="S691" t="s">
        <v>20</v>
      </c>
      <c r="T691" t="s">
        <v>20</v>
      </c>
      <c r="U691" t="s">
        <v>20</v>
      </c>
    </row>
    <row r="692" spans="1:21" x14ac:dyDescent="0.25">
      <c r="A692" t="s">
        <v>399</v>
      </c>
      <c r="B692" s="4" t="s">
        <v>94</v>
      </c>
      <c r="C692" s="1">
        <v>5</v>
      </c>
      <c r="D692">
        <v>120</v>
      </c>
      <c r="E692">
        <v>1</v>
      </c>
      <c r="F692">
        <v>52</v>
      </c>
      <c r="G692">
        <v>106</v>
      </c>
      <c r="H692">
        <f t="shared" ref="H692" si="2748">AVERAGE(G692:G694)</f>
        <v>108.66666666666667</v>
      </c>
      <c r="I692">
        <f t="shared" ref="I692" si="2749">_xlfn.STDEV.P(G692:G694)</f>
        <v>5.2493385826745405</v>
      </c>
      <c r="J692">
        <v>2</v>
      </c>
      <c r="K692">
        <f t="shared" ref="K692" si="2750">AVERAGE(J692:J694)</f>
        <v>2</v>
      </c>
      <c r="L692">
        <f t="shared" ref="L692" si="2751">_xlfn.STDEV.P(J692:J694)</f>
        <v>0.81649658092772603</v>
      </c>
      <c r="M692">
        <v>120</v>
      </c>
      <c r="N692">
        <f t="shared" ref="N692" si="2752">AVERAGE(M692:M694)</f>
        <v>115</v>
      </c>
      <c r="O692">
        <f t="shared" ref="O692" si="2753">_xlfn.STDEV.P(M692:M694)</f>
        <v>5.715476066494082</v>
      </c>
      <c r="P692">
        <v>166</v>
      </c>
      <c r="Q692">
        <v>0.61</v>
      </c>
      <c r="R692">
        <v>101.25999999999999</v>
      </c>
      <c r="S692">
        <v>0.73</v>
      </c>
      <c r="T692">
        <v>121.17999999999999</v>
      </c>
      <c r="U692">
        <v>16.43</v>
      </c>
    </row>
    <row r="693" spans="1:21" x14ac:dyDescent="0.25">
      <c r="A693" t="s">
        <v>399</v>
      </c>
      <c r="B693" s="4" t="s">
        <v>94</v>
      </c>
      <c r="C693" s="1">
        <v>5</v>
      </c>
      <c r="D693">
        <v>120</v>
      </c>
      <c r="E693">
        <v>2</v>
      </c>
      <c r="F693" t="s">
        <v>20</v>
      </c>
      <c r="G693">
        <v>104</v>
      </c>
      <c r="H693">
        <f t="shared" ref="H693:I693" si="2754">H692</f>
        <v>108.66666666666667</v>
      </c>
      <c r="I693">
        <f t="shared" si="2754"/>
        <v>5.2493385826745405</v>
      </c>
      <c r="J693">
        <v>1</v>
      </c>
      <c r="K693">
        <f t="shared" ref="K693:L693" si="2755">K692</f>
        <v>2</v>
      </c>
      <c r="L693">
        <f t="shared" si="2755"/>
        <v>0.81649658092772603</v>
      </c>
      <c r="M693">
        <v>107</v>
      </c>
      <c r="N693">
        <f t="shared" ref="N693:O693" si="2756">N692</f>
        <v>115</v>
      </c>
      <c r="O693">
        <f t="shared" si="2756"/>
        <v>5.715476066494082</v>
      </c>
      <c r="P693">
        <v>168</v>
      </c>
      <c r="Q693">
        <v>0.62</v>
      </c>
      <c r="R693">
        <v>104.16</v>
      </c>
      <c r="S693">
        <v>0.7</v>
      </c>
      <c r="T693">
        <v>117.6</v>
      </c>
      <c r="U693">
        <v>15.57</v>
      </c>
    </row>
    <row r="694" spans="1:21" x14ac:dyDescent="0.25">
      <c r="A694" t="s">
        <v>399</v>
      </c>
      <c r="B694" s="4" t="s">
        <v>94</v>
      </c>
      <c r="C694" s="1">
        <v>5</v>
      </c>
      <c r="D694">
        <v>120</v>
      </c>
      <c r="E694">
        <v>3</v>
      </c>
      <c r="F694" t="s">
        <v>20</v>
      </c>
      <c r="G694">
        <v>116</v>
      </c>
      <c r="H694">
        <f t="shared" ref="H694:I694" si="2757">H692</f>
        <v>108.66666666666667</v>
      </c>
      <c r="I694">
        <f t="shared" si="2757"/>
        <v>5.2493385826745405</v>
      </c>
      <c r="J694">
        <v>3</v>
      </c>
      <c r="K694">
        <f t="shared" ref="K694:L694" si="2758">K692</f>
        <v>2</v>
      </c>
      <c r="L694">
        <f t="shared" si="2758"/>
        <v>0.81649658092772603</v>
      </c>
      <c r="M694">
        <v>118</v>
      </c>
      <c r="N694">
        <f t="shared" ref="N694:O694" si="2759">N692</f>
        <v>115</v>
      </c>
      <c r="O694">
        <f t="shared" si="2759"/>
        <v>5.715476066494082</v>
      </c>
      <c r="P694">
        <v>186</v>
      </c>
      <c r="Q694">
        <v>0.45</v>
      </c>
      <c r="R694">
        <v>83.7</v>
      </c>
      <c r="S694">
        <v>0.55000000000000004</v>
      </c>
      <c r="T694">
        <v>102.30000000000001</v>
      </c>
      <c r="U694" t="s">
        <v>20</v>
      </c>
    </row>
    <row r="695" spans="1:21" x14ac:dyDescent="0.25">
      <c r="A695" t="s">
        <v>400</v>
      </c>
      <c r="B695" s="4" t="s">
        <v>94</v>
      </c>
      <c r="C695" s="1">
        <v>5</v>
      </c>
      <c r="D695">
        <v>120</v>
      </c>
      <c r="E695">
        <v>1</v>
      </c>
      <c r="F695">
        <v>12</v>
      </c>
      <c r="G695">
        <v>100</v>
      </c>
      <c r="H695">
        <f t="shared" ref="H695" si="2760">AVERAGE(G695:G697)</f>
        <v>101</v>
      </c>
      <c r="I695">
        <f t="shared" ref="I695" si="2761">_xlfn.STDEV.P(G695:G697)</f>
        <v>1.4142135623730951</v>
      </c>
      <c r="J695">
        <v>0</v>
      </c>
      <c r="K695">
        <f t="shared" ref="K695" si="2762">AVERAGE(J695:J697)</f>
        <v>0.33333333333333331</v>
      </c>
      <c r="L695">
        <f t="shared" ref="L695" si="2763">_xlfn.STDEV.P(J695:J697)</f>
        <v>0.47140452079103168</v>
      </c>
      <c r="M695">
        <v>108</v>
      </c>
      <c r="N695">
        <f t="shared" ref="N695" si="2764">AVERAGE(M695:M697)</f>
        <v>102.66666666666667</v>
      </c>
      <c r="O695">
        <f t="shared" ref="O695" si="2765">_xlfn.STDEV.P(M695:M697)</f>
        <v>5.5577773335110221</v>
      </c>
      <c r="P695">
        <v>153</v>
      </c>
      <c r="Q695">
        <v>0.56999999999999995</v>
      </c>
      <c r="R695">
        <v>87.21</v>
      </c>
      <c r="S695">
        <v>0.73</v>
      </c>
      <c r="T695">
        <v>111.69</v>
      </c>
      <c r="U695">
        <v>16.12</v>
      </c>
    </row>
    <row r="696" spans="1:21" x14ac:dyDescent="0.25">
      <c r="A696" t="s">
        <v>400</v>
      </c>
      <c r="B696" s="4" t="s">
        <v>94</v>
      </c>
      <c r="C696" s="1">
        <v>5</v>
      </c>
      <c r="D696">
        <v>120</v>
      </c>
      <c r="E696">
        <v>2</v>
      </c>
      <c r="F696" t="s">
        <v>20</v>
      </c>
      <c r="G696">
        <v>100</v>
      </c>
      <c r="H696">
        <f t="shared" ref="H696:I696" si="2766">H695</f>
        <v>101</v>
      </c>
      <c r="I696">
        <f t="shared" si="2766"/>
        <v>1.4142135623730951</v>
      </c>
      <c r="J696">
        <v>0</v>
      </c>
      <c r="K696">
        <f t="shared" ref="K696:L696" si="2767">K695</f>
        <v>0.33333333333333331</v>
      </c>
      <c r="L696">
        <f t="shared" si="2767"/>
        <v>0.47140452079103168</v>
      </c>
      <c r="M696">
        <v>105</v>
      </c>
      <c r="N696">
        <f t="shared" ref="N696:O696" si="2768">N695</f>
        <v>102.66666666666667</v>
      </c>
      <c r="O696">
        <f t="shared" si="2768"/>
        <v>5.5577773335110221</v>
      </c>
      <c r="P696">
        <v>155</v>
      </c>
      <c r="Q696">
        <v>0.64</v>
      </c>
      <c r="R696">
        <v>99.2</v>
      </c>
      <c r="S696">
        <v>0.68</v>
      </c>
      <c r="T696">
        <v>105.4</v>
      </c>
      <c r="U696">
        <v>15.42</v>
      </c>
    </row>
    <row r="697" spans="1:21" x14ac:dyDescent="0.25">
      <c r="A697" t="s">
        <v>400</v>
      </c>
      <c r="B697" s="4" t="s">
        <v>94</v>
      </c>
      <c r="C697" s="1">
        <v>5</v>
      </c>
      <c r="D697">
        <v>120</v>
      </c>
      <c r="E697">
        <v>3</v>
      </c>
      <c r="F697" t="s">
        <v>20</v>
      </c>
      <c r="G697">
        <v>103</v>
      </c>
      <c r="H697">
        <f t="shared" ref="H697:I697" si="2769">H695</f>
        <v>101</v>
      </c>
      <c r="I697">
        <f t="shared" si="2769"/>
        <v>1.4142135623730951</v>
      </c>
      <c r="J697">
        <v>1</v>
      </c>
      <c r="K697">
        <f t="shared" ref="K697:L697" si="2770">K695</f>
        <v>0.33333333333333331</v>
      </c>
      <c r="L697">
        <f t="shared" si="2770"/>
        <v>0.47140452079103168</v>
      </c>
      <c r="M697">
        <v>95</v>
      </c>
      <c r="N697">
        <f t="shared" ref="N697:O697" si="2771">N695</f>
        <v>102.66666666666667</v>
      </c>
      <c r="O697">
        <f t="shared" si="2771"/>
        <v>5.5577773335110221</v>
      </c>
      <c r="P697">
        <v>167</v>
      </c>
      <c r="Q697">
        <v>0.64</v>
      </c>
      <c r="R697">
        <v>106.88</v>
      </c>
      <c r="S697">
        <v>0.68</v>
      </c>
      <c r="T697">
        <v>113.56</v>
      </c>
      <c r="U697">
        <v>15.71</v>
      </c>
    </row>
    <row r="698" spans="1:21" x14ac:dyDescent="0.25">
      <c r="A698" t="s">
        <v>401</v>
      </c>
      <c r="B698" s="4" t="s">
        <v>94</v>
      </c>
      <c r="C698" s="1">
        <v>4</v>
      </c>
      <c r="D698">
        <v>120</v>
      </c>
      <c r="E698">
        <v>1</v>
      </c>
      <c r="F698">
        <v>44</v>
      </c>
      <c r="G698">
        <v>101</v>
      </c>
      <c r="H698">
        <f t="shared" ref="H698" si="2772">AVERAGE(G698:G700)</f>
        <v>98</v>
      </c>
      <c r="I698">
        <f t="shared" ref="I698" si="2773">_xlfn.STDEV.P(G698:G700)</f>
        <v>3.5590260840104371</v>
      </c>
      <c r="J698">
        <v>0</v>
      </c>
      <c r="K698">
        <f t="shared" ref="K698" si="2774">AVERAGE(J698:J700)</f>
        <v>0.33333333333333331</v>
      </c>
      <c r="L698">
        <f t="shared" ref="L698" si="2775">_xlfn.STDEV.P(J698:J700)</f>
        <v>0.47140452079103168</v>
      </c>
      <c r="M698">
        <v>103</v>
      </c>
      <c r="N698">
        <f t="shared" ref="N698" si="2776">AVERAGE(M698:M700)</f>
        <v>104</v>
      </c>
      <c r="O698">
        <f t="shared" ref="O698" si="2777">_xlfn.STDEV.P(M698:M700)</f>
        <v>4.5460605656619517</v>
      </c>
      <c r="P698">
        <v>159</v>
      </c>
      <c r="Q698">
        <v>0.7</v>
      </c>
      <c r="R698">
        <v>111.3</v>
      </c>
      <c r="S698">
        <v>0.7</v>
      </c>
      <c r="T698">
        <v>111.3</v>
      </c>
      <c r="U698">
        <v>14.57</v>
      </c>
    </row>
    <row r="699" spans="1:21" x14ac:dyDescent="0.25">
      <c r="A699" t="s">
        <v>401</v>
      </c>
      <c r="B699" s="4" t="s">
        <v>94</v>
      </c>
      <c r="C699" s="1">
        <v>4</v>
      </c>
      <c r="D699">
        <v>120</v>
      </c>
      <c r="E699">
        <v>2</v>
      </c>
      <c r="F699">
        <v>24</v>
      </c>
      <c r="G699">
        <v>100</v>
      </c>
      <c r="H699">
        <f t="shared" ref="H699:I699" si="2778">H698</f>
        <v>98</v>
      </c>
      <c r="I699">
        <f t="shared" si="2778"/>
        <v>3.5590260840104371</v>
      </c>
      <c r="J699">
        <v>1</v>
      </c>
      <c r="K699">
        <f t="shared" ref="K699:L699" si="2779">K698</f>
        <v>0.33333333333333331</v>
      </c>
      <c r="L699">
        <f t="shared" si="2779"/>
        <v>0.47140452079103168</v>
      </c>
      <c r="M699">
        <v>99</v>
      </c>
      <c r="N699">
        <f t="shared" ref="N699:O699" si="2780">N698</f>
        <v>104</v>
      </c>
      <c r="O699">
        <f t="shared" si="2780"/>
        <v>4.5460605656619517</v>
      </c>
      <c r="P699">
        <v>150</v>
      </c>
      <c r="Q699">
        <v>0.74</v>
      </c>
      <c r="R699">
        <v>111</v>
      </c>
      <c r="S699">
        <v>0.61</v>
      </c>
      <c r="T699">
        <v>91.5</v>
      </c>
      <c r="U699">
        <v>13.27</v>
      </c>
    </row>
    <row r="700" spans="1:21" x14ac:dyDescent="0.25">
      <c r="A700" t="s">
        <v>401</v>
      </c>
      <c r="B700" s="4" t="s">
        <v>94</v>
      </c>
      <c r="C700" s="1">
        <v>4</v>
      </c>
      <c r="D700">
        <v>120</v>
      </c>
      <c r="E700">
        <v>3</v>
      </c>
      <c r="F700">
        <v>10</v>
      </c>
      <c r="G700">
        <v>93</v>
      </c>
      <c r="H700">
        <f t="shared" ref="H700:I700" si="2781">H698</f>
        <v>98</v>
      </c>
      <c r="I700">
        <f t="shared" si="2781"/>
        <v>3.5590260840104371</v>
      </c>
      <c r="J700">
        <v>0</v>
      </c>
      <c r="K700">
        <f t="shared" ref="K700:L700" si="2782">K698</f>
        <v>0.33333333333333331</v>
      </c>
      <c r="L700">
        <f t="shared" si="2782"/>
        <v>0.47140452079103168</v>
      </c>
      <c r="M700">
        <v>110</v>
      </c>
      <c r="N700">
        <f t="shared" ref="N700:O700" si="2783">N698</f>
        <v>104</v>
      </c>
      <c r="O700">
        <f t="shared" si="2783"/>
        <v>4.5460605656619517</v>
      </c>
      <c r="P700">
        <v>147</v>
      </c>
      <c r="Q700">
        <v>0.74</v>
      </c>
      <c r="R700">
        <v>108.78</v>
      </c>
      <c r="S700">
        <v>0.74</v>
      </c>
      <c r="T700">
        <v>108.78</v>
      </c>
      <c r="U700">
        <v>16.989999999999998</v>
      </c>
    </row>
    <row r="701" spans="1:21" x14ac:dyDescent="0.25">
      <c r="A701" t="s">
        <v>402</v>
      </c>
      <c r="B701" s="4" t="s">
        <v>14</v>
      </c>
      <c r="C701" s="1">
        <v>1</v>
      </c>
      <c r="D701">
        <v>120</v>
      </c>
      <c r="E701">
        <v>1</v>
      </c>
      <c r="F701">
        <v>58</v>
      </c>
      <c r="G701">
        <v>125</v>
      </c>
      <c r="H701">
        <f t="shared" ref="H701" si="2784">AVERAGE(G701:G703)</f>
        <v>126.66666666666667</v>
      </c>
      <c r="I701">
        <f t="shared" ref="I701" si="2785">_xlfn.STDEV.P(G701:G703)</f>
        <v>8.6538366571647796</v>
      </c>
      <c r="J701">
        <v>4</v>
      </c>
      <c r="K701">
        <f t="shared" ref="K701" si="2786">AVERAGE(J701:J703)</f>
        <v>4.666666666666667</v>
      </c>
      <c r="L701">
        <f t="shared" ref="L701" si="2787">_xlfn.STDEV.P(J701:J703)</f>
        <v>0.47140452079103168</v>
      </c>
      <c r="M701">
        <v>108</v>
      </c>
      <c r="N701">
        <f t="shared" ref="N701" si="2788">AVERAGE(M701:M703)</f>
        <v>97.666666666666671</v>
      </c>
      <c r="O701">
        <f t="shared" ref="O701" si="2789">_xlfn.STDEV.P(M701:M703)</f>
        <v>7.3181661333667165</v>
      </c>
      <c r="P701">
        <v>183</v>
      </c>
      <c r="Q701">
        <v>0.67</v>
      </c>
      <c r="R701">
        <v>122.61000000000001</v>
      </c>
      <c r="S701">
        <v>0.74</v>
      </c>
      <c r="T701">
        <v>135.41999999999999</v>
      </c>
      <c r="U701">
        <v>17.690000000000001</v>
      </c>
    </row>
    <row r="702" spans="1:21" x14ac:dyDescent="0.25">
      <c r="A702" t="s">
        <v>402</v>
      </c>
      <c r="B702" s="4" t="s">
        <v>14</v>
      </c>
      <c r="C702" s="1">
        <v>1</v>
      </c>
      <c r="D702">
        <v>120</v>
      </c>
      <c r="E702">
        <v>2</v>
      </c>
      <c r="F702" t="s">
        <v>20</v>
      </c>
      <c r="G702">
        <v>138</v>
      </c>
      <c r="H702">
        <f t="shared" ref="H702:I702" si="2790">H701</f>
        <v>126.66666666666667</v>
      </c>
      <c r="I702">
        <f t="shared" si="2790"/>
        <v>8.6538366571647796</v>
      </c>
      <c r="J702">
        <v>5</v>
      </c>
      <c r="K702">
        <f t="shared" ref="K702:L702" si="2791">K701</f>
        <v>4.666666666666667</v>
      </c>
      <c r="L702">
        <f t="shared" si="2791"/>
        <v>0.47140452079103168</v>
      </c>
      <c r="M702">
        <v>92</v>
      </c>
      <c r="N702">
        <f t="shared" ref="N702:O702" si="2792">N701</f>
        <v>97.666666666666671</v>
      </c>
      <c r="O702">
        <f t="shared" si="2792"/>
        <v>7.3181661333667165</v>
      </c>
      <c r="P702">
        <v>181</v>
      </c>
      <c r="Q702">
        <v>0.7</v>
      </c>
      <c r="R702">
        <v>126.69999999999999</v>
      </c>
      <c r="S702">
        <v>0.72</v>
      </c>
      <c r="T702">
        <v>130.32</v>
      </c>
      <c r="U702">
        <v>17.95</v>
      </c>
    </row>
    <row r="703" spans="1:21" x14ac:dyDescent="0.25">
      <c r="A703" t="s">
        <v>402</v>
      </c>
      <c r="B703" s="4" t="s">
        <v>14</v>
      </c>
      <c r="C703" s="1">
        <v>1</v>
      </c>
      <c r="D703">
        <v>120</v>
      </c>
      <c r="E703">
        <v>3</v>
      </c>
      <c r="F703" t="s">
        <v>20</v>
      </c>
      <c r="G703">
        <v>117</v>
      </c>
      <c r="H703">
        <f t="shared" ref="H703:I703" si="2793">H701</f>
        <v>126.66666666666667</v>
      </c>
      <c r="I703">
        <f t="shared" si="2793"/>
        <v>8.6538366571647796</v>
      </c>
      <c r="J703">
        <v>5</v>
      </c>
      <c r="K703">
        <f t="shared" ref="K703:L703" si="2794">K701</f>
        <v>4.666666666666667</v>
      </c>
      <c r="L703">
        <f t="shared" si="2794"/>
        <v>0.47140452079103168</v>
      </c>
      <c r="M703">
        <v>93</v>
      </c>
      <c r="N703">
        <f t="shared" ref="N703:O703" si="2795">N701</f>
        <v>97.666666666666671</v>
      </c>
      <c r="O703">
        <f t="shared" si="2795"/>
        <v>7.3181661333667165</v>
      </c>
      <c r="P703">
        <v>181</v>
      </c>
      <c r="Q703">
        <v>0.67</v>
      </c>
      <c r="R703">
        <v>121.27000000000001</v>
      </c>
      <c r="S703">
        <v>0.73</v>
      </c>
      <c r="T703">
        <v>132.13</v>
      </c>
      <c r="U703" t="s">
        <v>20</v>
      </c>
    </row>
    <row r="704" spans="1:21" x14ac:dyDescent="0.25">
      <c r="A704" t="s">
        <v>403</v>
      </c>
      <c r="B704" s="4" t="s">
        <v>94</v>
      </c>
      <c r="C704" s="1">
        <v>5</v>
      </c>
      <c r="D704">
        <v>120</v>
      </c>
      <c r="E704">
        <v>1</v>
      </c>
      <c r="F704">
        <v>36</v>
      </c>
      <c r="G704">
        <v>110</v>
      </c>
      <c r="H704">
        <f t="shared" ref="H704" si="2796">AVERAGE(G704:G706)</f>
        <v>109.33333333333333</v>
      </c>
      <c r="I704">
        <f t="shared" ref="I704" si="2797">_xlfn.STDEV.P(G704:G706)</f>
        <v>0.47140452079103168</v>
      </c>
      <c r="J704">
        <v>1</v>
      </c>
      <c r="K704">
        <f t="shared" ref="K704" si="2798">AVERAGE(J704:J706)</f>
        <v>1.3333333333333333</v>
      </c>
      <c r="L704">
        <f t="shared" ref="L704" si="2799">_xlfn.STDEV.P(J704:J706)</f>
        <v>0.47140452079103168</v>
      </c>
      <c r="M704">
        <v>102</v>
      </c>
      <c r="N704">
        <f t="shared" ref="N704" si="2800">AVERAGE(M704:M706)</f>
        <v>105.33333333333333</v>
      </c>
      <c r="O704">
        <f t="shared" ref="O704" si="2801">_xlfn.STDEV.P(M704:M706)</f>
        <v>3.39934634239519</v>
      </c>
      <c r="P704">
        <v>162</v>
      </c>
      <c r="Q704">
        <v>0.69</v>
      </c>
      <c r="R704" t="s">
        <v>20</v>
      </c>
      <c r="S704">
        <v>0.71</v>
      </c>
      <c r="T704" t="s">
        <v>20</v>
      </c>
      <c r="U704">
        <v>17.11</v>
      </c>
    </row>
    <row r="705" spans="1:21" x14ac:dyDescent="0.25">
      <c r="A705" t="s">
        <v>403</v>
      </c>
      <c r="B705" s="4" t="s">
        <v>94</v>
      </c>
      <c r="C705" s="1">
        <v>5</v>
      </c>
      <c r="D705">
        <v>120</v>
      </c>
      <c r="E705">
        <v>2</v>
      </c>
      <c r="F705">
        <v>44</v>
      </c>
      <c r="G705">
        <v>109</v>
      </c>
      <c r="H705">
        <f t="shared" ref="H705:I705" si="2802">H704</f>
        <v>109.33333333333333</v>
      </c>
      <c r="I705">
        <f t="shared" si="2802"/>
        <v>0.47140452079103168</v>
      </c>
      <c r="J705">
        <v>1</v>
      </c>
      <c r="K705">
        <f t="shared" ref="K705:L705" si="2803">K704</f>
        <v>1.3333333333333333</v>
      </c>
      <c r="L705">
        <f t="shared" si="2803"/>
        <v>0.47140452079103168</v>
      </c>
      <c r="M705">
        <v>104</v>
      </c>
      <c r="N705">
        <f t="shared" ref="N705:O705" si="2804">N704</f>
        <v>105.33333333333333</v>
      </c>
      <c r="O705">
        <f t="shared" si="2804"/>
        <v>3.39934634239519</v>
      </c>
      <c r="Q705">
        <v>0.67</v>
      </c>
      <c r="R705" t="s">
        <v>20</v>
      </c>
      <c r="S705">
        <v>0.56999999999999995</v>
      </c>
      <c r="T705" t="s">
        <v>20</v>
      </c>
      <c r="U705">
        <v>16.18</v>
      </c>
    </row>
    <row r="706" spans="1:21" x14ac:dyDescent="0.25">
      <c r="A706" t="s">
        <v>403</v>
      </c>
      <c r="B706" s="4" t="s">
        <v>94</v>
      </c>
      <c r="C706" s="1">
        <v>5</v>
      </c>
      <c r="D706">
        <v>120</v>
      </c>
      <c r="E706">
        <v>3</v>
      </c>
      <c r="F706" t="s">
        <v>20</v>
      </c>
      <c r="G706">
        <v>109</v>
      </c>
      <c r="H706">
        <f t="shared" ref="H706:I706" si="2805">H704</f>
        <v>109.33333333333333</v>
      </c>
      <c r="I706">
        <f t="shared" si="2805"/>
        <v>0.47140452079103168</v>
      </c>
      <c r="J706">
        <v>2</v>
      </c>
      <c r="K706">
        <f t="shared" ref="K706:L706" si="2806">K704</f>
        <v>1.3333333333333333</v>
      </c>
      <c r="L706">
        <f t="shared" si="2806"/>
        <v>0.47140452079103168</v>
      </c>
      <c r="M706">
        <v>110</v>
      </c>
      <c r="N706">
        <f t="shared" ref="N706:O706" si="2807">N704</f>
        <v>105.33333333333333</v>
      </c>
      <c r="O706">
        <f t="shared" si="2807"/>
        <v>3.39934634239519</v>
      </c>
      <c r="P706">
        <v>186</v>
      </c>
      <c r="Q706">
        <v>0.56999999999999995</v>
      </c>
      <c r="R706" t="s">
        <v>20</v>
      </c>
      <c r="S706">
        <v>0.53</v>
      </c>
      <c r="T706" t="s">
        <v>20</v>
      </c>
      <c r="U706">
        <v>17.57</v>
      </c>
    </row>
    <row r="707" spans="1:21" x14ac:dyDescent="0.25">
      <c r="A707" t="s">
        <v>404</v>
      </c>
      <c r="B707" s="4" t="s">
        <v>94</v>
      </c>
      <c r="C707" s="1">
        <v>4</v>
      </c>
      <c r="D707">
        <v>120</v>
      </c>
      <c r="E707">
        <v>1</v>
      </c>
      <c r="F707">
        <v>32</v>
      </c>
      <c r="G707">
        <v>101</v>
      </c>
      <c r="H707">
        <f t="shared" ref="H707" si="2808">AVERAGE(G707:G709)</f>
        <v>98.333333333333329</v>
      </c>
      <c r="I707">
        <f t="shared" ref="I707" si="2809">_xlfn.STDEV.P(G707:G709)</f>
        <v>6.0184900284225966</v>
      </c>
      <c r="J707">
        <v>2</v>
      </c>
      <c r="K707">
        <f t="shared" ref="K707" si="2810">AVERAGE(J707:J709)</f>
        <v>2.3333333333333335</v>
      </c>
      <c r="L707">
        <f t="shared" ref="L707" si="2811">_xlfn.STDEV.P(J707:J709)</f>
        <v>0.47140452079103168</v>
      </c>
      <c r="M707">
        <v>100</v>
      </c>
      <c r="N707">
        <f t="shared" ref="N707" si="2812">AVERAGE(M707:M709)</f>
        <v>101.33333333333333</v>
      </c>
      <c r="O707">
        <f t="shared" ref="O707" si="2813">_xlfn.STDEV.P(M707:M709)</f>
        <v>6.5996632910744442</v>
      </c>
      <c r="P707">
        <v>159</v>
      </c>
      <c r="Q707">
        <v>0.72</v>
      </c>
      <c r="R707">
        <v>114.47999999999999</v>
      </c>
      <c r="S707">
        <v>0.63</v>
      </c>
      <c r="T707">
        <v>100.17</v>
      </c>
      <c r="U707">
        <v>15.02</v>
      </c>
    </row>
    <row r="708" spans="1:21" x14ac:dyDescent="0.25">
      <c r="A708" t="s">
        <v>404</v>
      </c>
      <c r="B708" s="4" t="s">
        <v>94</v>
      </c>
      <c r="C708" s="1">
        <v>4</v>
      </c>
      <c r="D708">
        <v>120</v>
      </c>
      <c r="E708">
        <v>2</v>
      </c>
      <c r="F708">
        <v>30</v>
      </c>
      <c r="G708">
        <v>90</v>
      </c>
      <c r="H708">
        <f t="shared" ref="H708:I708" si="2814">H707</f>
        <v>98.333333333333329</v>
      </c>
      <c r="I708">
        <f t="shared" si="2814"/>
        <v>6.0184900284225966</v>
      </c>
      <c r="J708">
        <v>2</v>
      </c>
      <c r="K708">
        <f t="shared" ref="K708:L708" si="2815">K707</f>
        <v>2.3333333333333335</v>
      </c>
      <c r="L708">
        <f t="shared" si="2815"/>
        <v>0.47140452079103168</v>
      </c>
      <c r="M708">
        <v>94</v>
      </c>
      <c r="N708">
        <f t="shared" ref="N708:O708" si="2816">N707</f>
        <v>101.33333333333333</v>
      </c>
      <c r="O708">
        <f t="shared" si="2816"/>
        <v>6.5996632910744442</v>
      </c>
      <c r="P708">
        <v>138</v>
      </c>
      <c r="Q708">
        <v>0.74</v>
      </c>
      <c r="R708">
        <v>102.12</v>
      </c>
      <c r="S708">
        <v>0.8</v>
      </c>
      <c r="T708">
        <v>110.4</v>
      </c>
      <c r="U708">
        <v>14.01</v>
      </c>
    </row>
    <row r="709" spans="1:21" x14ac:dyDescent="0.25">
      <c r="A709" t="s">
        <v>404</v>
      </c>
      <c r="B709" s="4" t="s">
        <v>94</v>
      </c>
      <c r="C709" s="1">
        <v>4</v>
      </c>
      <c r="D709">
        <v>120</v>
      </c>
      <c r="E709">
        <v>3</v>
      </c>
      <c r="F709" t="s">
        <v>20</v>
      </c>
      <c r="G709">
        <v>104</v>
      </c>
      <c r="H709">
        <f t="shared" ref="H709:I709" si="2817">H707</f>
        <v>98.333333333333329</v>
      </c>
      <c r="I709">
        <f t="shared" si="2817"/>
        <v>6.0184900284225966</v>
      </c>
      <c r="J709">
        <v>3</v>
      </c>
      <c r="K709">
        <f t="shared" ref="K709:L709" si="2818">K707</f>
        <v>2.3333333333333335</v>
      </c>
      <c r="L709">
        <f t="shared" si="2818"/>
        <v>0.47140452079103168</v>
      </c>
      <c r="M709">
        <v>110</v>
      </c>
      <c r="N709">
        <f t="shared" ref="N709:O709" si="2819">N707</f>
        <v>101.33333333333333</v>
      </c>
      <c r="O709">
        <f t="shared" si="2819"/>
        <v>6.5996632910744442</v>
      </c>
      <c r="P709">
        <v>162</v>
      </c>
      <c r="Q709">
        <v>0.66</v>
      </c>
      <c r="R709">
        <v>106.92</v>
      </c>
      <c r="S709">
        <v>0.61</v>
      </c>
      <c r="T709">
        <v>98.82</v>
      </c>
      <c r="U709">
        <v>15.64</v>
      </c>
    </row>
    <row r="710" spans="1:21" x14ac:dyDescent="0.25">
      <c r="A710" t="s">
        <v>405</v>
      </c>
      <c r="B710" s="4" t="s">
        <v>94</v>
      </c>
      <c r="C710" s="1">
        <v>5</v>
      </c>
      <c r="D710">
        <v>120</v>
      </c>
      <c r="E710">
        <v>1</v>
      </c>
      <c r="F710">
        <v>24</v>
      </c>
      <c r="G710">
        <v>99</v>
      </c>
      <c r="H710">
        <f t="shared" ref="H710" si="2820">AVERAGE(G710:G712)</f>
        <v>99.666666666666671</v>
      </c>
      <c r="I710">
        <f t="shared" ref="I710" si="2821">_xlfn.STDEV.P(G710:G712)</f>
        <v>0.94280904158206336</v>
      </c>
      <c r="J710">
        <v>4</v>
      </c>
      <c r="K710">
        <f t="shared" ref="K710" si="2822">AVERAGE(J710:J712)</f>
        <v>4</v>
      </c>
      <c r="L710">
        <f t="shared" ref="L710" si="2823">_xlfn.STDEV.P(J710:J712)</f>
        <v>0.81649658092772603</v>
      </c>
      <c r="M710">
        <v>82</v>
      </c>
      <c r="N710">
        <f t="shared" ref="N710" si="2824">AVERAGE(M710:M712)</f>
        <v>86.666666666666671</v>
      </c>
      <c r="O710">
        <f t="shared" ref="O710" si="2825">_xlfn.STDEV.P(M710:M712)</f>
        <v>3.6817870057290869</v>
      </c>
      <c r="P710">
        <v>149</v>
      </c>
      <c r="Q710">
        <v>0.65</v>
      </c>
      <c r="R710">
        <v>96.850000000000009</v>
      </c>
      <c r="S710">
        <v>0.66</v>
      </c>
      <c r="T710">
        <v>98.34</v>
      </c>
      <c r="U710">
        <v>14.3</v>
      </c>
    </row>
    <row r="711" spans="1:21" x14ac:dyDescent="0.25">
      <c r="A711" t="s">
        <v>405</v>
      </c>
      <c r="B711" s="4" t="s">
        <v>94</v>
      </c>
      <c r="C711" s="1">
        <v>5</v>
      </c>
      <c r="D711">
        <v>120</v>
      </c>
      <c r="E711">
        <v>2</v>
      </c>
      <c r="F711">
        <v>26</v>
      </c>
      <c r="G711">
        <v>99</v>
      </c>
      <c r="H711">
        <f t="shared" ref="H711:I711" si="2826">H710</f>
        <v>99.666666666666671</v>
      </c>
      <c r="I711">
        <f t="shared" si="2826"/>
        <v>0.94280904158206336</v>
      </c>
      <c r="J711">
        <v>5</v>
      </c>
      <c r="K711">
        <f t="shared" ref="K711:L711" si="2827">K710</f>
        <v>4</v>
      </c>
      <c r="L711">
        <f t="shared" si="2827"/>
        <v>0.81649658092772603</v>
      </c>
      <c r="M711">
        <v>87</v>
      </c>
      <c r="N711">
        <f t="shared" ref="N711:O711" si="2828">N710</f>
        <v>86.666666666666671</v>
      </c>
      <c r="O711">
        <f t="shared" si="2828"/>
        <v>3.6817870057290869</v>
      </c>
      <c r="P711">
        <v>155</v>
      </c>
      <c r="Q711">
        <v>0.52</v>
      </c>
      <c r="R711">
        <v>80.600000000000009</v>
      </c>
      <c r="S711">
        <v>0.56999999999999995</v>
      </c>
      <c r="T711">
        <v>88.35</v>
      </c>
      <c r="U711">
        <v>13.69</v>
      </c>
    </row>
    <row r="712" spans="1:21" x14ac:dyDescent="0.25">
      <c r="A712" t="s">
        <v>405</v>
      </c>
      <c r="B712" s="4" t="s">
        <v>94</v>
      </c>
      <c r="C712" s="1">
        <v>5</v>
      </c>
      <c r="D712">
        <v>120</v>
      </c>
      <c r="E712">
        <v>3</v>
      </c>
      <c r="F712">
        <v>44</v>
      </c>
      <c r="G712">
        <v>101</v>
      </c>
      <c r="H712">
        <f t="shared" ref="H712:I712" si="2829">H710</f>
        <v>99.666666666666671</v>
      </c>
      <c r="I712">
        <f t="shared" si="2829"/>
        <v>0.94280904158206336</v>
      </c>
      <c r="J712">
        <v>3</v>
      </c>
      <c r="K712">
        <f t="shared" ref="K712:L712" si="2830">K710</f>
        <v>4</v>
      </c>
      <c r="L712">
        <f t="shared" si="2830"/>
        <v>0.81649658092772603</v>
      </c>
      <c r="M712">
        <v>91</v>
      </c>
      <c r="N712">
        <f t="shared" ref="N712:O712" si="2831">N710</f>
        <v>86.666666666666671</v>
      </c>
      <c r="O712">
        <f t="shared" si="2831"/>
        <v>3.6817870057290869</v>
      </c>
      <c r="P712">
        <v>155</v>
      </c>
      <c r="Q712">
        <v>0.71</v>
      </c>
      <c r="R712">
        <v>110.05</v>
      </c>
      <c r="S712">
        <v>0.64</v>
      </c>
      <c r="T712">
        <v>99.2</v>
      </c>
      <c r="U712">
        <v>17.010000000000002</v>
      </c>
    </row>
    <row r="713" spans="1:21" x14ac:dyDescent="0.25">
      <c r="A713" t="s">
        <v>406</v>
      </c>
      <c r="B713" s="4" t="s">
        <v>94</v>
      </c>
      <c r="C713" s="1">
        <v>5</v>
      </c>
      <c r="D713">
        <v>120</v>
      </c>
      <c r="E713">
        <v>1</v>
      </c>
      <c r="F713">
        <v>30</v>
      </c>
      <c r="G713">
        <v>107</v>
      </c>
      <c r="H713">
        <f t="shared" ref="H713" si="2832">AVERAGE(G713:G715)</f>
        <v>109</v>
      </c>
      <c r="I713">
        <f t="shared" ref="I713" si="2833">_xlfn.STDEV.P(G713:G715)</f>
        <v>5.0990195135927845</v>
      </c>
      <c r="J713">
        <v>5</v>
      </c>
      <c r="K713">
        <f t="shared" ref="K713" si="2834">AVERAGE(J713:J715)</f>
        <v>5.333333333333333</v>
      </c>
      <c r="L713">
        <f t="shared" ref="L713" si="2835">_xlfn.STDEV.P(J713:J715)</f>
        <v>0.47140452079103168</v>
      </c>
      <c r="M713">
        <v>85</v>
      </c>
      <c r="N713">
        <f t="shared" ref="N713" si="2836">AVERAGE(M713:M715)</f>
        <v>92</v>
      </c>
      <c r="O713">
        <f t="shared" ref="O713" si="2837">_xlfn.STDEV.P(M713:M715)</f>
        <v>6.164414002968976</v>
      </c>
      <c r="P713">
        <v>162</v>
      </c>
      <c r="Q713">
        <v>0.66</v>
      </c>
      <c r="R713">
        <v>106.92</v>
      </c>
      <c r="S713">
        <v>0.7</v>
      </c>
      <c r="T713">
        <v>113.39999999999999</v>
      </c>
      <c r="U713">
        <v>18.68</v>
      </c>
    </row>
    <row r="714" spans="1:21" x14ac:dyDescent="0.25">
      <c r="A714" t="s">
        <v>406</v>
      </c>
      <c r="B714" s="4" t="s">
        <v>94</v>
      </c>
      <c r="C714" s="1">
        <v>5</v>
      </c>
      <c r="D714">
        <v>120</v>
      </c>
      <c r="E714">
        <v>2</v>
      </c>
      <c r="F714">
        <v>38</v>
      </c>
      <c r="G714">
        <v>104</v>
      </c>
      <c r="H714">
        <f t="shared" ref="H714:I714" si="2838">H713</f>
        <v>109</v>
      </c>
      <c r="I714">
        <f t="shared" si="2838"/>
        <v>5.0990195135927845</v>
      </c>
      <c r="J714">
        <v>6</v>
      </c>
      <c r="K714">
        <f t="shared" ref="K714:L714" si="2839">K713</f>
        <v>5.333333333333333</v>
      </c>
      <c r="L714">
        <f t="shared" si="2839"/>
        <v>0.47140452079103168</v>
      </c>
      <c r="M714">
        <v>100</v>
      </c>
      <c r="N714">
        <f t="shared" ref="N714:O714" si="2840">N713</f>
        <v>92</v>
      </c>
      <c r="O714">
        <f t="shared" si="2840"/>
        <v>6.164414002968976</v>
      </c>
      <c r="P714">
        <v>159</v>
      </c>
      <c r="Q714">
        <v>0.67</v>
      </c>
      <c r="R714">
        <v>106.53</v>
      </c>
      <c r="S714">
        <v>0.53</v>
      </c>
      <c r="T714">
        <v>84.27000000000001</v>
      </c>
      <c r="U714">
        <v>17.89</v>
      </c>
    </row>
    <row r="715" spans="1:21" x14ac:dyDescent="0.25">
      <c r="A715" t="s">
        <v>406</v>
      </c>
      <c r="B715" s="4" t="s">
        <v>94</v>
      </c>
      <c r="C715" s="1">
        <v>5</v>
      </c>
      <c r="D715">
        <v>120</v>
      </c>
      <c r="E715">
        <v>3</v>
      </c>
      <c r="F715" t="s">
        <v>20</v>
      </c>
      <c r="G715">
        <v>116</v>
      </c>
      <c r="H715">
        <f t="shared" ref="H715:I715" si="2841">H713</f>
        <v>109</v>
      </c>
      <c r="I715">
        <f t="shared" si="2841"/>
        <v>5.0990195135927845</v>
      </c>
      <c r="J715">
        <v>5</v>
      </c>
      <c r="K715">
        <f t="shared" ref="K715:L715" si="2842">K713</f>
        <v>5.333333333333333</v>
      </c>
      <c r="L715">
        <f t="shared" si="2842"/>
        <v>0.47140452079103168</v>
      </c>
      <c r="M715">
        <v>91</v>
      </c>
      <c r="N715">
        <f t="shared" ref="N715:O715" si="2843">N713</f>
        <v>92</v>
      </c>
      <c r="O715">
        <f t="shared" si="2843"/>
        <v>6.164414002968976</v>
      </c>
      <c r="P715">
        <v>177</v>
      </c>
      <c r="Q715">
        <v>0.56000000000000005</v>
      </c>
      <c r="R715">
        <v>99.12</v>
      </c>
      <c r="S715">
        <v>0.64</v>
      </c>
      <c r="T715">
        <v>113.28</v>
      </c>
      <c r="U715">
        <v>18.739999999999998</v>
      </c>
    </row>
    <row r="716" spans="1:21" x14ac:dyDescent="0.25">
      <c r="A716" t="s">
        <v>407</v>
      </c>
      <c r="B716" s="4" t="s">
        <v>94</v>
      </c>
      <c r="C716" s="1">
        <v>5</v>
      </c>
      <c r="D716">
        <v>120</v>
      </c>
      <c r="E716">
        <v>1</v>
      </c>
      <c r="F716">
        <v>16</v>
      </c>
      <c r="G716">
        <v>100</v>
      </c>
      <c r="H716">
        <f t="shared" ref="H716" si="2844">AVERAGE(G716:G718)</f>
        <v>100</v>
      </c>
      <c r="I716">
        <f t="shared" ref="I716" si="2845">_xlfn.STDEV.P(G716:G718)</f>
        <v>0</v>
      </c>
      <c r="J716">
        <v>0</v>
      </c>
      <c r="K716">
        <f t="shared" ref="K716" si="2846">AVERAGE(J716:J718)</f>
        <v>0.33333333333333331</v>
      </c>
      <c r="L716">
        <f t="shared" ref="L716" si="2847">_xlfn.STDEV.P(J716:J718)</f>
        <v>0.47140452079103168</v>
      </c>
      <c r="M716">
        <v>92</v>
      </c>
      <c r="N716">
        <f t="shared" ref="N716" si="2848">AVERAGE(M716:M718)</f>
        <v>93.666666666666671</v>
      </c>
      <c r="O716">
        <f t="shared" ref="O716" si="2849">_xlfn.STDEV.P(M716:M718)</f>
        <v>1.699673171197595</v>
      </c>
      <c r="P716">
        <v>150</v>
      </c>
      <c r="Q716">
        <v>0.6</v>
      </c>
      <c r="R716">
        <v>90</v>
      </c>
      <c r="S716">
        <v>0.62</v>
      </c>
      <c r="T716">
        <v>93</v>
      </c>
      <c r="U716">
        <v>15.61</v>
      </c>
    </row>
    <row r="717" spans="1:21" x14ac:dyDescent="0.25">
      <c r="A717" t="s">
        <v>407</v>
      </c>
      <c r="B717" s="4" t="s">
        <v>94</v>
      </c>
      <c r="C717" s="1">
        <v>5</v>
      </c>
      <c r="D717">
        <v>120</v>
      </c>
      <c r="E717">
        <v>2</v>
      </c>
      <c r="F717">
        <v>40</v>
      </c>
      <c r="G717">
        <v>100</v>
      </c>
      <c r="H717">
        <f t="shared" ref="H717:I717" si="2850">H716</f>
        <v>100</v>
      </c>
      <c r="I717">
        <f t="shared" si="2850"/>
        <v>0</v>
      </c>
      <c r="J717">
        <v>1</v>
      </c>
      <c r="K717">
        <f t="shared" ref="K717:L717" si="2851">K716</f>
        <v>0.33333333333333331</v>
      </c>
      <c r="L717">
        <f t="shared" si="2851"/>
        <v>0.47140452079103168</v>
      </c>
      <c r="M717">
        <v>96</v>
      </c>
      <c r="N717">
        <f t="shared" ref="N717:O717" si="2852">N716</f>
        <v>93.666666666666671</v>
      </c>
      <c r="O717">
        <f t="shared" si="2852"/>
        <v>1.699673171197595</v>
      </c>
      <c r="P717">
        <v>149</v>
      </c>
      <c r="Q717">
        <v>0.54</v>
      </c>
      <c r="R717">
        <v>80.460000000000008</v>
      </c>
      <c r="S717">
        <v>0.56000000000000005</v>
      </c>
      <c r="T717">
        <v>83.440000000000012</v>
      </c>
      <c r="U717">
        <v>17.55</v>
      </c>
    </row>
    <row r="718" spans="1:21" x14ac:dyDescent="0.25">
      <c r="A718" t="s">
        <v>407</v>
      </c>
      <c r="B718" s="4" t="s">
        <v>94</v>
      </c>
      <c r="C718" s="1">
        <v>5</v>
      </c>
      <c r="D718">
        <v>120</v>
      </c>
      <c r="E718">
        <v>3</v>
      </c>
      <c r="F718">
        <v>34</v>
      </c>
      <c r="G718">
        <v>100</v>
      </c>
      <c r="H718">
        <f t="shared" ref="H718:I718" si="2853">H716</f>
        <v>100</v>
      </c>
      <c r="I718">
        <f t="shared" si="2853"/>
        <v>0</v>
      </c>
      <c r="J718">
        <v>0</v>
      </c>
      <c r="K718">
        <f t="shared" ref="K718:L718" si="2854">K716</f>
        <v>0.33333333333333331</v>
      </c>
      <c r="L718">
        <f t="shared" si="2854"/>
        <v>0.47140452079103168</v>
      </c>
      <c r="M718">
        <v>93</v>
      </c>
      <c r="N718">
        <f t="shared" ref="N718:O718" si="2855">N716</f>
        <v>93.666666666666671</v>
      </c>
      <c r="O718">
        <f t="shared" si="2855"/>
        <v>1.699673171197595</v>
      </c>
      <c r="P718">
        <v>150</v>
      </c>
      <c r="Q718">
        <v>0.56999999999999995</v>
      </c>
      <c r="R718">
        <v>85.499999999999986</v>
      </c>
      <c r="S718">
        <v>0.72</v>
      </c>
      <c r="T718">
        <v>108</v>
      </c>
      <c r="U718">
        <v>18.89</v>
      </c>
    </row>
    <row r="719" spans="1:21" x14ac:dyDescent="0.25">
      <c r="A719" t="s">
        <v>408</v>
      </c>
      <c r="B719" s="4" t="s">
        <v>94</v>
      </c>
      <c r="C719" s="1">
        <v>5</v>
      </c>
      <c r="D719">
        <v>120</v>
      </c>
      <c r="E719">
        <v>1</v>
      </c>
      <c r="F719">
        <v>22</v>
      </c>
      <c r="G719">
        <v>98</v>
      </c>
      <c r="H719">
        <f t="shared" ref="H719" si="2856">AVERAGE(G719:G721)</f>
        <v>99</v>
      </c>
      <c r="I719">
        <f t="shared" ref="I719" si="2857">_xlfn.STDEV.P(G719:G721)</f>
        <v>0.81649658092772603</v>
      </c>
      <c r="J719">
        <v>6</v>
      </c>
      <c r="K719">
        <f t="shared" ref="K719" si="2858">AVERAGE(J719:J721)</f>
        <v>5.333333333333333</v>
      </c>
      <c r="L719">
        <f t="shared" ref="L719" si="2859">_xlfn.STDEV.P(J719:J721)</f>
        <v>0.94280904158206336</v>
      </c>
      <c r="M719">
        <v>90</v>
      </c>
      <c r="N719">
        <f t="shared" ref="N719" si="2860">AVERAGE(M719:M721)</f>
        <v>93.333333333333329</v>
      </c>
      <c r="O719">
        <f t="shared" ref="O719" si="2861">_xlfn.STDEV.P(M719:M721)</f>
        <v>6.1824123303304699</v>
      </c>
      <c r="P719">
        <v>152</v>
      </c>
      <c r="Q719">
        <v>0.65</v>
      </c>
      <c r="R719">
        <v>98.8</v>
      </c>
      <c r="S719">
        <v>0.45</v>
      </c>
      <c r="T719">
        <v>68.400000000000006</v>
      </c>
      <c r="U719">
        <v>15.02</v>
      </c>
    </row>
    <row r="720" spans="1:21" x14ac:dyDescent="0.25">
      <c r="A720" t="s">
        <v>408</v>
      </c>
      <c r="B720" s="4" t="s">
        <v>94</v>
      </c>
      <c r="C720" s="1">
        <v>5</v>
      </c>
      <c r="D720">
        <v>120</v>
      </c>
      <c r="E720">
        <v>2</v>
      </c>
      <c r="F720" t="s">
        <v>20</v>
      </c>
      <c r="G720">
        <v>99</v>
      </c>
      <c r="H720">
        <f t="shared" ref="H720:I720" si="2862">H719</f>
        <v>99</v>
      </c>
      <c r="I720">
        <f t="shared" si="2862"/>
        <v>0.81649658092772603</v>
      </c>
      <c r="J720">
        <v>4</v>
      </c>
      <c r="K720">
        <f t="shared" ref="K720:L720" si="2863">K719</f>
        <v>5.333333333333333</v>
      </c>
      <c r="L720">
        <f t="shared" si="2863"/>
        <v>0.94280904158206336</v>
      </c>
      <c r="M720">
        <v>102</v>
      </c>
      <c r="N720">
        <f t="shared" ref="N720:O720" si="2864">N719</f>
        <v>93.333333333333329</v>
      </c>
      <c r="O720">
        <f t="shared" si="2864"/>
        <v>6.1824123303304699</v>
      </c>
      <c r="P720">
        <v>149</v>
      </c>
      <c r="Q720">
        <v>0.62</v>
      </c>
      <c r="R720">
        <v>92.38</v>
      </c>
      <c r="S720">
        <v>0.68</v>
      </c>
      <c r="T720">
        <v>101.32000000000001</v>
      </c>
      <c r="U720">
        <v>13.63</v>
      </c>
    </row>
    <row r="721" spans="1:21" x14ac:dyDescent="0.25">
      <c r="A721" t="s">
        <v>408</v>
      </c>
      <c r="B721" s="4" t="s">
        <v>94</v>
      </c>
      <c r="C721" s="1">
        <v>5</v>
      </c>
      <c r="D721">
        <v>120</v>
      </c>
      <c r="E721">
        <v>3</v>
      </c>
      <c r="F721" t="s">
        <v>20</v>
      </c>
      <c r="G721">
        <v>100</v>
      </c>
      <c r="H721">
        <f t="shared" ref="H721:I721" si="2865">H719</f>
        <v>99</v>
      </c>
      <c r="I721">
        <f t="shared" si="2865"/>
        <v>0.81649658092772603</v>
      </c>
      <c r="J721">
        <v>6</v>
      </c>
      <c r="K721">
        <f t="shared" ref="K721:L721" si="2866">K719</f>
        <v>5.333333333333333</v>
      </c>
      <c r="L721">
        <f t="shared" si="2866"/>
        <v>0.94280904158206336</v>
      </c>
      <c r="M721">
        <v>88</v>
      </c>
      <c r="N721">
        <f t="shared" ref="N721:O721" si="2867">N719</f>
        <v>93.333333333333329</v>
      </c>
      <c r="O721">
        <f t="shared" si="2867"/>
        <v>6.1824123303304699</v>
      </c>
      <c r="P721">
        <v>149</v>
      </c>
      <c r="Q721">
        <v>0.61</v>
      </c>
      <c r="R721">
        <v>90.89</v>
      </c>
      <c r="S721">
        <v>0.65</v>
      </c>
      <c r="T721">
        <v>96.850000000000009</v>
      </c>
      <c r="U721">
        <v>14.26</v>
      </c>
    </row>
    <row r="722" spans="1:21" x14ac:dyDescent="0.25">
      <c r="A722" t="s">
        <v>409</v>
      </c>
      <c r="B722" s="4" t="s">
        <v>94</v>
      </c>
      <c r="C722" s="1">
        <v>5</v>
      </c>
      <c r="D722">
        <v>120</v>
      </c>
      <c r="E722">
        <v>1</v>
      </c>
      <c r="F722">
        <v>22</v>
      </c>
      <c r="G722">
        <v>111</v>
      </c>
      <c r="H722">
        <f t="shared" ref="H722" si="2868">AVERAGE(G722:G724)</f>
        <v>113</v>
      </c>
      <c r="I722">
        <f t="shared" ref="I722" si="2869">_xlfn.STDEV.P(G722:G724)</f>
        <v>2.1602468994692869</v>
      </c>
      <c r="J722">
        <v>1</v>
      </c>
      <c r="K722">
        <f t="shared" ref="K722" si="2870">AVERAGE(J722:J724)</f>
        <v>1.3333333333333333</v>
      </c>
      <c r="L722">
        <f t="shared" ref="L722" si="2871">_xlfn.STDEV.P(J722:J724)</f>
        <v>0.47140452079103168</v>
      </c>
      <c r="M722">
        <v>117</v>
      </c>
      <c r="N722">
        <f t="shared" ref="N722" si="2872">AVERAGE(M722:M724)</f>
        <v>114</v>
      </c>
      <c r="O722">
        <f t="shared" ref="O722" si="2873">_xlfn.STDEV.P(M722:M724)</f>
        <v>2.1602468994692869</v>
      </c>
      <c r="P722">
        <v>168</v>
      </c>
      <c r="Q722">
        <v>0.65</v>
      </c>
      <c r="R722">
        <v>109.2</v>
      </c>
      <c r="S722">
        <v>0.66</v>
      </c>
      <c r="T722">
        <v>110.88000000000001</v>
      </c>
      <c r="U722">
        <v>16.64</v>
      </c>
    </row>
    <row r="723" spans="1:21" x14ac:dyDescent="0.25">
      <c r="A723" t="s">
        <v>409</v>
      </c>
      <c r="B723" s="4" t="s">
        <v>94</v>
      </c>
      <c r="C723" s="1">
        <v>5</v>
      </c>
      <c r="D723">
        <v>120</v>
      </c>
      <c r="E723">
        <v>2</v>
      </c>
      <c r="F723">
        <v>44</v>
      </c>
      <c r="G723">
        <v>112</v>
      </c>
      <c r="H723">
        <f t="shared" ref="H723:I723" si="2874">H722</f>
        <v>113</v>
      </c>
      <c r="I723">
        <f t="shared" si="2874"/>
        <v>2.1602468994692869</v>
      </c>
      <c r="J723">
        <v>1</v>
      </c>
      <c r="K723">
        <f t="shared" ref="K723:L723" si="2875">K722</f>
        <v>1.3333333333333333</v>
      </c>
      <c r="L723">
        <f t="shared" si="2875"/>
        <v>0.47140452079103168</v>
      </c>
      <c r="M723">
        <v>112</v>
      </c>
      <c r="N723">
        <f t="shared" ref="N723:O723" si="2876">N722</f>
        <v>114</v>
      </c>
      <c r="O723">
        <f t="shared" si="2876"/>
        <v>2.1602468994692869</v>
      </c>
      <c r="P723">
        <v>177</v>
      </c>
      <c r="Q723">
        <v>0.53</v>
      </c>
      <c r="R723">
        <v>93.81</v>
      </c>
      <c r="S723">
        <v>0.63</v>
      </c>
      <c r="T723">
        <v>111.51</v>
      </c>
      <c r="U723">
        <v>16.43</v>
      </c>
    </row>
    <row r="724" spans="1:21" x14ac:dyDescent="0.25">
      <c r="A724" t="s">
        <v>409</v>
      </c>
      <c r="B724" s="4" t="s">
        <v>94</v>
      </c>
      <c r="C724" s="1">
        <v>5</v>
      </c>
      <c r="D724">
        <v>120</v>
      </c>
      <c r="E724">
        <v>3</v>
      </c>
      <c r="F724" t="s">
        <v>20</v>
      </c>
      <c r="G724">
        <v>116</v>
      </c>
      <c r="H724">
        <f t="shared" ref="H724:I724" si="2877">H722</f>
        <v>113</v>
      </c>
      <c r="I724">
        <f t="shared" si="2877"/>
        <v>2.1602468994692869</v>
      </c>
      <c r="J724">
        <v>2</v>
      </c>
      <c r="K724">
        <f t="shared" ref="K724:L724" si="2878">K722</f>
        <v>1.3333333333333333</v>
      </c>
      <c r="L724">
        <f t="shared" si="2878"/>
        <v>0.47140452079103168</v>
      </c>
      <c r="M724">
        <v>113</v>
      </c>
      <c r="N724">
        <f t="shared" ref="N724:O724" si="2879">N722</f>
        <v>114</v>
      </c>
      <c r="O724">
        <f t="shared" si="2879"/>
        <v>2.1602468994692869</v>
      </c>
      <c r="P724">
        <v>186</v>
      </c>
      <c r="Q724">
        <v>0.43</v>
      </c>
      <c r="R724">
        <v>79.98</v>
      </c>
      <c r="S724">
        <v>0.3</v>
      </c>
      <c r="T724">
        <v>55.8</v>
      </c>
      <c r="U724">
        <v>22.63</v>
      </c>
    </row>
    <row r="725" spans="1:21" x14ac:dyDescent="0.25">
      <c r="A725" t="s">
        <v>410</v>
      </c>
      <c r="B725" s="4" t="s">
        <v>94</v>
      </c>
      <c r="C725" s="1">
        <v>5</v>
      </c>
      <c r="D725">
        <v>120</v>
      </c>
      <c r="E725">
        <v>1</v>
      </c>
      <c r="F725">
        <v>56</v>
      </c>
      <c r="G725">
        <v>117</v>
      </c>
      <c r="H725">
        <f t="shared" ref="H725" si="2880">AVERAGE(G725:G727)</f>
        <v>120</v>
      </c>
      <c r="I725">
        <f t="shared" ref="I725" si="2881">_xlfn.STDEV.P(G725:G727)</f>
        <v>2.1602468994692869</v>
      </c>
      <c r="J725">
        <v>1</v>
      </c>
      <c r="K725">
        <f t="shared" ref="K725" si="2882">AVERAGE(J725:J727)</f>
        <v>3</v>
      </c>
      <c r="L725">
        <f t="shared" ref="L725" si="2883">_xlfn.STDEV.P(J725:J727)</f>
        <v>1.4142135623730951</v>
      </c>
      <c r="M725">
        <v>111</v>
      </c>
      <c r="N725">
        <f t="shared" ref="N725" si="2884">AVERAGE(M725:M727)</f>
        <v>107</v>
      </c>
      <c r="O725">
        <f t="shared" ref="O725" si="2885">_xlfn.STDEV.P(M725:M727)</f>
        <v>3.7416573867739413</v>
      </c>
      <c r="P725">
        <v>181</v>
      </c>
      <c r="Q725">
        <v>0.65</v>
      </c>
      <c r="R725">
        <v>117.65</v>
      </c>
      <c r="S725">
        <v>0.64</v>
      </c>
      <c r="T725">
        <v>115.84</v>
      </c>
      <c r="U725">
        <v>21.73</v>
      </c>
    </row>
    <row r="726" spans="1:21" x14ac:dyDescent="0.25">
      <c r="A726" t="s">
        <v>410</v>
      </c>
      <c r="B726" s="4" t="s">
        <v>94</v>
      </c>
      <c r="C726" s="1">
        <v>5</v>
      </c>
      <c r="D726">
        <v>120</v>
      </c>
      <c r="E726">
        <v>2</v>
      </c>
      <c r="F726">
        <v>36</v>
      </c>
      <c r="G726">
        <v>122</v>
      </c>
      <c r="H726">
        <f t="shared" ref="H726:I726" si="2886">H725</f>
        <v>120</v>
      </c>
      <c r="I726">
        <f t="shared" si="2886"/>
        <v>2.1602468994692869</v>
      </c>
      <c r="J726">
        <v>4</v>
      </c>
      <c r="K726">
        <f t="shared" ref="K726:L726" si="2887">K725</f>
        <v>3</v>
      </c>
      <c r="L726">
        <f t="shared" si="2887"/>
        <v>1.4142135623730951</v>
      </c>
      <c r="M726">
        <v>108</v>
      </c>
      <c r="N726">
        <f t="shared" ref="N726:O726" si="2888">N725</f>
        <v>107</v>
      </c>
      <c r="O726">
        <f t="shared" si="2888"/>
        <v>3.7416573867739413</v>
      </c>
      <c r="P726">
        <v>179</v>
      </c>
      <c r="Q726">
        <v>0.57999999999999996</v>
      </c>
      <c r="R726">
        <v>103.82</v>
      </c>
      <c r="S726">
        <v>0.49</v>
      </c>
      <c r="T726">
        <v>87.71</v>
      </c>
      <c r="U726">
        <v>21.91</v>
      </c>
    </row>
    <row r="727" spans="1:21" x14ac:dyDescent="0.25">
      <c r="A727" t="s">
        <v>410</v>
      </c>
      <c r="B727" s="4" t="s">
        <v>94</v>
      </c>
      <c r="C727" s="1">
        <v>5</v>
      </c>
      <c r="D727">
        <v>120</v>
      </c>
      <c r="E727">
        <v>3</v>
      </c>
      <c r="F727">
        <v>52</v>
      </c>
      <c r="G727">
        <v>121</v>
      </c>
      <c r="H727">
        <f t="shared" ref="H727:I727" si="2889">H725</f>
        <v>120</v>
      </c>
      <c r="I727">
        <f t="shared" si="2889"/>
        <v>2.1602468994692869</v>
      </c>
      <c r="J727">
        <v>4</v>
      </c>
      <c r="K727">
        <f t="shared" ref="K727:L727" si="2890">K725</f>
        <v>3</v>
      </c>
      <c r="L727">
        <f t="shared" si="2890"/>
        <v>1.4142135623730951</v>
      </c>
      <c r="M727">
        <v>102</v>
      </c>
      <c r="N727">
        <f t="shared" ref="N727:O727" si="2891">N725</f>
        <v>107</v>
      </c>
      <c r="O727">
        <f t="shared" si="2891"/>
        <v>3.7416573867739413</v>
      </c>
      <c r="P727">
        <v>186</v>
      </c>
      <c r="Q727">
        <v>0.56000000000000005</v>
      </c>
      <c r="R727">
        <v>104.16000000000001</v>
      </c>
      <c r="S727">
        <v>0.46</v>
      </c>
      <c r="T727">
        <v>85.56</v>
      </c>
      <c r="U727" t="s">
        <v>20</v>
      </c>
    </row>
    <row r="728" spans="1:21" x14ac:dyDescent="0.25">
      <c r="A728" t="s">
        <v>411</v>
      </c>
      <c r="B728" s="4" t="s">
        <v>94</v>
      </c>
      <c r="C728" s="1">
        <v>5</v>
      </c>
      <c r="D728">
        <v>120</v>
      </c>
      <c r="E728">
        <v>1</v>
      </c>
      <c r="F728">
        <v>64</v>
      </c>
      <c r="G728">
        <v>119</v>
      </c>
      <c r="H728">
        <f t="shared" ref="H728" si="2892">AVERAGE(G728:G730)</f>
        <v>119.33333333333333</v>
      </c>
      <c r="I728">
        <f t="shared" ref="I728" si="2893">_xlfn.STDEV.P(G728:G730)</f>
        <v>1.247219128924647</v>
      </c>
      <c r="J728">
        <v>1</v>
      </c>
      <c r="K728">
        <f t="shared" ref="K728" si="2894">AVERAGE(J728:J730)</f>
        <v>1</v>
      </c>
      <c r="L728">
        <f t="shared" ref="L728" si="2895">_xlfn.STDEV.P(J728:J730)</f>
        <v>0</v>
      </c>
      <c r="M728">
        <v>88</v>
      </c>
      <c r="N728">
        <f t="shared" ref="N728" si="2896">AVERAGE(M728:M730)</f>
        <v>89.666666666666671</v>
      </c>
      <c r="O728">
        <f t="shared" ref="O728" si="2897">_xlfn.STDEV.P(M728:M730)</f>
        <v>6.2360956446232363</v>
      </c>
      <c r="P728">
        <v>186</v>
      </c>
      <c r="Q728">
        <v>0.59</v>
      </c>
      <c r="R728">
        <v>109.74</v>
      </c>
      <c r="S728">
        <v>0.51</v>
      </c>
      <c r="T728">
        <v>94.86</v>
      </c>
      <c r="U728">
        <v>23.5</v>
      </c>
    </row>
    <row r="729" spans="1:21" x14ac:dyDescent="0.25">
      <c r="A729" t="s">
        <v>411</v>
      </c>
      <c r="B729" s="4" t="s">
        <v>94</v>
      </c>
      <c r="C729" s="1">
        <v>5</v>
      </c>
      <c r="D729">
        <v>120</v>
      </c>
      <c r="E729">
        <v>2</v>
      </c>
      <c r="F729">
        <v>44</v>
      </c>
      <c r="G729">
        <v>121</v>
      </c>
      <c r="H729">
        <f t="shared" ref="H729:I729" si="2898">H728</f>
        <v>119.33333333333333</v>
      </c>
      <c r="I729">
        <f t="shared" si="2898"/>
        <v>1.247219128924647</v>
      </c>
      <c r="J729">
        <v>1</v>
      </c>
      <c r="K729">
        <f t="shared" ref="K729:L729" si="2899">K728</f>
        <v>1</v>
      </c>
      <c r="L729">
        <f t="shared" si="2899"/>
        <v>0</v>
      </c>
      <c r="M729">
        <v>98</v>
      </c>
      <c r="N729">
        <f t="shared" ref="N729:O729" si="2900">N728</f>
        <v>89.666666666666671</v>
      </c>
      <c r="O729">
        <f t="shared" si="2900"/>
        <v>6.2360956446232363</v>
      </c>
      <c r="P729">
        <v>181</v>
      </c>
      <c r="Q729">
        <v>0.57999999999999996</v>
      </c>
      <c r="R729">
        <v>104.97999999999999</v>
      </c>
      <c r="S729">
        <v>0.74</v>
      </c>
      <c r="T729">
        <v>133.94</v>
      </c>
      <c r="U729" t="s">
        <v>20</v>
      </c>
    </row>
    <row r="730" spans="1:21" x14ac:dyDescent="0.25">
      <c r="A730" t="s">
        <v>411</v>
      </c>
      <c r="B730" s="4" t="s">
        <v>94</v>
      </c>
      <c r="C730" s="1">
        <v>5</v>
      </c>
      <c r="D730">
        <v>120</v>
      </c>
      <c r="E730">
        <v>3</v>
      </c>
      <c r="F730">
        <v>40</v>
      </c>
      <c r="G730">
        <v>118</v>
      </c>
      <c r="H730">
        <f t="shared" ref="H730:I730" si="2901">H728</f>
        <v>119.33333333333333</v>
      </c>
      <c r="I730">
        <f t="shared" si="2901"/>
        <v>1.247219128924647</v>
      </c>
      <c r="J730">
        <v>1</v>
      </c>
      <c r="K730">
        <f t="shared" ref="K730:L730" si="2902">K728</f>
        <v>1</v>
      </c>
      <c r="L730">
        <f t="shared" si="2902"/>
        <v>0</v>
      </c>
      <c r="M730">
        <v>83</v>
      </c>
      <c r="N730">
        <f t="shared" ref="N730:O730" si="2903">N728</f>
        <v>89.666666666666671</v>
      </c>
      <c r="O730">
        <f t="shared" si="2903"/>
        <v>6.2360956446232363</v>
      </c>
      <c r="P730">
        <v>177</v>
      </c>
      <c r="Q730">
        <v>0.69</v>
      </c>
      <c r="R730">
        <v>122.13</v>
      </c>
      <c r="S730">
        <v>0.74</v>
      </c>
      <c r="T730">
        <v>130.97999999999999</v>
      </c>
      <c r="U730" t="s">
        <v>20</v>
      </c>
    </row>
    <row r="731" spans="1:21" x14ac:dyDescent="0.25">
      <c r="A731" t="s">
        <v>412</v>
      </c>
      <c r="B731" s="4" t="s">
        <v>94</v>
      </c>
      <c r="C731" s="1">
        <v>5</v>
      </c>
      <c r="D731">
        <v>120</v>
      </c>
      <c r="E731">
        <v>1</v>
      </c>
      <c r="F731">
        <v>42</v>
      </c>
      <c r="G731">
        <v>95</v>
      </c>
      <c r="H731">
        <f t="shared" ref="H731" si="2904">AVERAGE(G731:G733)</f>
        <v>95</v>
      </c>
      <c r="I731">
        <f t="shared" ref="I731" si="2905">_xlfn.STDEV.P(G731:G733)</f>
        <v>0</v>
      </c>
      <c r="J731">
        <v>3</v>
      </c>
      <c r="K731">
        <f t="shared" ref="K731" si="2906">AVERAGE(J731:J733)</f>
        <v>2.6666666666666665</v>
      </c>
      <c r="L731">
        <f t="shared" ref="L731" si="2907">_xlfn.STDEV.P(J731:J733)</f>
        <v>0.47140452079103168</v>
      </c>
      <c r="M731">
        <v>89</v>
      </c>
      <c r="N731">
        <f t="shared" ref="N731" si="2908">AVERAGE(M731:M733)</f>
        <v>94.333333333333329</v>
      </c>
      <c r="O731">
        <f t="shared" ref="O731" si="2909">_xlfn.STDEV.P(M731:M733)</f>
        <v>6.8475461947247123</v>
      </c>
      <c r="P731">
        <v>147</v>
      </c>
      <c r="Q731">
        <v>0.66</v>
      </c>
      <c r="R731">
        <v>97.02000000000001</v>
      </c>
      <c r="S731">
        <v>0.75</v>
      </c>
      <c r="T731">
        <v>110.25</v>
      </c>
      <c r="U731">
        <v>12.42</v>
      </c>
    </row>
    <row r="732" spans="1:21" x14ac:dyDescent="0.25">
      <c r="A732" t="s">
        <v>412</v>
      </c>
      <c r="B732" s="4" t="s">
        <v>94</v>
      </c>
      <c r="C732" s="1">
        <v>5</v>
      </c>
      <c r="D732">
        <v>120</v>
      </c>
      <c r="E732">
        <v>2</v>
      </c>
      <c r="F732" t="s">
        <v>20</v>
      </c>
      <c r="G732">
        <v>95</v>
      </c>
      <c r="H732">
        <f t="shared" ref="H732:I732" si="2910">H731</f>
        <v>95</v>
      </c>
      <c r="I732">
        <f t="shared" si="2910"/>
        <v>0</v>
      </c>
      <c r="J732">
        <v>2</v>
      </c>
      <c r="K732">
        <f t="shared" ref="K732:L732" si="2911">K731</f>
        <v>2.6666666666666665</v>
      </c>
      <c r="L732">
        <f t="shared" si="2911"/>
        <v>0.47140452079103168</v>
      </c>
      <c r="M732">
        <v>104</v>
      </c>
      <c r="N732">
        <f t="shared" ref="N732:O732" si="2912">N731</f>
        <v>94.333333333333329</v>
      </c>
      <c r="O732">
        <f t="shared" si="2912"/>
        <v>6.8475461947247123</v>
      </c>
      <c r="P732">
        <v>147</v>
      </c>
      <c r="Q732">
        <v>0.69</v>
      </c>
      <c r="R732">
        <v>101.42999999999999</v>
      </c>
      <c r="S732">
        <v>0.7</v>
      </c>
      <c r="T732">
        <v>102.89999999999999</v>
      </c>
      <c r="U732">
        <v>14.51</v>
      </c>
    </row>
    <row r="733" spans="1:21" x14ac:dyDescent="0.25">
      <c r="A733" t="s">
        <v>412</v>
      </c>
      <c r="B733" s="4" t="s">
        <v>94</v>
      </c>
      <c r="C733" s="1">
        <v>5</v>
      </c>
      <c r="D733">
        <v>120</v>
      </c>
      <c r="E733">
        <v>3</v>
      </c>
      <c r="F733" t="s">
        <v>20</v>
      </c>
      <c r="G733">
        <v>95</v>
      </c>
      <c r="H733">
        <f t="shared" ref="H733:I733" si="2913">H731</f>
        <v>95</v>
      </c>
      <c r="I733">
        <f t="shared" si="2913"/>
        <v>0</v>
      </c>
      <c r="J733">
        <v>3</v>
      </c>
      <c r="K733">
        <f t="shared" ref="K733:L733" si="2914">K731</f>
        <v>2.6666666666666665</v>
      </c>
      <c r="L733">
        <f t="shared" si="2914"/>
        <v>0.47140452079103168</v>
      </c>
      <c r="M733">
        <v>90</v>
      </c>
      <c r="N733">
        <f t="shared" ref="N733:O733" si="2915">N731</f>
        <v>94.333333333333329</v>
      </c>
      <c r="O733">
        <f t="shared" si="2915"/>
        <v>6.8475461947247123</v>
      </c>
      <c r="P733">
        <v>147</v>
      </c>
      <c r="Q733">
        <v>0.6</v>
      </c>
      <c r="R733">
        <v>88.2</v>
      </c>
      <c r="S733">
        <v>0.7</v>
      </c>
      <c r="T733">
        <v>102.89999999999999</v>
      </c>
      <c r="U733">
        <v>18.34</v>
      </c>
    </row>
    <row r="734" spans="1:21" x14ac:dyDescent="0.25">
      <c r="A734" t="s">
        <v>413</v>
      </c>
      <c r="B734" s="4" t="s">
        <v>94</v>
      </c>
      <c r="C734" s="1">
        <v>5</v>
      </c>
      <c r="D734">
        <v>120</v>
      </c>
      <c r="E734">
        <v>1</v>
      </c>
      <c r="F734">
        <v>14</v>
      </c>
      <c r="G734">
        <v>101</v>
      </c>
      <c r="H734">
        <f t="shared" ref="H734" si="2916">AVERAGE(G734:G736)</f>
        <v>102.66666666666667</v>
      </c>
      <c r="I734">
        <f t="shared" ref="I734" si="2917">_xlfn.STDEV.P(G734:G736)</f>
        <v>2.3570226039551581</v>
      </c>
      <c r="J734">
        <v>1</v>
      </c>
      <c r="K734">
        <f t="shared" ref="K734" si="2918">AVERAGE(J734:J736)</f>
        <v>0.33333333333333331</v>
      </c>
      <c r="L734">
        <f t="shared" ref="L734" si="2919">_xlfn.STDEV.P(J734:J736)</f>
        <v>0.47140452079103168</v>
      </c>
      <c r="M734">
        <v>93</v>
      </c>
      <c r="N734">
        <f t="shared" ref="N734" si="2920">AVERAGE(M734:M736)</f>
        <v>97.666666666666671</v>
      </c>
      <c r="O734">
        <f t="shared" ref="O734" si="2921">_xlfn.STDEV.P(M734:M736)</f>
        <v>5.2493385826745405</v>
      </c>
      <c r="P734">
        <v>156</v>
      </c>
      <c r="Q734">
        <v>0.67</v>
      </c>
      <c r="R734">
        <v>104.52000000000001</v>
      </c>
      <c r="S734">
        <v>0.75</v>
      </c>
      <c r="T734">
        <v>117</v>
      </c>
      <c r="U734">
        <v>16.05</v>
      </c>
    </row>
    <row r="735" spans="1:21" x14ac:dyDescent="0.25">
      <c r="A735" t="s">
        <v>413</v>
      </c>
      <c r="B735" s="4" t="s">
        <v>94</v>
      </c>
      <c r="C735" s="1">
        <v>5</v>
      </c>
      <c r="D735">
        <v>120</v>
      </c>
      <c r="E735">
        <v>2</v>
      </c>
      <c r="F735" t="s">
        <v>20</v>
      </c>
      <c r="G735">
        <v>106</v>
      </c>
      <c r="H735">
        <f t="shared" ref="H735:I735" si="2922">H734</f>
        <v>102.66666666666667</v>
      </c>
      <c r="I735">
        <f t="shared" si="2922"/>
        <v>2.3570226039551581</v>
      </c>
      <c r="J735">
        <v>0</v>
      </c>
      <c r="K735">
        <f t="shared" ref="K735:L735" si="2923">K734</f>
        <v>0.33333333333333331</v>
      </c>
      <c r="L735">
        <f t="shared" si="2923"/>
        <v>0.47140452079103168</v>
      </c>
      <c r="M735">
        <v>105</v>
      </c>
      <c r="N735">
        <f t="shared" ref="N735:O735" si="2924">N734</f>
        <v>97.666666666666671</v>
      </c>
      <c r="O735">
        <f t="shared" si="2924"/>
        <v>5.2493385826745405</v>
      </c>
      <c r="P735">
        <v>152</v>
      </c>
      <c r="Q735">
        <v>0.59</v>
      </c>
      <c r="R735">
        <v>89.679999999999993</v>
      </c>
      <c r="S735">
        <v>0.57999999999999996</v>
      </c>
      <c r="T735">
        <v>88.16</v>
      </c>
      <c r="U735">
        <v>15.22</v>
      </c>
    </row>
    <row r="736" spans="1:21" x14ac:dyDescent="0.25">
      <c r="A736" t="s">
        <v>413</v>
      </c>
      <c r="B736" s="4" t="s">
        <v>94</v>
      </c>
      <c r="C736" s="1">
        <v>5</v>
      </c>
      <c r="D736">
        <v>120</v>
      </c>
      <c r="E736">
        <v>3</v>
      </c>
      <c r="F736" t="s">
        <v>20</v>
      </c>
      <c r="G736">
        <v>101</v>
      </c>
      <c r="H736">
        <f t="shared" ref="H736:I736" si="2925">H734</f>
        <v>102.66666666666667</v>
      </c>
      <c r="I736">
        <f t="shared" si="2925"/>
        <v>2.3570226039551581</v>
      </c>
      <c r="J736">
        <v>0</v>
      </c>
      <c r="K736">
        <f t="shared" ref="K736:L736" si="2926">K734</f>
        <v>0.33333333333333331</v>
      </c>
      <c r="L736">
        <f t="shared" si="2926"/>
        <v>0.47140452079103168</v>
      </c>
      <c r="M736">
        <v>95</v>
      </c>
      <c r="N736">
        <f t="shared" ref="N736:O736" si="2927">N734</f>
        <v>97.666666666666671</v>
      </c>
      <c r="O736">
        <f t="shared" si="2927"/>
        <v>5.2493385826745405</v>
      </c>
      <c r="P736">
        <v>153</v>
      </c>
      <c r="Q736">
        <v>0.6</v>
      </c>
      <c r="R736">
        <v>91.8</v>
      </c>
      <c r="S736">
        <v>0.75</v>
      </c>
      <c r="T736">
        <v>114.75</v>
      </c>
      <c r="U736">
        <v>16.48</v>
      </c>
    </row>
    <row r="737" spans="1:21" x14ac:dyDescent="0.25">
      <c r="A737" t="s">
        <v>414</v>
      </c>
      <c r="B737" s="4" t="s">
        <v>94</v>
      </c>
      <c r="C737" s="1">
        <v>5</v>
      </c>
      <c r="D737">
        <v>120</v>
      </c>
      <c r="E737">
        <v>1</v>
      </c>
      <c r="F737" t="s">
        <v>20</v>
      </c>
      <c r="G737">
        <v>106</v>
      </c>
      <c r="H737">
        <f t="shared" ref="H737" si="2928">AVERAGE(G737:G739)</f>
        <v>112.33333333333333</v>
      </c>
      <c r="I737">
        <f t="shared" ref="I737" si="2929">_xlfn.STDEV.P(G737:G739)</f>
        <v>5.312459150169742</v>
      </c>
      <c r="J737">
        <v>1</v>
      </c>
      <c r="K737">
        <f t="shared" ref="K737" si="2930">AVERAGE(J737:J739)</f>
        <v>2</v>
      </c>
      <c r="L737">
        <f t="shared" ref="L737" si="2931">_xlfn.STDEV.P(J737:J739)</f>
        <v>1.4142135623730951</v>
      </c>
      <c r="M737">
        <v>105</v>
      </c>
      <c r="N737">
        <f t="shared" ref="N737" si="2932">AVERAGE(M737:M739)</f>
        <v>106.33333333333333</v>
      </c>
      <c r="O737">
        <f t="shared" ref="O737" si="2933">_xlfn.STDEV.P(M737:M739)</f>
        <v>0.94280904158206336</v>
      </c>
      <c r="P737">
        <v>168</v>
      </c>
      <c r="Q737">
        <v>0.64</v>
      </c>
      <c r="R737">
        <v>107.52</v>
      </c>
      <c r="S737">
        <v>0.64</v>
      </c>
      <c r="T737">
        <v>107.52</v>
      </c>
      <c r="U737">
        <v>15.99</v>
      </c>
    </row>
    <row r="738" spans="1:21" x14ac:dyDescent="0.25">
      <c r="A738" t="s">
        <v>414</v>
      </c>
      <c r="B738" s="4" t="s">
        <v>94</v>
      </c>
      <c r="C738" s="1">
        <v>5</v>
      </c>
      <c r="D738">
        <v>120</v>
      </c>
      <c r="E738">
        <v>2</v>
      </c>
      <c r="F738" t="s">
        <v>20</v>
      </c>
      <c r="G738">
        <v>112</v>
      </c>
      <c r="H738">
        <f t="shared" ref="H738:I738" si="2934">H737</f>
        <v>112.33333333333333</v>
      </c>
      <c r="I738">
        <f t="shared" si="2934"/>
        <v>5.312459150169742</v>
      </c>
      <c r="J738">
        <v>4</v>
      </c>
      <c r="K738">
        <f t="shared" ref="K738:L738" si="2935">K737</f>
        <v>2</v>
      </c>
      <c r="L738">
        <f t="shared" si="2935"/>
        <v>1.4142135623730951</v>
      </c>
      <c r="M738">
        <v>107</v>
      </c>
      <c r="N738">
        <f t="shared" ref="N738:O738" si="2936">N737</f>
        <v>106.33333333333333</v>
      </c>
      <c r="O738">
        <f t="shared" si="2936"/>
        <v>0.94280904158206336</v>
      </c>
      <c r="P738">
        <v>162</v>
      </c>
      <c r="Q738">
        <v>0.67</v>
      </c>
      <c r="R738">
        <v>108.54</v>
      </c>
      <c r="S738">
        <v>0.7</v>
      </c>
      <c r="T738">
        <v>113.39999999999999</v>
      </c>
      <c r="U738">
        <v>17.59</v>
      </c>
    </row>
    <row r="739" spans="1:21" x14ac:dyDescent="0.25">
      <c r="A739" t="s">
        <v>414</v>
      </c>
      <c r="B739" s="4" t="s">
        <v>94</v>
      </c>
      <c r="C739" s="1">
        <v>5</v>
      </c>
      <c r="D739">
        <v>120</v>
      </c>
      <c r="E739">
        <v>3</v>
      </c>
      <c r="F739" t="s">
        <v>20</v>
      </c>
      <c r="G739">
        <v>119</v>
      </c>
      <c r="H739">
        <f t="shared" ref="H739:I739" si="2937">H737</f>
        <v>112.33333333333333</v>
      </c>
      <c r="I739">
        <f t="shared" si="2937"/>
        <v>5.312459150169742</v>
      </c>
      <c r="J739">
        <v>1</v>
      </c>
      <c r="K739">
        <f t="shared" ref="K739:L739" si="2938">K737</f>
        <v>2</v>
      </c>
      <c r="L739">
        <f t="shared" si="2938"/>
        <v>1.4142135623730951</v>
      </c>
      <c r="M739">
        <v>107</v>
      </c>
      <c r="N739">
        <f t="shared" ref="N739:O739" si="2939">N737</f>
        <v>106.33333333333333</v>
      </c>
      <c r="O739">
        <f t="shared" si="2939"/>
        <v>0.94280904158206336</v>
      </c>
      <c r="P739">
        <v>192</v>
      </c>
      <c r="Q739">
        <v>0.3</v>
      </c>
      <c r="R739">
        <v>57.599999999999994</v>
      </c>
      <c r="S739">
        <v>0.3</v>
      </c>
      <c r="T739">
        <v>57.599999999999994</v>
      </c>
      <c r="U739" t="s">
        <v>20</v>
      </c>
    </row>
    <row r="740" spans="1:21" x14ac:dyDescent="0.25">
      <c r="A740" t="s">
        <v>415</v>
      </c>
      <c r="B740" s="4" t="s">
        <v>172</v>
      </c>
      <c r="C740" s="1">
        <v>4</v>
      </c>
      <c r="D740">
        <v>120</v>
      </c>
      <c r="E740">
        <v>1</v>
      </c>
      <c r="F740">
        <v>16</v>
      </c>
      <c r="G740">
        <v>99</v>
      </c>
      <c r="H740">
        <f t="shared" ref="H740" si="2940">AVERAGE(G740:G742)</f>
        <v>99</v>
      </c>
      <c r="I740">
        <f t="shared" ref="I740" si="2941">_xlfn.STDEV.P(G740:G742)</f>
        <v>0</v>
      </c>
      <c r="J740">
        <v>6</v>
      </c>
      <c r="K740">
        <f t="shared" ref="K740" si="2942">AVERAGE(J740:J742)</f>
        <v>6</v>
      </c>
      <c r="L740">
        <f t="shared" ref="L740" si="2943">_xlfn.STDEV.P(J740:J742)</f>
        <v>0</v>
      </c>
      <c r="M740">
        <v>97</v>
      </c>
      <c r="N740">
        <f t="shared" ref="N740" si="2944">AVERAGE(M740:M742)</f>
        <v>88.333333333333329</v>
      </c>
      <c r="O740">
        <f t="shared" ref="O740" si="2945">_xlfn.STDEV.P(M740:M742)</f>
        <v>7.8457348639598807</v>
      </c>
      <c r="P740">
        <v>153</v>
      </c>
      <c r="Q740">
        <v>0.61</v>
      </c>
      <c r="R740">
        <v>93.33</v>
      </c>
      <c r="S740">
        <v>0.68</v>
      </c>
      <c r="T740">
        <v>104.04</v>
      </c>
      <c r="U740">
        <v>14.74</v>
      </c>
    </row>
    <row r="741" spans="1:21" x14ac:dyDescent="0.25">
      <c r="A741" t="s">
        <v>415</v>
      </c>
      <c r="B741" s="4" t="s">
        <v>172</v>
      </c>
      <c r="C741" s="1">
        <v>4</v>
      </c>
      <c r="D741">
        <v>120</v>
      </c>
      <c r="E741">
        <v>2</v>
      </c>
      <c r="F741" t="s">
        <v>20</v>
      </c>
      <c r="G741">
        <v>99</v>
      </c>
      <c r="H741">
        <f t="shared" ref="H741:I741" si="2946">H740</f>
        <v>99</v>
      </c>
      <c r="I741">
        <f t="shared" si="2946"/>
        <v>0</v>
      </c>
      <c r="J741">
        <v>6</v>
      </c>
      <c r="K741">
        <f t="shared" ref="K741:L741" si="2947">K740</f>
        <v>6</v>
      </c>
      <c r="L741">
        <f t="shared" si="2947"/>
        <v>0</v>
      </c>
      <c r="M741">
        <v>90</v>
      </c>
      <c r="N741">
        <f t="shared" ref="N741:O741" si="2948">N740</f>
        <v>88.333333333333329</v>
      </c>
      <c r="O741">
        <f t="shared" si="2948"/>
        <v>7.8457348639598807</v>
      </c>
      <c r="P741">
        <v>150</v>
      </c>
      <c r="Q741">
        <v>0.67</v>
      </c>
      <c r="R741">
        <v>100.5</v>
      </c>
      <c r="S741">
        <v>0.72</v>
      </c>
      <c r="T741">
        <v>108</v>
      </c>
      <c r="U741">
        <v>14.93</v>
      </c>
    </row>
    <row r="742" spans="1:21" x14ac:dyDescent="0.25">
      <c r="A742" t="s">
        <v>415</v>
      </c>
      <c r="B742" s="4" t="s">
        <v>172</v>
      </c>
      <c r="C742" s="1">
        <v>4</v>
      </c>
      <c r="D742">
        <v>120</v>
      </c>
      <c r="E742">
        <v>3</v>
      </c>
      <c r="F742" t="s">
        <v>20</v>
      </c>
      <c r="G742">
        <v>99</v>
      </c>
      <c r="H742">
        <f t="shared" ref="H742:I742" si="2949">H740</f>
        <v>99</v>
      </c>
      <c r="I742">
        <f t="shared" si="2949"/>
        <v>0</v>
      </c>
      <c r="J742">
        <v>6</v>
      </c>
      <c r="K742">
        <f t="shared" ref="K742:L742" si="2950">K740</f>
        <v>6</v>
      </c>
      <c r="L742">
        <f t="shared" si="2950"/>
        <v>0</v>
      </c>
      <c r="M742" s="10">
        <v>78</v>
      </c>
      <c r="N742">
        <f t="shared" ref="N742:O742" si="2951">N740</f>
        <v>88.333333333333329</v>
      </c>
      <c r="O742">
        <f t="shared" si="2951"/>
        <v>7.8457348639598807</v>
      </c>
      <c r="P742">
        <v>152</v>
      </c>
      <c r="Q742" s="10">
        <v>0.55000000000000004</v>
      </c>
      <c r="R742" s="10">
        <v>83.600000000000009</v>
      </c>
      <c r="S742" s="10">
        <v>0.55000000000000004</v>
      </c>
      <c r="T742">
        <v>83.600000000000009</v>
      </c>
      <c r="U742">
        <v>13.01</v>
      </c>
    </row>
    <row r="743" spans="1:21" x14ac:dyDescent="0.25">
      <c r="A743" t="s">
        <v>416</v>
      </c>
      <c r="B743" s="4" t="s">
        <v>172</v>
      </c>
      <c r="C743" s="1">
        <v>3</v>
      </c>
      <c r="D743">
        <v>120</v>
      </c>
      <c r="E743">
        <v>1</v>
      </c>
      <c r="F743">
        <v>18</v>
      </c>
      <c r="G743">
        <v>98</v>
      </c>
      <c r="H743">
        <f t="shared" ref="H743" si="2952">AVERAGE(G743:G745)</f>
        <v>96.666666666666671</v>
      </c>
      <c r="I743">
        <f t="shared" ref="I743" si="2953">_xlfn.STDEV.P(G743:G745)</f>
        <v>2.6246692913372702</v>
      </c>
      <c r="J743">
        <v>1</v>
      </c>
      <c r="K743">
        <f t="shared" ref="K743" si="2954">AVERAGE(J743:J745)</f>
        <v>0.33333333333333331</v>
      </c>
      <c r="L743">
        <f t="shared" ref="L743" si="2955">_xlfn.STDEV.P(J743:J745)</f>
        <v>0.47140452079103168</v>
      </c>
      <c r="M743">
        <v>125</v>
      </c>
      <c r="N743">
        <f t="shared" ref="N743" si="2956">AVERAGE(M743:M745)</f>
        <v>130.33333333333334</v>
      </c>
      <c r="O743">
        <f t="shared" ref="O743" si="2957">_xlfn.STDEV.P(M743:M745)</f>
        <v>7.5424723326565069</v>
      </c>
      <c r="P743">
        <v>150</v>
      </c>
      <c r="Q743">
        <v>0.67</v>
      </c>
      <c r="R743">
        <v>100.5</v>
      </c>
      <c r="S743">
        <v>0.62</v>
      </c>
      <c r="T743">
        <v>93</v>
      </c>
      <c r="U743">
        <v>15.63</v>
      </c>
    </row>
    <row r="744" spans="1:21" x14ac:dyDescent="0.25">
      <c r="A744" t="s">
        <v>416</v>
      </c>
      <c r="B744" s="4" t="s">
        <v>172</v>
      </c>
      <c r="C744" s="1">
        <v>3</v>
      </c>
      <c r="D744">
        <v>120</v>
      </c>
      <c r="E744">
        <v>2</v>
      </c>
      <c r="F744" t="s">
        <v>20</v>
      </c>
      <c r="G744">
        <v>99</v>
      </c>
      <c r="H744">
        <f t="shared" ref="H744:I744" si="2958">H743</f>
        <v>96.666666666666671</v>
      </c>
      <c r="I744">
        <f t="shared" si="2958"/>
        <v>2.6246692913372702</v>
      </c>
      <c r="J744">
        <v>0</v>
      </c>
      <c r="K744">
        <f t="shared" ref="K744:L744" si="2959">K743</f>
        <v>0.33333333333333331</v>
      </c>
      <c r="L744">
        <f t="shared" si="2959"/>
        <v>0.47140452079103168</v>
      </c>
      <c r="M744">
        <v>125</v>
      </c>
      <c r="N744">
        <f t="shared" ref="N744:O744" si="2960">N743</f>
        <v>130.33333333333334</v>
      </c>
      <c r="O744">
        <f t="shared" si="2960"/>
        <v>7.5424723326565069</v>
      </c>
      <c r="P744">
        <v>149</v>
      </c>
      <c r="Q744">
        <v>0.66</v>
      </c>
      <c r="R744">
        <v>98.34</v>
      </c>
      <c r="S744">
        <v>0.64</v>
      </c>
      <c r="T744">
        <v>95.36</v>
      </c>
      <c r="U744">
        <v>14.57</v>
      </c>
    </row>
    <row r="745" spans="1:21" x14ac:dyDescent="0.25">
      <c r="A745" t="s">
        <v>416</v>
      </c>
      <c r="B745" s="4" t="s">
        <v>172</v>
      </c>
      <c r="C745" s="1">
        <v>3</v>
      </c>
      <c r="D745">
        <v>120</v>
      </c>
      <c r="E745">
        <v>3</v>
      </c>
      <c r="F745" t="s">
        <v>20</v>
      </c>
      <c r="G745">
        <v>93</v>
      </c>
      <c r="H745">
        <f t="shared" ref="H745:I745" si="2961">H743</f>
        <v>96.666666666666671</v>
      </c>
      <c r="I745">
        <f t="shared" si="2961"/>
        <v>2.6246692913372702</v>
      </c>
      <c r="J745">
        <v>0</v>
      </c>
      <c r="K745">
        <f t="shared" ref="K745:L745" si="2962">K743</f>
        <v>0.33333333333333331</v>
      </c>
      <c r="L745">
        <f t="shared" si="2962"/>
        <v>0.47140452079103168</v>
      </c>
      <c r="M745">
        <v>141</v>
      </c>
      <c r="N745">
        <f t="shared" ref="N745:O745" si="2963">N743</f>
        <v>130.33333333333334</v>
      </c>
      <c r="O745">
        <f t="shared" si="2963"/>
        <v>7.5424723326565069</v>
      </c>
      <c r="P745">
        <v>139</v>
      </c>
      <c r="Q745">
        <v>0.68</v>
      </c>
      <c r="R745">
        <v>94.52000000000001</v>
      </c>
      <c r="S745">
        <v>0.75</v>
      </c>
      <c r="T745">
        <v>104.25</v>
      </c>
      <c r="U745">
        <v>16.09</v>
      </c>
    </row>
    <row r="746" spans="1:21" x14ac:dyDescent="0.25">
      <c r="A746" t="s">
        <v>417</v>
      </c>
      <c r="B746" s="4" t="s">
        <v>14</v>
      </c>
      <c r="C746" s="1">
        <v>1</v>
      </c>
      <c r="D746">
        <v>120</v>
      </c>
      <c r="E746">
        <v>1</v>
      </c>
      <c r="F746">
        <v>48</v>
      </c>
      <c r="G746">
        <v>137</v>
      </c>
      <c r="H746">
        <f t="shared" ref="H746" si="2964">AVERAGE(G746:G748)</f>
        <v>129</v>
      </c>
      <c r="I746">
        <f t="shared" ref="I746" si="2965">_xlfn.STDEV.P(G746:G748)</f>
        <v>5.6568542494923806</v>
      </c>
      <c r="J746">
        <v>5</v>
      </c>
      <c r="K746">
        <f t="shared" ref="K746" si="2966">AVERAGE(J746:J748)</f>
        <v>4.333333333333333</v>
      </c>
      <c r="L746">
        <f t="shared" ref="L746" si="2967">_xlfn.STDEV.P(J746:J748)</f>
        <v>0.47140452079103168</v>
      </c>
      <c r="M746">
        <v>93</v>
      </c>
      <c r="N746">
        <f t="shared" ref="N746" si="2968">AVERAGE(M746:M748)</f>
        <v>90.666666666666671</v>
      </c>
      <c r="O746">
        <f t="shared" ref="O746" si="2969">_xlfn.STDEV.P(M746:M748)</f>
        <v>2.6246692913372702</v>
      </c>
      <c r="P746">
        <v>187</v>
      </c>
      <c r="Q746">
        <v>0.62</v>
      </c>
      <c r="R746">
        <v>115.94</v>
      </c>
      <c r="S746">
        <v>0.65</v>
      </c>
      <c r="T746">
        <v>121.55</v>
      </c>
      <c r="U746" t="s">
        <v>20</v>
      </c>
    </row>
    <row r="747" spans="1:21" x14ac:dyDescent="0.25">
      <c r="A747" t="s">
        <v>417</v>
      </c>
      <c r="B747" s="4" t="s">
        <v>14</v>
      </c>
      <c r="C747" s="1">
        <v>1</v>
      </c>
      <c r="D747">
        <v>120</v>
      </c>
      <c r="E747">
        <v>2</v>
      </c>
      <c r="F747">
        <v>64</v>
      </c>
      <c r="G747">
        <v>125</v>
      </c>
      <c r="H747">
        <f t="shared" ref="H747:I747" si="2970">H746</f>
        <v>129</v>
      </c>
      <c r="I747">
        <f t="shared" si="2970"/>
        <v>5.6568542494923806</v>
      </c>
      <c r="J747">
        <v>4</v>
      </c>
      <c r="K747">
        <f t="shared" ref="K747:L747" si="2971">K746</f>
        <v>4.333333333333333</v>
      </c>
      <c r="L747">
        <f t="shared" si="2971"/>
        <v>0.47140452079103168</v>
      </c>
      <c r="M747">
        <v>87</v>
      </c>
      <c r="N747">
        <f t="shared" ref="N747:O747" si="2972">N746</f>
        <v>90.666666666666671</v>
      </c>
      <c r="O747">
        <f t="shared" si="2972"/>
        <v>2.6246692913372702</v>
      </c>
      <c r="P747">
        <v>183</v>
      </c>
      <c r="Q747">
        <v>0.67</v>
      </c>
      <c r="R747">
        <v>122.61000000000001</v>
      </c>
      <c r="S747">
        <v>0.48</v>
      </c>
      <c r="T747">
        <v>87.84</v>
      </c>
      <c r="U747" t="s">
        <v>20</v>
      </c>
    </row>
    <row r="748" spans="1:21" x14ac:dyDescent="0.25">
      <c r="A748" t="s">
        <v>417</v>
      </c>
      <c r="B748" s="4" t="s">
        <v>14</v>
      </c>
      <c r="C748" s="1">
        <v>1</v>
      </c>
      <c r="D748">
        <v>120</v>
      </c>
      <c r="E748">
        <v>3</v>
      </c>
      <c r="F748" t="s">
        <v>20</v>
      </c>
      <c r="G748">
        <v>125</v>
      </c>
      <c r="H748">
        <f t="shared" ref="H748:I748" si="2973">H746</f>
        <v>129</v>
      </c>
      <c r="I748">
        <f t="shared" si="2973"/>
        <v>5.6568542494923806</v>
      </c>
      <c r="J748">
        <v>4</v>
      </c>
      <c r="K748">
        <f t="shared" ref="K748:L748" si="2974">K746</f>
        <v>4.333333333333333</v>
      </c>
      <c r="L748">
        <f t="shared" si="2974"/>
        <v>0.47140452079103168</v>
      </c>
      <c r="M748">
        <v>92</v>
      </c>
      <c r="N748">
        <f t="shared" ref="N748:O748" si="2975">N746</f>
        <v>90.666666666666671</v>
      </c>
      <c r="O748">
        <f t="shared" si="2975"/>
        <v>2.6246692913372702</v>
      </c>
      <c r="P748">
        <v>186</v>
      </c>
      <c r="Q748">
        <v>0.71</v>
      </c>
      <c r="R748">
        <v>132.06</v>
      </c>
      <c r="S748">
        <v>0.62</v>
      </c>
      <c r="T748">
        <v>115.32</v>
      </c>
      <c r="U748" t="s">
        <v>20</v>
      </c>
    </row>
    <row r="749" spans="1:21" x14ac:dyDescent="0.25">
      <c r="A749" t="s">
        <v>418</v>
      </c>
      <c r="B749" s="4" t="s">
        <v>14</v>
      </c>
      <c r="C749" s="1">
        <v>1</v>
      </c>
      <c r="D749">
        <v>120</v>
      </c>
      <c r="E749">
        <v>1</v>
      </c>
      <c r="F749">
        <v>84</v>
      </c>
      <c r="G749">
        <v>106</v>
      </c>
      <c r="H749">
        <f t="shared" ref="H749" si="2976">AVERAGE(G749:G751)</f>
        <v>112.33333333333333</v>
      </c>
      <c r="I749">
        <f t="shared" ref="I749" si="2977">_xlfn.STDEV.P(G749:G751)</f>
        <v>4.4969125210773466</v>
      </c>
      <c r="J749">
        <v>3</v>
      </c>
      <c r="K749">
        <f t="shared" ref="K749" si="2978">AVERAGE(J749:J751)</f>
        <v>3.6666666666666665</v>
      </c>
      <c r="L749">
        <f t="shared" ref="L749" si="2979">_xlfn.STDEV.P(J749:J751)</f>
        <v>0.47140452079103168</v>
      </c>
      <c r="M749">
        <v>109</v>
      </c>
      <c r="N749">
        <f t="shared" ref="N749" si="2980">AVERAGE(M749:M751)</f>
        <v>101</v>
      </c>
      <c r="O749">
        <f t="shared" ref="O749" si="2981">_xlfn.STDEV.P(M749:M751)</f>
        <v>8.0415587212098796</v>
      </c>
      <c r="P749">
        <v>162</v>
      </c>
      <c r="Q749">
        <v>0.72</v>
      </c>
      <c r="R749">
        <v>116.64</v>
      </c>
      <c r="S749">
        <v>0.78</v>
      </c>
      <c r="T749">
        <v>126.36</v>
      </c>
      <c r="U749">
        <v>19.66</v>
      </c>
    </row>
    <row r="750" spans="1:21" x14ac:dyDescent="0.25">
      <c r="A750" t="s">
        <v>418</v>
      </c>
      <c r="B750" s="4" t="s">
        <v>14</v>
      </c>
      <c r="C750" s="1">
        <v>1</v>
      </c>
      <c r="D750">
        <v>120</v>
      </c>
      <c r="E750">
        <v>2</v>
      </c>
      <c r="F750" t="s">
        <v>20</v>
      </c>
      <c r="G750">
        <v>115</v>
      </c>
      <c r="H750">
        <f t="shared" ref="H750:I750" si="2982">H749</f>
        <v>112.33333333333333</v>
      </c>
      <c r="I750">
        <f t="shared" si="2982"/>
        <v>4.4969125210773466</v>
      </c>
      <c r="J750">
        <v>4</v>
      </c>
      <c r="K750">
        <f t="shared" ref="K750:L750" si="2983">K749</f>
        <v>3.6666666666666665</v>
      </c>
      <c r="L750">
        <f t="shared" si="2983"/>
        <v>0.47140452079103168</v>
      </c>
      <c r="M750">
        <v>104</v>
      </c>
      <c r="N750">
        <f t="shared" ref="N750:O750" si="2984">N749</f>
        <v>101</v>
      </c>
      <c r="O750">
        <f t="shared" si="2984"/>
        <v>8.0415587212098796</v>
      </c>
      <c r="P750">
        <v>187</v>
      </c>
      <c r="Q750">
        <v>0.56999999999999995</v>
      </c>
      <c r="R750">
        <v>106.58999999999999</v>
      </c>
      <c r="S750">
        <v>0.45</v>
      </c>
      <c r="T750">
        <v>84.15</v>
      </c>
      <c r="U750">
        <v>18.989999999999998</v>
      </c>
    </row>
    <row r="751" spans="1:21" x14ac:dyDescent="0.25">
      <c r="A751" t="s">
        <v>418</v>
      </c>
      <c r="B751" s="4" t="s">
        <v>14</v>
      </c>
      <c r="C751" s="1">
        <v>1</v>
      </c>
      <c r="D751">
        <v>120</v>
      </c>
      <c r="E751">
        <v>3</v>
      </c>
      <c r="F751" t="s">
        <v>20</v>
      </c>
      <c r="G751">
        <v>116</v>
      </c>
      <c r="H751">
        <f t="shared" ref="H751:I751" si="2985">H749</f>
        <v>112.33333333333333</v>
      </c>
      <c r="I751">
        <f t="shared" si="2985"/>
        <v>4.4969125210773466</v>
      </c>
      <c r="J751">
        <v>4</v>
      </c>
      <c r="K751">
        <f t="shared" ref="K751:L751" si="2986">K749</f>
        <v>3.6666666666666665</v>
      </c>
      <c r="L751">
        <f t="shared" si="2986"/>
        <v>0.47140452079103168</v>
      </c>
      <c r="M751">
        <v>90</v>
      </c>
      <c r="N751">
        <f t="shared" ref="N751:O751" si="2987">N749</f>
        <v>101</v>
      </c>
      <c r="O751">
        <f t="shared" si="2987"/>
        <v>8.0415587212098796</v>
      </c>
      <c r="P751">
        <v>186</v>
      </c>
      <c r="Q751">
        <v>0.65</v>
      </c>
      <c r="R751">
        <v>120.9</v>
      </c>
      <c r="S751">
        <v>0.67</v>
      </c>
      <c r="T751">
        <v>124.62</v>
      </c>
      <c r="U751">
        <v>15.52</v>
      </c>
    </row>
    <row r="752" spans="1:21" x14ac:dyDescent="0.25">
      <c r="A752" t="s">
        <v>419</v>
      </c>
      <c r="B752" s="4" t="s">
        <v>49</v>
      </c>
      <c r="C752" s="1">
        <v>4</v>
      </c>
      <c r="D752">
        <v>120</v>
      </c>
      <c r="E752">
        <v>1</v>
      </c>
      <c r="F752">
        <v>28</v>
      </c>
      <c r="G752">
        <v>113</v>
      </c>
      <c r="H752">
        <f t="shared" ref="H752" si="2988">AVERAGE(G752:G754)</f>
        <v>106.33333333333333</v>
      </c>
      <c r="I752">
        <f t="shared" ref="I752" si="2989">_xlfn.STDEV.P(G752:G754)</f>
        <v>5.3124591501697429</v>
      </c>
      <c r="J752">
        <v>1</v>
      </c>
      <c r="K752">
        <f t="shared" ref="K752" si="2990">AVERAGE(J752:J754)</f>
        <v>0.66666666666666663</v>
      </c>
      <c r="L752">
        <f t="shared" ref="L752" si="2991">_xlfn.STDEV.P(J752:J754)</f>
        <v>0.47140452079103168</v>
      </c>
      <c r="M752">
        <v>85</v>
      </c>
      <c r="N752">
        <f t="shared" ref="N752" si="2992">AVERAGE(M752:M754)</f>
        <v>87</v>
      </c>
      <c r="O752">
        <f t="shared" ref="O752" si="2993">_xlfn.STDEV.P(M752:M754)</f>
        <v>2.8284271247461903</v>
      </c>
      <c r="P752">
        <v>183</v>
      </c>
      <c r="Q752">
        <v>0.57999999999999996</v>
      </c>
      <c r="R752">
        <v>106.13999999999999</v>
      </c>
      <c r="S752">
        <v>0.47</v>
      </c>
      <c r="T752">
        <v>86.009999999999991</v>
      </c>
      <c r="U752">
        <v>15.26</v>
      </c>
    </row>
    <row r="753" spans="1:21" x14ac:dyDescent="0.25">
      <c r="A753" t="s">
        <v>419</v>
      </c>
      <c r="B753" s="4" t="s">
        <v>49</v>
      </c>
      <c r="C753" s="1">
        <v>4</v>
      </c>
      <c r="D753">
        <v>120</v>
      </c>
      <c r="E753">
        <v>2</v>
      </c>
      <c r="F753">
        <v>24</v>
      </c>
      <c r="G753">
        <v>100</v>
      </c>
      <c r="H753">
        <f t="shared" ref="H753:I753" si="2994">H752</f>
        <v>106.33333333333333</v>
      </c>
      <c r="I753">
        <f t="shared" si="2994"/>
        <v>5.3124591501697429</v>
      </c>
      <c r="J753">
        <v>0</v>
      </c>
      <c r="K753">
        <f t="shared" ref="K753:L753" si="2995">K752</f>
        <v>0.66666666666666663</v>
      </c>
      <c r="L753">
        <f t="shared" si="2995"/>
        <v>0.47140452079103168</v>
      </c>
      <c r="M753">
        <v>91</v>
      </c>
      <c r="N753">
        <f t="shared" ref="N753:O753" si="2996">N752</f>
        <v>87</v>
      </c>
      <c r="O753">
        <f t="shared" si="2996"/>
        <v>2.8284271247461903</v>
      </c>
      <c r="P753">
        <v>150</v>
      </c>
      <c r="Q753">
        <v>0.68</v>
      </c>
      <c r="R753">
        <v>102.00000000000001</v>
      </c>
      <c r="S753">
        <v>0.61</v>
      </c>
      <c r="T753">
        <v>91.5</v>
      </c>
      <c r="U753">
        <v>17.2</v>
      </c>
    </row>
    <row r="754" spans="1:21" x14ac:dyDescent="0.25">
      <c r="A754" t="s">
        <v>419</v>
      </c>
      <c r="B754" s="4" t="s">
        <v>49</v>
      </c>
      <c r="C754" s="1">
        <v>4</v>
      </c>
      <c r="D754">
        <v>120</v>
      </c>
      <c r="E754">
        <v>3</v>
      </c>
      <c r="F754" t="s">
        <v>20</v>
      </c>
      <c r="G754">
        <v>106</v>
      </c>
      <c r="H754">
        <f t="shared" ref="H754:I754" si="2997">H752</f>
        <v>106.33333333333333</v>
      </c>
      <c r="I754">
        <f t="shared" si="2997"/>
        <v>5.3124591501697429</v>
      </c>
      <c r="J754">
        <v>1</v>
      </c>
      <c r="K754">
        <f t="shared" ref="K754:L754" si="2998">K752</f>
        <v>0.66666666666666663</v>
      </c>
      <c r="L754">
        <f t="shared" si="2998"/>
        <v>0.47140452079103168</v>
      </c>
      <c r="M754">
        <v>85</v>
      </c>
      <c r="N754">
        <f t="shared" ref="N754:O754" si="2999">N752</f>
        <v>87</v>
      </c>
      <c r="O754">
        <f t="shared" si="2999"/>
        <v>2.8284271247461903</v>
      </c>
      <c r="P754">
        <v>167</v>
      </c>
      <c r="Q754">
        <v>0.68</v>
      </c>
      <c r="R754">
        <v>113.56</v>
      </c>
      <c r="S754">
        <v>0.59</v>
      </c>
      <c r="T754">
        <v>98.53</v>
      </c>
      <c r="U754">
        <v>16.989999999999998</v>
      </c>
    </row>
    <row r="755" spans="1:21" x14ac:dyDescent="0.25">
      <c r="A755" t="s">
        <v>420</v>
      </c>
      <c r="B755" s="4" t="s">
        <v>49</v>
      </c>
      <c r="C755" s="1">
        <v>5</v>
      </c>
      <c r="D755">
        <v>120</v>
      </c>
      <c r="E755">
        <v>1</v>
      </c>
      <c r="F755" t="s">
        <v>20</v>
      </c>
      <c r="G755">
        <v>101</v>
      </c>
      <c r="H755">
        <f t="shared" ref="H755" si="3000">AVERAGE(G755:G757)</f>
        <v>102.66666666666667</v>
      </c>
      <c r="I755">
        <f t="shared" ref="I755" si="3001">_xlfn.STDEV.P(G755:G757)</f>
        <v>2.3570226039551581</v>
      </c>
      <c r="J755">
        <v>3</v>
      </c>
      <c r="K755">
        <f t="shared" ref="K755" si="3002">AVERAGE(J755:J757)</f>
        <v>4</v>
      </c>
      <c r="L755">
        <f t="shared" ref="L755" si="3003">_xlfn.STDEV.P(J755:J757)</f>
        <v>0.81649658092772603</v>
      </c>
      <c r="M755">
        <v>100</v>
      </c>
      <c r="N755">
        <f t="shared" ref="N755" si="3004">AVERAGE(M755:M757)</f>
        <v>96.333333333333329</v>
      </c>
      <c r="O755">
        <f t="shared" ref="O755" si="3005">_xlfn.STDEV.P(M755:M757)</f>
        <v>8.1785627642568652</v>
      </c>
      <c r="P755">
        <v>159</v>
      </c>
      <c r="Q755">
        <v>0.64</v>
      </c>
      <c r="R755">
        <v>101.76</v>
      </c>
      <c r="S755">
        <v>0.67</v>
      </c>
      <c r="T755">
        <v>106.53</v>
      </c>
      <c r="U755">
        <v>14.8</v>
      </c>
    </row>
    <row r="756" spans="1:21" x14ac:dyDescent="0.25">
      <c r="A756" t="s">
        <v>420</v>
      </c>
      <c r="B756" s="4" t="s">
        <v>49</v>
      </c>
      <c r="C756" s="1">
        <v>5</v>
      </c>
      <c r="D756">
        <v>120</v>
      </c>
      <c r="E756">
        <v>2</v>
      </c>
      <c r="F756" t="s">
        <v>20</v>
      </c>
      <c r="G756">
        <v>101</v>
      </c>
      <c r="H756">
        <f t="shared" ref="H756:I756" si="3006">H755</f>
        <v>102.66666666666667</v>
      </c>
      <c r="I756">
        <f t="shared" si="3006"/>
        <v>2.3570226039551581</v>
      </c>
      <c r="J756">
        <v>5</v>
      </c>
      <c r="K756">
        <f t="shared" ref="K756:L756" si="3007">K755</f>
        <v>4</v>
      </c>
      <c r="L756">
        <f t="shared" si="3007"/>
        <v>0.81649658092772603</v>
      </c>
      <c r="M756">
        <v>104</v>
      </c>
      <c r="N756">
        <f t="shared" ref="N756:O756" si="3008">N755</f>
        <v>96.333333333333329</v>
      </c>
      <c r="O756">
        <f t="shared" si="3008"/>
        <v>8.1785627642568652</v>
      </c>
      <c r="P756">
        <v>159</v>
      </c>
      <c r="Q756">
        <v>0.66</v>
      </c>
      <c r="R756">
        <v>104.94000000000001</v>
      </c>
      <c r="S756">
        <v>0.63</v>
      </c>
      <c r="T756">
        <v>100.17</v>
      </c>
      <c r="U756">
        <v>14.61</v>
      </c>
    </row>
    <row r="757" spans="1:21" x14ac:dyDescent="0.25">
      <c r="A757" t="s">
        <v>420</v>
      </c>
      <c r="B757" s="4" t="s">
        <v>49</v>
      </c>
      <c r="C757" s="1">
        <v>5</v>
      </c>
      <c r="D757">
        <v>120</v>
      </c>
      <c r="E757">
        <v>3</v>
      </c>
      <c r="F757" t="s">
        <v>20</v>
      </c>
      <c r="G757">
        <v>106</v>
      </c>
      <c r="H757">
        <f t="shared" ref="H757:I757" si="3009">H755</f>
        <v>102.66666666666667</v>
      </c>
      <c r="I757">
        <f t="shared" si="3009"/>
        <v>2.3570226039551581</v>
      </c>
      <c r="J757">
        <v>4</v>
      </c>
      <c r="K757">
        <f t="shared" ref="K757:L757" si="3010">K755</f>
        <v>4</v>
      </c>
      <c r="L757">
        <f t="shared" si="3010"/>
        <v>0.81649658092772603</v>
      </c>
      <c r="M757">
        <v>85</v>
      </c>
      <c r="N757">
        <f t="shared" ref="N757:O757" si="3011">N755</f>
        <v>96.333333333333329</v>
      </c>
      <c r="O757">
        <f t="shared" si="3011"/>
        <v>8.1785627642568652</v>
      </c>
      <c r="P757">
        <v>162</v>
      </c>
      <c r="Q757">
        <v>0.61</v>
      </c>
      <c r="R757">
        <v>98.82</v>
      </c>
      <c r="S757">
        <v>0.4</v>
      </c>
      <c r="T757">
        <v>64.8</v>
      </c>
      <c r="U757">
        <v>14.86</v>
      </c>
    </row>
    <row r="758" spans="1:21" x14ac:dyDescent="0.25">
      <c r="A758" t="s">
        <v>421</v>
      </c>
      <c r="B758" s="4" t="s">
        <v>49</v>
      </c>
      <c r="C758" s="1">
        <v>5</v>
      </c>
      <c r="D758">
        <v>120</v>
      </c>
      <c r="E758">
        <v>1</v>
      </c>
      <c r="F758">
        <v>56</v>
      </c>
      <c r="G758">
        <v>109</v>
      </c>
      <c r="H758">
        <f t="shared" ref="H758" si="3012">AVERAGE(G758:G760)</f>
        <v>113.66666666666667</v>
      </c>
      <c r="I758">
        <f t="shared" ref="I758" si="3013">_xlfn.STDEV.P(G758:G760)</f>
        <v>3.2998316455372216</v>
      </c>
      <c r="J758">
        <v>0</v>
      </c>
      <c r="K758">
        <f t="shared" ref="K758" si="3014">AVERAGE(J758:J760)</f>
        <v>0</v>
      </c>
      <c r="L758">
        <f t="shared" ref="L758" si="3015">_xlfn.STDEV.P(J758:J760)</f>
        <v>0</v>
      </c>
      <c r="M758">
        <v>94</v>
      </c>
      <c r="N758">
        <f t="shared" ref="N758" si="3016">AVERAGE(M758:M760)</f>
        <v>95.666666666666671</v>
      </c>
      <c r="O758">
        <f t="shared" ref="O758" si="3017">_xlfn.STDEV.P(M758:M760)</f>
        <v>8.6538366571647796</v>
      </c>
      <c r="P758">
        <v>168</v>
      </c>
      <c r="Q758">
        <v>0.68</v>
      </c>
      <c r="R758">
        <v>114.24000000000001</v>
      </c>
      <c r="S758">
        <v>0.62</v>
      </c>
      <c r="T758">
        <v>104.16</v>
      </c>
      <c r="U758">
        <v>26.52</v>
      </c>
    </row>
    <row r="759" spans="1:21" x14ac:dyDescent="0.25">
      <c r="A759" t="s">
        <v>421</v>
      </c>
      <c r="B759" s="4" t="s">
        <v>49</v>
      </c>
      <c r="C759" s="1">
        <v>5</v>
      </c>
      <c r="D759">
        <v>120</v>
      </c>
      <c r="E759">
        <v>2</v>
      </c>
      <c r="F759">
        <v>54</v>
      </c>
      <c r="G759">
        <v>116</v>
      </c>
      <c r="H759">
        <f t="shared" ref="H759:I759" si="3018">H758</f>
        <v>113.66666666666667</v>
      </c>
      <c r="I759">
        <f t="shared" si="3018"/>
        <v>3.2998316455372216</v>
      </c>
      <c r="J759">
        <v>0</v>
      </c>
      <c r="K759">
        <f t="shared" ref="K759:L759" si="3019">K758</f>
        <v>0</v>
      </c>
      <c r="L759">
        <f t="shared" si="3019"/>
        <v>0</v>
      </c>
      <c r="M759">
        <v>86</v>
      </c>
      <c r="N759">
        <f t="shared" ref="N759:O759" si="3020">N758</f>
        <v>95.666666666666671</v>
      </c>
      <c r="O759">
        <f t="shared" si="3020"/>
        <v>8.6538366571647796</v>
      </c>
      <c r="P759">
        <v>187</v>
      </c>
      <c r="Q759">
        <v>0.53</v>
      </c>
      <c r="R759">
        <v>99.11</v>
      </c>
      <c r="S759">
        <v>0.37</v>
      </c>
      <c r="T759">
        <v>69.19</v>
      </c>
      <c r="U759">
        <v>17.88</v>
      </c>
    </row>
    <row r="760" spans="1:21" x14ac:dyDescent="0.25">
      <c r="A760" t="s">
        <v>421</v>
      </c>
      <c r="B760" s="4" t="s">
        <v>49</v>
      </c>
      <c r="C760" s="1">
        <v>5</v>
      </c>
      <c r="D760">
        <v>120</v>
      </c>
      <c r="E760">
        <v>3</v>
      </c>
      <c r="F760" t="s">
        <v>20</v>
      </c>
      <c r="G760">
        <v>116</v>
      </c>
      <c r="H760">
        <f t="shared" ref="H760:I760" si="3021">H758</f>
        <v>113.66666666666667</v>
      </c>
      <c r="I760">
        <f t="shared" si="3021"/>
        <v>3.2998316455372216</v>
      </c>
      <c r="J760">
        <v>0</v>
      </c>
      <c r="K760">
        <f t="shared" ref="K760:L760" si="3022">K758</f>
        <v>0</v>
      </c>
      <c r="L760">
        <f t="shared" si="3022"/>
        <v>0</v>
      </c>
      <c r="M760">
        <v>107</v>
      </c>
      <c r="N760">
        <f t="shared" ref="N760:O760" si="3023">N758</f>
        <v>95.666666666666671</v>
      </c>
      <c r="O760">
        <f t="shared" si="3023"/>
        <v>8.6538366571647796</v>
      </c>
      <c r="P760">
        <v>177</v>
      </c>
      <c r="Q760">
        <v>0.6</v>
      </c>
      <c r="R760">
        <v>106.2</v>
      </c>
      <c r="S760">
        <v>0.53</v>
      </c>
      <c r="T760">
        <v>93.81</v>
      </c>
      <c r="U760">
        <v>18.18</v>
      </c>
    </row>
    <row r="761" spans="1:21" x14ac:dyDescent="0.25">
      <c r="A761" t="s">
        <v>422</v>
      </c>
      <c r="B761" s="4" t="s">
        <v>49</v>
      </c>
      <c r="C761" s="1">
        <v>4</v>
      </c>
      <c r="D761">
        <v>120</v>
      </c>
      <c r="E761">
        <v>1</v>
      </c>
      <c r="F761">
        <v>30</v>
      </c>
      <c r="G761">
        <v>104</v>
      </c>
      <c r="H761">
        <f t="shared" ref="H761" si="3024">AVERAGE(G761:G763)</f>
        <v>109.66666666666667</v>
      </c>
      <c r="I761">
        <f t="shared" ref="I761" si="3025">_xlfn.STDEV.P(G761:G763)</f>
        <v>4.9216076867444665</v>
      </c>
      <c r="J761">
        <v>1</v>
      </c>
      <c r="K761">
        <f t="shared" ref="K761" si="3026">AVERAGE(J761:J763)</f>
        <v>1</v>
      </c>
      <c r="L761">
        <f t="shared" ref="L761" si="3027">_xlfn.STDEV.P(J761:J763)</f>
        <v>0.81649658092772603</v>
      </c>
      <c r="M761">
        <v>118</v>
      </c>
      <c r="N761">
        <f t="shared" ref="N761" si="3028">AVERAGE(M761:M763)</f>
        <v>112</v>
      </c>
      <c r="O761">
        <f t="shared" ref="O761" si="3029">_xlfn.STDEV.P(M761:M763)</f>
        <v>5.3541261347363367</v>
      </c>
      <c r="P761">
        <v>162</v>
      </c>
      <c r="Q761">
        <v>0.68</v>
      </c>
      <c r="R761">
        <v>110.16000000000001</v>
      </c>
      <c r="S761">
        <v>0.7</v>
      </c>
      <c r="T761">
        <v>113.39999999999999</v>
      </c>
      <c r="U761">
        <v>13.56</v>
      </c>
    </row>
    <row r="762" spans="1:21" x14ac:dyDescent="0.25">
      <c r="A762" t="s">
        <v>422</v>
      </c>
      <c r="B762" s="4" t="s">
        <v>49</v>
      </c>
      <c r="C762" s="1">
        <v>4</v>
      </c>
      <c r="D762">
        <v>120</v>
      </c>
      <c r="E762">
        <v>2</v>
      </c>
      <c r="F762">
        <v>42</v>
      </c>
      <c r="G762">
        <v>109</v>
      </c>
      <c r="H762">
        <f t="shared" ref="H762:I762" si="3030">H761</f>
        <v>109.66666666666667</v>
      </c>
      <c r="I762">
        <f t="shared" si="3030"/>
        <v>4.9216076867444665</v>
      </c>
      <c r="J762">
        <v>2</v>
      </c>
      <c r="K762">
        <f t="shared" ref="K762:L762" si="3031">K761</f>
        <v>1</v>
      </c>
      <c r="L762">
        <f t="shared" si="3031"/>
        <v>0.81649658092772603</v>
      </c>
      <c r="M762">
        <v>105</v>
      </c>
      <c r="N762">
        <f t="shared" ref="N762:O762" si="3032">N761</f>
        <v>112</v>
      </c>
      <c r="O762">
        <f t="shared" si="3032"/>
        <v>5.3541261347363367</v>
      </c>
      <c r="P762">
        <v>159</v>
      </c>
      <c r="Q762">
        <v>0.71</v>
      </c>
      <c r="R762">
        <v>112.89</v>
      </c>
      <c r="S762">
        <v>0.74</v>
      </c>
      <c r="T762">
        <v>117.66</v>
      </c>
      <c r="U762">
        <v>17.77</v>
      </c>
    </row>
    <row r="763" spans="1:21" x14ac:dyDescent="0.25">
      <c r="A763" t="s">
        <v>422</v>
      </c>
      <c r="B763" s="4" t="s">
        <v>49</v>
      </c>
      <c r="C763" s="1">
        <v>4</v>
      </c>
      <c r="D763">
        <v>120</v>
      </c>
      <c r="E763">
        <v>3</v>
      </c>
      <c r="F763" t="s">
        <v>20</v>
      </c>
      <c r="G763">
        <v>116</v>
      </c>
      <c r="H763">
        <f t="shared" ref="H763:I763" si="3033">H761</f>
        <v>109.66666666666667</v>
      </c>
      <c r="I763">
        <f t="shared" si="3033"/>
        <v>4.9216076867444665</v>
      </c>
      <c r="J763">
        <v>0</v>
      </c>
      <c r="K763">
        <f t="shared" ref="K763:L763" si="3034">K761</f>
        <v>1</v>
      </c>
      <c r="L763">
        <f t="shared" si="3034"/>
        <v>0.81649658092772603</v>
      </c>
      <c r="M763">
        <v>113</v>
      </c>
      <c r="N763">
        <f t="shared" ref="N763:O763" si="3035">N761</f>
        <v>112</v>
      </c>
      <c r="O763">
        <f t="shared" si="3035"/>
        <v>5.3541261347363367</v>
      </c>
      <c r="P763">
        <v>186</v>
      </c>
      <c r="Q763">
        <v>0.62</v>
      </c>
      <c r="R763">
        <v>115.32</v>
      </c>
      <c r="S763">
        <v>0.72</v>
      </c>
      <c r="T763">
        <v>133.91999999999999</v>
      </c>
      <c r="U763">
        <v>16.5</v>
      </c>
    </row>
    <row r="764" spans="1:21" x14ac:dyDescent="0.25">
      <c r="A764" t="s">
        <v>423</v>
      </c>
      <c r="B764" s="4" t="s">
        <v>182</v>
      </c>
      <c r="C764" s="1">
        <v>2</v>
      </c>
      <c r="D764">
        <v>120</v>
      </c>
      <c r="E764">
        <v>1</v>
      </c>
      <c r="F764">
        <v>56</v>
      </c>
      <c r="G764">
        <v>140</v>
      </c>
      <c r="H764">
        <f t="shared" ref="H764" si="3036">AVERAGE(G764:G766)</f>
        <v>141.66666666666666</v>
      </c>
      <c r="I764">
        <f t="shared" ref="I764" si="3037">_xlfn.STDEV.P(G764:G766)</f>
        <v>3.0912061651652345</v>
      </c>
      <c r="J764">
        <v>0</v>
      </c>
      <c r="K764">
        <f t="shared" ref="K764" si="3038">AVERAGE(J764:J766)</f>
        <v>0.66666666666666663</v>
      </c>
      <c r="L764">
        <f t="shared" ref="L764" si="3039">_xlfn.STDEV.P(J764:J766)</f>
        <v>0.47140452079103168</v>
      </c>
      <c r="M764">
        <v>122</v>
      </c>
      <c r="N764">
        <f t="shared" ref="N764" si="3040">AVERAGE(M764:M766)</f>
        <v>125.66666666666667</v>
      </c>
      <c r="O764">
        <f t="shared" ref="O764" si="3041">_xlfn.STDEV.P(M764:M766)</f>
        <v>3.2998316455372216</v>
      </c>
      <c r="P764">
        <v>180</v>
      </c>
      <c r="Q764">
        <v>0.7</v>
      </c>
      <c r="R764">
        <v>125.99999999999999</v>
      </c>
      <c r="S764">
        <v>0.76</v>
      </c>
      <c r="T764">
        <v>136.80000000000001</v>
      </c>
      <c r="U764" t="s">
        <v>20</v>
      </c>
    </row>
    <row r="765" spans="1:21" x14ac:dyDescent="0.25">
      <c r="A765" t="s">
        <v>423</v>
      </c>
      <c r="B765" s="4" t="s">
        <v>182</v>
      </c>
      <c r="C765" s="1">
        <v>2</v>
      </c>
      <c r="D765">
        <v>120</v>
      </c>
      <c r="E765">
        <v>2</v>
      </c>
      <c r="F765">
        <v>58</v>
      </c>
      <c r="G765">
        <v>139</v>
      </c>
      <c r="H765">
        <f t="shared" ref="H765:I765" si="3042">H764</f>
        <v>141.66666666666666</v>
      </c>
      <c r="I765">
        <f t="shared" si="3042"/>
        <v>3.0912061651652345</v>
      </c>
      <c r="J765">
        <v>1</v>
      </c>
      <c r="K765">
        <f t="shared" ref="K765:L765" si="3043">K764</f>
        <v>0.66666666666666663</v>
      </c>
      <c r="L765">
        <f t="shared" si="3043"/>
        <v>0.47140452079103168</v>
      </c>
      <c r="M765">
        <v>130</v>
      </c>
      <c r="N765">
        <f t="shared" ref="N765:O765" si="3044">N764</f>
        <v>125.66666666666667</v>
      </c>
      <c r="O765">
        <f t="shared" si="3044"/>
        <v>3.2998316455372216</v>
      </c>
      <c r="P765">
        <v>177</v>
      </c>
      <c r="Q765">
        <v>0.69</v>
      </c>
      <c r="R765">
        <v>122.13</v>
      </c>
      <c r="S765">
        <v>0.74</v>
      </c>
      <c r="T765">
        <v>130.97999999999999</v>
      </c>
      <c r="U765" t="s">
        <v>20</v>
      </c>
    </row>
    <row r="766" spans="1:21" x14ac:dyDescent="0.25">
      <c r="A766" t="s">
        <v>423</v>
      </c>
      <c r="B766" s="4" t="s">
        <v>182</v>
      </c>
      <c r="C766" s="1">
        <v>2</v>
      </c>
      <c r="D766">
        <v>120</v>
      </c>
      <c r="E766">
        <v>3</v>
      </c>
      <c r="F766" t="s">
        <v>20</v>
      </c>
      <c r="G766">
        <v>146</v>
      </c>
      <c r="H766">
        <f t="shared" ref="H766:I766" si="3045">H764</f>
        <v>141.66666666666666</v>
      </c>
      <c r="I766">
        <f t="shared" si="3045"/>
        <v>3.0912061651652345</v>
      </c>
      <c r="J766">
        <v>1</v>
      </c>
      <c r="K766">
        <f t="shared" ref="K766:L766" si="3046">K764</f>
        <v>0.66666666666666663</v>
      </c>
      <c r="L766">
        <f t="shared" si="3046"/>
        <v>0.47140452079103168</v>
      </c>
      <c r="M766">
        <v>125</v>
      </c>
      <c r="N766">
        <f t="shared" ref="N766:O766" si="3047">N764</f>
        <v>125.66666666666667</v>
      </c>
      <c r="O766">
        <f t="shared" si="3047"/>
        <v>3.2998316455372216</v>
      </c>
      <c r="P766">
        <v>177</v>
      </c>
      <c r="Q766">
        <v>0.67</v>
      </c>
      <c r="R766">
        <v>118.59</v>
      </c>
      <c r="S766">
        <v>0.74</v>
      </c>
      <c r="T766">
        <v>130.97999999999999</v>
      </c>
      <c r="U766" t="s">
        <v>20</v>
      </c>
    </row>
    <row r="767" spans="1:21" x14ac:dyDescent="0.25">
      <c r="A767" t="s">
        <v>424</v>
      </c>
      <c r="B767" s="4" t="s">
        <v>182</v>
      </c>
      <c r="C767" s="1">
        <v>4</v>
      </c>
      <c r="D767">
        <v>120</v>
      </c>
      <c r="E767">
        <v>1</v>
      </c>
      <c r="F767">
        <v>50</v>
      </c>
      <c r="G767">
        <v>117</v>
      </c>
      <c r="H767">
        <f t="shared" ref="H767" si="3048">AVERAGE(G767:G769)</f>
        <v>117</v>
      </c>
      <c r="I767">
        <f t="shared" ref="I767" si="3049">_xlfn.STDEV.P(G767:G769)</f>
        <v>3.2659863237109041</v>
      </c>
      <c r="J767">
        <v>5</v>
      </c>
      <c r="K767">
        <f t="shared" ref="K767" si="3050">AVERAGE(J767:J769)</f>
        <v>5</v>
      </c>
      <c r="L767">
        <f t="shared" ref="L767" si="3051">_xlfn.STDEV.P(J767:J769)</f>
        <v>0</v>
      </c>
      <c r="M767">
        <v>100</v>
      </c>
      <c r="N767">
        <f t="shared" ref="N767" si="3052">AVERAGE(M767:M769)</f>
        <v>102.66666666666667</v>
      </c>
      <c r="O767">
        <f t="shared" ref="O767" si="3053">_xlfn.STDEV.P(M767:M769)</f>
        <v>3.0912061651652345</v>
      </c>
      <c r="P767">
        <v>186</v>
      </c>
      <c r="Q767">
        <v>0.63</v>
      </c>
      <c r="R767">
        <v>117.18</v>
      </c>
      <c r="S767">
        <v>0.51</v>
      </c>
      <c r="T767">
        <v>94.86</v>
      </c>
      <c r="U767">
        <v>20.059999999999999</v>
      </c>
    </row>
    <row r="768" spans="1:21" x14ac:dyDescent="0.25">
      <c r="A768" t="s">
        <v>424</v>
      </c>
      <c r="B768" s="4" t="s">
        <v>182</v>
      </c>
      <c r="C768" s="1">
        <v>4</v>
      </c>
      <c r="D768">
        <v>120</v>
      </c>
      <c r="E768">
        <v>2</v>
      </c>
      <c r="F768">
        <v>82</v>
      </c>
      <c r="G768">
        <v>121</v>
      </c>
      <c r="H768">
        <f t="shared" ref="H768:I768" si="3054">H767</f>
        <v>117</v>
      </c>
      <c r="I768">
        <f t="shared" si="3054"/>
        <v>3.2659863237109041</v>
      </c>
      <c r="J768">
        <v>5</v>
      </c>
      <c r="K768">
        <f t="shared" ref="K768:L768" si="3055">K767</f>
        <v>5</v>
      </c>
      <c r="L768">
        <f t="shared" si="3055"/>
        <v>0</v>
      </c>
      <c r="M768">
        <v>101</v>
      </c>
      <c r="N768">
        <f t="shared" ref="N768:O768" si="3056">N767</f>
        <v>102.66666666666667</v>
      </c>
      <c r="O768">
        <f t="shared" si="3056"/>
        <v>3.0912061651652345</v>
      </c>
      <c r="P768">
        <v>186</v>
      </c>
      <c r="Q768">
        <v>0.59</v>
      </c>
      <c r="R768">
        <v>109.74</v>
      </c>
      <c r="S768">
        <v>0.3</v>
      </c>
      <c r="T768">
        <v>55.8</v>
      </c>
      <c r="U768" t="s">
        <v>20</v>
      </c>
    </row>
    <row r="769" spans="1:21" x14ac:dyDescent="0.25">
      <c r="A769" t="s">
        <v>424</v>
      </c>
      <c r="B769" s="4" t="s">
        <v>182</v>
      </c>
      <c r="C769" s="1">
        <v>4</v>
      </c>
      <c r="D769">
        <v>120</v>
      </c>
      <c r="E769">
        <v>3</v>
      </c>
      <c r="F769" t="s">
        <v>20</v>
      </c>
      <c r="G769">
        <v>113</v>
      </c>
      <c r="H769">
        <f t="shared" ref="H769:I769" si="3057">H767</f>
        <v>117</v>
      </c>
      <c r="I769">
        <f t="shared" si="3057"/>
        <v>3.2659863237109041</v>
      </c>
      <c r="J769">
        <v>5</v>
      </c>
      <c r="K769">
        <f t="shared" ref="K769:L769" si="3058">K767</f>
        <v>5</v>
      </c>
      <c r="L769">
        <f t="shared" si="3058"/>
        <v>0</v>
      </c>
      <c r="M769">
        <v>107</v>
      </c>
      <c r="N769">
        <f t="shared" ref="N769:O769" si="3059">N767</f>
        <v>102.66666666666667</v>
      </c>
      <c r="O769">
        <f t="shared" si="3059"/>
        <v>3.0912061651652345</v>
      </c>
      <c r="P769">
        <v>186</v>
      </c>
      <c r="Q769">
        <v>0.51</v>
      </c>
      <c r="R769">
        <v>94.86</v>
      </c>
      <c r="S769">
        <v>0.3</v>
      </c>
      <c r="T769">
        <v>55.8</v>
      </c>
      <c r="U769" t="s">
        <v>20</v>
      </c>
    </row>
    <row r="770" spans="1:21" x14ac:dyDescent="0.25">
      <c r="A770" t="s">
        <v>425</v>
      </c>
      <c r="B770" s="4" t="s">
        <v>189</v>
      </c>
      <c r="C770" s="1">
        <v>4</v>
      </c>
      <c r="D770">
        <v>120</v>
      </c>
      <c r="E770">
        <v>1</v>
      </c>
      <c r="F770" t="s">
        <v>20</v>
      </c>
      <c r="G770">
        <v>135</v>
      </c>
      <c r="H770">
        <f t="shared" ref="H770" si="3060">AVERAGE(G770:G772)</f>
        <v>111.66666666666667</v>
      </c>
      <c r="I770">
        <f t="shared" ref="I770" si="3061">_xlfn.STDEV.P(G770:G772)</f>
        <v>16.49915822768611</v>
      </c>
      <c r="J770">
        <v>3</v>
      </c>
      <c r="K770">
        <f t="shared" ref="K770" si="3062">AVERAGE(J770:J772)</f>
        <v>2.6666666666666665</v>
      </c>
      <c r="L770">
        <f t="shared" ref="L770" si="3063">_xlfn.STDEV.P(J770:J772)</f>
        <v>0.47140452079103168</v>
      </c>
      <c r="M770">
        <v>110</v>
      </c>
      <c r="N770">
        <f t="shared" ref="N770" si="3064">AVERAGE(M770:M772)</f>
        <v>102.66666666666667</v>
      </c>
      <c r="O770">
        <f t="shared" ref="O770" si="3065">_xlfn.STDEV.P(M770:M772)</f>
        <v>8.993825042154695</v>
      </c>
      <c r="P770">
        <v>186</v>
      </c>
      <c r="Q770">
        <v>0.39</v>
      </c>
      <c r="R770">
        <v>72.540000000000006</v>
      </c>
      <c r="S770">
        <v>0.44</v>
      </c>
      <c r="T770">
        <v>81.84</v>
      </c>
      <c r="U770">
        <v>19.45</v>
      </c>
    </row>
    <row r="771" spans="1:21" x14ac:dyDescent="0.25">
      <c r="A771" t="s">
        <v>425</v>
      </c>
      <c r="B771" s="4" t="s">
        <v>189</v>
      </c>
      <c r="C771" s="1">
        <v>4</v>
      </c>
      <c r="D771">
        <v>120</v>
      </c>
      <c r="E771">
        <v>2</v>
      </c>
      <c r="F771">
        <v>10</v>
      </c>
      <c r="G771">
        <v>100</v>
      </c>
      <c r="H771">
        <f t="shared" ref="H771:I771" si="3066">H770</f>
        <v>111.66666666666667</v>
      </c>
      <c r="I771">
        <f t="shared" si="3066"/>
        <v>16.49915822768611</v>
      </c>
      <c r="J771">
        <v>3</v>
      </c>
      <c r="K771">
        <f t="shared" ref="K771:L771" si="3067">K770</f>
        <v>2.6666666666666665</v>
      </c>
      <c r="L771">
        <f t="shared" si="3067"/>
        <v>0.47140452079103168</v>
      </c>
      <c r="M771">
        <v>108</v>
      </c>
      <c r="N771">
        <f t="shared" ref="N771:O771" si="3068">N770</f>
        <v>102.66666666666667</v>
      </c>
      <c r="O771">
        <f t="shared" si="3068"/>
        <v>8.993825042154695</v>
      </c>
      <c r="P771">
        <v>155</v>
      </c>
      <c r="Q771">
        <v>0.52</v>
      </c>
      <c r="R771">
        <v>80.600000000000009</v>
      </c>
      <c r="S771">
        <v>0.68</v>
      </c>
      <c r="T771">
        <v>105.4</v>
      </c>
      <c r="U771">
        <v>22.46</v>
      </c>
    </row>
    <row r="772" spans="1:21" x14ac:dyDescent="0.25">
      <c r="A772" t="s">
        <v>425</v>
      </c>
      <c r="B772" s="4" t="s">
        <v>189</v>
      </c>
      <c r="C772" s="1">
        <v>4</v>
      </c>
      <c r="D772">
        <v>120</v>
      </c>
      <c r="E772">
        <v>3</v>
      </c>
      <c r="F772">
        <v>110</v>
      </c>
      <c r="G772">
        <v>100</v>
      </c>
      <c r="H772">
        <f t="shared" ref="H772:I772" si="3069">H770</f>
        <v>111.66666666666667</v>
      </c>
      <c r="I772">
        <f t="shared" si="3069"/>
        <v>16.49915822768611</v>
      </c>
      <c r="J772">
        <v>2</v>
      </c>
      <c r="K772">
        <f t="shared" ref="K772:L772" si="3070">K770</f>
        <v>2.6666666666666665</v>
      </c>
      <c r="L772">
        <f t="shared" si="3070"/>
        <v>0.47140452079103168</v>
      </c>
      <c r="M772">
        <v>90</v>
      </c>
      <c r="N772">
        <f t="shared" ref="N772:O772" si="3071">N770</f>
        <v>102.66666666666667</v>
      </c>
      <c r="O772">
        <f t="shared" si="3071"/>
        <v>8.993825042154695</v>
      </c>
      <c r="P772">
        <v>152</v>
      </c>
      <c r="Q772">
        <v>0.55000000000000004</v>
      </c>
      <c r="R772">
        <v>83.600000000000009</v>
      </c>
      <c r="S772">
        <v>0.4</v>
      </c>
      <c r="T772">
        <v>60.800000000000004</v>
      </c>
      <c r="U772">
        <v>25.65</v>
      </c>
    </row>
    <row r="773" spans="1:21" x14ac:dyDescent="0.25">
      <c r="A773" t="s">
        <v>426</v>
      </c>
      <c r="B773" s="4" t="s">
        <v>189</v>
      </c>
      <c r="C773" s="1">
        <v>4</v>
      </c>
      <c r="D773">
        <v>120</v>
      </c>
      <c r="E773">
        <v>1</v>
      </c>
      <c r="F773">
        <v>46</v>
      </c>
      <c r="G773">
        <v>99</v>
      </c>
      <c r="H773">
        <f t="shared" ref="H773" si="3072">AVERAGE(G773:G775)</f>
        <v>100.33333333333333</v>
      </c>
      <c r="I773">
        <f t="shared" ref="I773" si="3073">_xlfn.STDEV.P(G773:G775)</f>
        <v>0.94280904158206336</v>
      </c>
      <c r="J773">
        <v>1</v>
      </c>
      <c r="K773">
        <f t="shared" ref="K773" si="3074">AVERAGE(J773:J775)</f>
        <v>1</v>
      </c>
      <c r="L773">
        <f t="shared" ref="L773" si="3075">_xlfn.STDEV.P(J773:J775)</f>
        <v>0.81649658092772603</v>
      </c>
      <c r="M773" t="s">
        <v>20</v>
      </c>
      <c r="N773">
        <f t="shared" ref="N773" si="3076">AVERAGE(M773:M775)</f>
        <v>104.5</v>
      </c>
      <c r="O773">
        <f t="shared" ref="O773" si="3077">_xlfn.STDEV.P(M773:M775)</f>
        <v>3.5</v>
      </c>
      <c r="Q773" t="s">
        <v>20</v>
      </c>
      <c r="R773" t="s">
        <v>20</v>
      </c>
      <c r="S773" t="s">
        <v>20</v>
      </c>
      <c r="T773" t="s">
        <v>20</v>
      </c>
      <c r="U773">
        <v>15.17</v>
      </c>
    </row>
    <row r="774" spans="1:21" x14ac:dyDescent="0.25">
      <c r="A774" t="s">
        <v>426</v>
      </c>
      <c r="B774" s="4" t="s">
        <v>189</v>
      </c>
      <c r="C774" s="1">
        <v>4</v>
      </c>
      <c r="D774">
        <v>120</v>
      </c>
      <c r="E774">
        <v>2</v>
      </c>
      <c r="F774" t="s">
        <v>20</v>
      </c>
      <c r="G774">
        <v>101</v>
      </c>
      <c r="H774">
        <f t="shared" ref="H774:I774" si="3078">H773</f>
        <v>100.33333333333333</v>
      </c>
      <c r="I774">
        <f t="shared" si="3078"/>
        <v>0.94280904158206336</v>
      </c>
      <c r="J774">
        <v>0</v>
      </c>
      <c r="K774">
        <f t="shared" ref="K774:L774" si="3079">K773</f>
        <v>1</v>
      </c>
      <c r="L774">
        <f t="shared" si="3079"/>
        <v>0.81649658092772603</v>
      </c>
      <c r="M774">
        <v>108</v>
      </c>
      <c r="N774">
        <f t="shared" ref="N774:O774" si="3080">N773</f>
        <v>104.5</v>
      </c>
      <c r="O774">
        <f t="shared" si="3080"/>
        <v>3.5</v>
      </c>
      <c r="P774">
        <v>153</v>
      </c>
      <c r="Q774">
        <v>0.69</v>
      </c>
      <c r="R774" t="s">
        <v>20</v>
      </c>
      <c r="S774">
        <v>0.68</v>
      </c>
      <c r="T774" t="s">
        <v>20</v>
      </c>
      <c r="U774">
        <v>16.18</v>
      </c>
    </row>
    <row r="775" spans="1:21" x14ac:dyDescent="0.25">
      <c r="A775" t="s">
        <v>426</v>
      </c>
      <c r="B775" s="4" t="s">
        <v>189</v>
      </c>
      <c r="C775" s="1">
        <v>4</v>
      </c>
      <c r="D775">
        <v>120</v>
      </c>
      <c r="E775">
        <v>3</v>
      </c>
      <c r="F775" t="s">
        <v>20</v>
      </c>
      <c r="G775">
        <v>101</v>
      </c>
      <c r="H775">
        <f t="shared" ref="H775:I775" si="3081">H773</f>
        <v>100.33333333333333</v>
      </c>
      <c r="I775">
        <f t="shared" si="3081"/>
        <v>0.94280904158206336</v>
      </c>
      <c r="J775">
        <v>2</v>
      </c>
      <c r="K775">
        <f t="shared" ref="K775:L775" si="3082">K773</f>
        <v>1</v>
      </c>
      <c r="L775">
        <f t="shared" si="3082"/>
        <v>0.81649658092772603</v>
      </c>
      <c r="M775">
        <v>101</v>
      </c>
      <c r="N775">
        <f t="shared" ref="N775:O775" si="3083">N773</f>
        <v>104.5</v>
      </c>
      <c r="O775">
        <f t="shared" si="3083"/>
        <v>3.5</v>
      </c>
      <c r="P775">
        <v>155</v>
      </c>
      <c r="Q775">
        <v>0.68</v>
      </c>
      <c r="R775" t="s">
        <v>20</v>
      </c>
      <c r="S775">
        <v>0.71</v>
      </c>
      <c r="T775" t="s">
        <v>20</v>
      </c>
      <c r="U775">
        <v>14.53</v>
      </c>
    </row>
    <row r="776" spans="1:21" x14ac:dyDescent="0.25">
      <c r="A776" t="s">
        <v>427</v>
      </c>
      <c r="B776" s="4" t="s">
        <v>189</v>
      </c>
      <c r="C776" s="1">
        <v>5</v>
      </c>
      <c r="D776">
        <v>120</v>
      </c>
      <c r="E776">
        <v>1</v>
      </c>
      <c r="F776">
        <v>12</v>
      </c>
      <c r="G776">
        <v>112</v>
      </c>
      <c r="H776">
        <f t="shared" ref="H776" si="3084">AVERAGE(G776:G778)</f>
        <v>112.33333333333333</v>
      </c>
      <c r="I776">
        <f t="shared" ref="I776" si="3085">_xlfn.STDEV.P(G776:G778)</f>
        <v>2.8674417556808756</v>
      </c>
      <c r="J776">
        <v>2</v>
      </c>
      <c r="K776">
        <f t="shared" ref="K776" si="3086">AVERAGE(J776:J778)</f>
        <v>2.3333333333333335</v>
      </c>
      <c r="L776">
        <f t="shared" ref="L776" si="3087">_xlfn.STDEV.P(J776:J778)</f>
        <v>0.47140452079103168</v>
      </c>
      <c r="M776">
        <v>110</v>
      </c>
      <c r="N776">
        <f t="shared" ref="N776" si="3088">AVERAGE(M776:M778)</f>
        <v>111.66666666666667</v>
      </c>
      <c r="O776">
        <f t="shared" ref="O776" si="3089">_xlfn.STDEV.P(M776:M778)</f>
        <v>1.247219128924647</v>
      </c>
      <c r="P776">
        <v>183</v>
      </c>
      <c r="Q776">
        <v>0.5</v>
      </c>
      <c r="R776">
        <v>91.5</v>
      </c>
      <c r="S776">
        <v>0.36</v>
      </c>
      <c r="T776">
        <v>65.88</v>
      </c>
      <c r="U776">
        <v>16.63</v>
      </c>
    </row>
    <row r="777" spans="1:21" x14ac:dyDescent="0.25">
      <c r="A777" t="s">
        <v>427</v>
      </c>
      <c r="B777" s="4" t="s">
        <v>189</v>
      </c>
      <c r="C777" s="1">
        <v>5</v>
      </c>
      <c r="D777">
        <v>120</v>
      </c>
      <c r="E777">
        <v>2</v>
      </c>
      <c r="F777">
        <v>14</v>
      </c>
      <c r="G777">
        <v>116</v>
      </c>
      <c r="H777">
        <f t="shared" ref="H777:I777" si="3090">H776</f>
        <v>112.33333333333333</v>
      </c>
      <c r="I777">
        <f t="shared" si="3090"/>
        <v>2.8674417556808756</v>
      </c>
      <c r="J777">
        <v>2</v>
      </c>
      <c r="K777">
        <f t="shared" ref="K777:L777" si="3091">K776</f>
        <v>2.3333333333333335</v>
      </c>
      <c r="L777">
        <f t="shared" si="3091"/>
        <v>0.47140452079103168</v>
      </c>
      <c r="M777">
        <v>112</v>
      </c>
      <c r="N777">
        <f t="shared" ref="N777:O777" si="3092">N776</f>
        <v>111.66666666666667</v>
      </c>
      <c r="O777">
        <f t="shared" si="3092"/>
        <v>1.247219128924647</v>
      </c>
      <c r="P777">
        <v>181</v>
      </c>
      <c r="Q777">
        <v>0.45</v>
      </c>
      <c r="R777">
        <v>81.45</v>
      </c>
      <c r="S777">
        <v>0.3</v>
      </c>
      <c r="T777">
        <v>54.3</v>
      </c>
      <c r="U777">
        <v>18.41</v>
      </c>
    </row>
    <row r="778" spans="1:21" x14ac:dyDescent="0.25">
      <c r="A778" t="s">
        <v>427</v>
      </c>
      <c r="B778" s="4" t="s">
        <v>189</v>
      </c>
      <c r="C778" s="1">
        <v>5</v>
      </c>
      <c r="D778">
        <v>120</v>
      </c>
      <c r="E778">
        <v>3</v>
      </c>
      <c r="F778" t="s">
        <v>20</v>
      </c>
      <c r="G778">
        <v>109</v>
      </c>
      <c r="H778">
        <f t="shared" ref="H778:I778" si="3093">H776</f>
        <v>112.33333333333333</v>
      </c>
      <c r="I778">
        <f t="shared" si="3093"/>
        <v>2.8674417556808756</v>
      </c>
      <c r="J778">
        <v>3</v>
      </c>
      <c r="K778">
        <f t="shared" ref="K778:L778" si="3094">K776</f>
        <v>2.3333333333333335</v>
      </c>
      <c r="L778">
        <f t="shared" si="3094"/>
        <v>0.47140452079103168</v>
      </c>
      <c r="M778">
        <v>113</v>
      </c>
      <c r="N778">
        <f t="shared" ref="N778:O778" si="3095">N776</f>
        <v>111.66666666666667</v>
      </c>
      <c r="O778">
        <f t="shared" si="3095"/>
        <v>1.247219128924647</v>
      </c>
      <c r="P778">
        <v>186</v>
      </c>
      <c r="Q778">
        <v>0.43</v>
      </c>
      <c r="R778">
        <v>79.98</v>
      </c>
      <c r="S778">
        <v>0.42</v>
      </c>
      <c r="T778">
        <v>78.11999999999999</v>
      </c>
      <c r="U778" t="s">
        <v>20</v>
      </c>
    </row>
    <row r="779" spans="1:21" x14ac:dyDescent="0.25">
      <c r="A779" t="s">
        <v>428</v>
      </c>
      <c r="B779" s="4" t="s">
        <v>49</v>
      </c>
      <c r="C779" s="1">
        <v>5</v>
      </c>
      <c r="D779">
        <v>120</v>
      </c>
      <c r="E779">
        <v>1</v>
      </c>
      <c r="F779">
        <v>42</v>
      </c>
      <c r="G779">
        <v>113</v>
      </c>
      <c r="H779">
        <f t="shared" ref="H779" si="3096">AVERAGE(G779:G781)</f>
        <v>112.66666666666667</v>
      </c>
      <c r="I779">
        <f t="shared" ref="I779" si="3097">_xlfn.STDEV.P(G779:G781)</f>
        <v>0.47140452079103168</v>
      </c>
      <c r="J779">
        <v>3</v>
      </c>
      <c r="K779">
        <f t="shared" ref="K779" si="3098">AVERAGE(J779:J781)</f>
        <v>3</v>
      </c>
      <c r="L779">
        <f t="shared" ref="L779" si="3099">_xlfn.STDEV.P(J779:J781)</f>
        <v>0.81649658092772603</v>
      </c>
      <c r="M779">
        <v>116</v>
      </c>
      <c r="N779">
        <f t="shared" ref="N779" si="3100">AVERAGE(M779:M781)</f>
        <v>118</v>
      </c>
      <c r="O779">
        <f t="shared" ref="O779" si="3101">_xlfn.STDEV.P(M779:M781)</f>
        <v>1.6329931618554521</v>
      </c>
      <c r="P779">
        <v>162</v>
      </c>
      <c r="Q779">
        <v>0.71</v>
      </c>
      <c r="R779">
        <v>115.02</v>
      </c>
      <c r="S779">
        <v>0.63</v>
      </c>
      <c r="T779">
        <v>102.06</v>
      </c>
      <c r="U779">
        <v>18.91</v>
      </c>
    </row>
    <row r="780" spans="1:21" x14ac:dyDescent="0.25">
      <c r="A780" t="s">
        <v>428</v>
      </c>
      <c r="B780" s="4" t="s">
        <v>49</v>
      </c>
      <c r="C780" s="1">
        <v>5</v>
      </c>
      <c r="D780">
        <v>120</v>
      </c>
      <c r="E780">
        <v>2</v>
      </c>
      <c r="F780" t="s">
        <v>20</v>
      </c>
      <c r="G780">
        <v>113</v>
      </c>
      <c r="H780">
        <f t="shared" ref="H780:I780" si="3102">H779</f>
        <v>112.66666666666667</v>
      </c>
      <c r="I780">
        <f t="shared" si="3102"/>
        <v>0.47140452079103168</v>
      </c>
      <c r="J780">
        <v>4</v>
      </c>
      <c r="K780">
        <f t="shared" ref="K780:L780" si="3103">K779</f>
        <v>3</v>
      </c>
      <c r="L780">
        <f t="shared" si="3103"/>
        <v>0.81649658092772603</v>
      </c>
      <c r="M780">
        <v>118</v>
      </c>
      <c r="N780">
        <f t="shared" ref="N780:O780" si="3104">N779</f>
        <v>118</v>
      </c>
      <c r="O780">
        <f t="shared" si="3104"/>
        <v>1.6329931618554521</v>
      </c>
      <c r="P780">
        <v>186</v>
      </c>
      <c r="Q780">
        <v>0.56999999999999995</v>
      </c>
      <c r="R780">
        <v>106.02</v>
      </c>
      <c r="S780">
        <v>0.4</v>
      </c>
      <c r="T780">
        <v>74.400000000000006</v>
      </c>
      <c r="U780">
        <v>17.47</v>
      </c>
    </row>
    <row r="781" spans="1:21" x14ac:dyDescent="0.25">
      <c r="A781" t="s">
        <v>428</v>
      </c>
      <c r="B781" s="4" t="s">
        <v>49</v>
      </c>
      <c r="C781" s="1">
        <v>5</v>
      </c>
      <c r="D781">
        <v>120</v>
      </c>
      <c r="E781">
        <v>3</v>
      </c>
      <c r="F781" t="s">
        <v>20</v>
      </c>
      <c r="G781">
        <v>112</v>
      </c>
      <c r="H781">
        <f t="shared" ref="H781:I781" si="3105">H779</f>
        <v>112.66666666666667</v>
      </c>
      <c r="I781">
        <f t="shared" si="3105"/>
        <v>0.47140452079103168</v>
      </c>
      <c r="J781">
        <v>2</v>
      </c>
      <c r="K781">
        <f t="shared" ref="K781:L781" si="3106">K779</f>
        <v>3</v>
      </c>
      <c r="L781">
        <f t="shared" si="3106"/>
        <v>0.81649658092772603</v>
      </c>
      <c r="M781">
        <v>120</v>
      </c>
      <c r="N781">
        <f t="shared" ref="N781:O781" si="3107">N779</f>
        <v>118</v>
      </c>
      <c r="O781">
        <f t="shared" si="3107"/>
        <v>1.6329931618554521</v>
      </c>
      <c r="P781">
        <v>167</v>
      </c>
      <c r="Q781">
        <v>0.63</v>
      </c>
      <c r="R781">
        <v>105.21</v>
      </c>
      <c r="S781">
        <v>0.68</v>
      </c>
      <c r="T781">
        <v>113.56</v>
      </c>
      <c r="U781" t="s">
        <v>20</v>
      </c>
    </row>
    <row r="782" spans="1:21" x14ac:dyDescent="0.25">
      <c r="A782" t="s">
        <v>429</v>
      </c>
      <c r="B782" s="4" t="s">
        <v>49</v>
      </c>
      <c r="C782" s="1">
        <v>5</v>
      </c>
      <c r="D782">
        <v>120</v>
      </c>
      <c r="E782">
        <v>1</v>
      </c>
      <c r="F782" t="s">
        <v>20</v>
      </c>
      <c r="G782">
        <v>116</v>
      </c>
      <c r="H782">
        <f t="shared" ref="H782" si="3108">AVERAGE(G782:G784)</f>
        <v>115.66666666666667</v>
      </c>
      <c r="I782">
        <f t="shared" ref="I782" si="3109">_xlfn.STDEV.P(G782:G784)</f>
        <v>0.47140452079103168</v>
      </c>
      <c r="J782">
        <v>1</v>
      </c>
      <c r="K782">
        <f t="shared" ref="K782" si="3110">AVERAGE(J782:J784)</f>
        <v>1.3333333333333333</v>
      </c>
      <c r="L782">
        <f t="shared" ref="L782" si="3111">_xlfn.STDEV.P(J782:J784)</f>
        <v>0.47140452079103168</v>
      </c>
      <c r="M782">
        <v>119</v>
      </c>
      <c r="N782">
        <f t="shared" ref="N782" si="3112">AVERAGE(M782:M784)</f>
        <v>114.66666666666667</v>
      </c>
      <c r="O782">
        <f t="shared" ref="O782" si="3113">_xlfn.STDEV.P(M782:M784)</f>
        <v>3.0912061651652345</v>
      </c>
      <c r="P782">
        <v>181</v>
      </c>
      <c r="Q782">
        <v>0.43</v>
      </c>
      <c r="R782">
        <v>77.83</v>
      </c>
      <c r="S782">
        <v>0.57999999999999996</v>
      </c>
      <c r="T782">
        <v>104.97999999999999</v>
      </c>
      <c r="U782">
        <v>20.04</v>
      </c>
    </row>
    <row r="783" spans="1:21" x14ac:dyDescent="0.25">
      <c r="A783" t="s">
        <v>429</v>
      </c>
      <c r="B783" s="4" t="s">
        <v>49</v>
      </c>
      <c r="C783" s="1">
        <v>5</v>
      </c>
      <c r="D783">
        <v>120</v>
      </c>
      <c r="E783">
        <v>2</v>
      </c>
      <c r="F783" t="s">
        <v>20</v>
      </c>
      <c r="G783">
        <v>115</v>
      </c>
      <c r="H783">
        <f t="shared" ref="H783:I783" si="3114">H782</f>
        <v>115.66666666666667</v>
      </c>
      <c r="I783">
        <f t="shared" si="3114"/>
        <v>0.47140452079103168</v>
      </c>
      <c r="J783">
        <v>1</v>
      </c>
      <c r="K783">
        <f t="shared" ref="K783:L783" si="3115">K782</f>
        <v>1.3333333333333333</v>
      </c>
      <c r="L783">
        <f t="shared" si="3115"/>
        <v>0.47140452079103168</v>
      </c>
      <c r="M783">
        <v>112</v>
      </c>
      <c r="N783">
        <f t="shared" ref="N783:O783" si="3116">N782</f>
        <v>114.66666666666667</v>
      </c>
      <c r="O783">
        <f t="shared" si="3116"/>
        <v>3.0912061651652345</v>
      </c>
      <c r="P783">
        <v>166</v>
      </c>
      <c r="Q783">
        <v>0.66</v>
      </c>
      <c r="R783">
        <v>109.56</v>
      </c>
      <c r="S783">
        <v>0.54</v>
      </c>
      <c r="T783">
        <v>89.64</v>
      </c>
      <c r="U783">
        <v>20.22</v>
      </c>
    </row>
    <row r="784" spans="1:21" x14ac:dyDescent="0.25">
      <c r="A784" t="s">
        <v>429</v>
      </c>
      <c r="B784" s="4" t="s">
        <v>49</v>
      </c>
      <c r="C784" s="1">
        <v>5</v>
      </c>
      <c r="D784">
        <v>120</v>
      </c>
      <c r="E784">
        <v>3</v>
      </c>
      <c r="F784" t="s">
        <v>20</v>
      </c>
      <c r="G784">
        <v>116</v>
      </c>
      <c r="H784">
        <f t="shared" ref="H784:I784" si="3117">H782</f>
        <v>115.66666666666667</v>
      </c>
      <c r="I784">
        <f t="shared" si="3117"/>
        <v>0.47140452079103168</v>
      </c>
      <c r="J784">
        <v>2</v>
      </c>
      <c r="K784">
        <f t="shared" ref="K784:L784" si="3118">K782</f>
        <v>1.3333333333333333</v>
      </c>
      <c r="L784">
        <f t="shared" si="3118"/>
        <v>0.47140452079103168</v>
      </c>
      <c r="M784">
        <v>113</v>
      </c>
      <c r="N784">
        <f t="shared" ref="N784:O784" si="3119">N782</f>
        <v>114.66666666666667</v>
      </c>
      <c r="O784">
        <f t="shared" si="3119"/>
        <v>3.0912061651652345</v>
      </c>
      <c r="P784">
        <v>186</v>
      </c>
      <c r="Q784">
        <v>0.35</v>
      </c>
      <c r="R784">
        <v>65.099999999999994</v>
      </c>
      <c r="S784">
        <v>0.4</v>
      </c>
      <c r="T784">
        <v>74.400000000000006</v>
      </c>
      <c r="U784" t="s">
        <v>20</v>
      </c>
    </row>
    <row r="785" spans="1:21" x14ac:dyDescent="0.25">
      <c r="A785" t="s">
        <v>430</v>
      </c>
      <c r="B785" s="4" t="s">
        <v>49</v>
      </c>
      <c r="C785" s="1">
        <v>5</v>
      </c>
      <c r="D785">
        <v>120</v>
      </c>
      <c r="E785">
        <v>1</v>
      </c>
      <c r="F785">
        <v>44</v>
      </c>
      <c r="G785">
        <v>109</v>
      </c>
      <c r="H785">
        <f t="shared" ref="H785" si="3120">AVERAGE(G785:G787)</f>
        <v>122.33333333333333</v>
      </c>
      <c r="I785">
        <f t="shared" ref="I785" si="3121">_xlfn.STDEV.P(G785:G787)</f>
        <v>16.779617264870957</v>
      </c>
      <c r="J785">
        <v>2</v>
      </c>
      <c r="K785">
        <f t="shared" ref="K785" si="3122">AVERAGE(J785:J787)</f>
        <v>1.6666666666666667</v>
      </c>
      <c r="L785">
        <f t="shared" ref="L785" si="3123">_xlfn.STDEV.P(J785:J787)</f>
        <v>0.47140452079103168</v>
      </c>
      <c r="M785">
        <v>108</v>
      </c>
      <c r="N785">
        <f t="shared" ref="N785" si="3124">AVERAGE(M785:M787)</f>
        <v>114</v>
      </c>
      <c r="O785">
        <f t="shared" ref="O785" si="3125">_xlfn.STDEV.P(M785:M787)</f>
        <v>4.5460605656619517</v>
      </c>
      <c r="P785">
        <v>168</v>
      </c>
      <c r="Q785">
        <v>0.54</v>
      </c>
      <c r="R785">
        <v>90.72</v>
      </c>
      <c r="S785">
        <v>0.57999999999999996</v>
      </c>
      <c r="T785">
        <v>97.44</v>
      </c>
      <c r="U785">
        <v>16.75</v>
      </c>
    </row>
    <row r="786" spans="1:21" x14ac:dyDescent="0.25">
      <c r="A786" t="s">
        <v>430</v>
      </c>
      <c r="B786" s="4" t="s">
        <v>49</v>
      </c>
      <c r="C786" s="1">
        <v>5</v>
      </c>
      <c r="D786">
        <v>120</v>
      </c>
      <c r="E786">
        <v>2</v>
      </c>
      <c r="F786">
        <v>42</v>
      </c>
      <c r="G786">
        <v>112</v>
      </c>
      <c r="H786">
        <f t="shared" ref="H786:I786" si="3126">H785</f>
        <v>122.33333333333333</v>
      </c>
      <c r="I786">
        <f t="shared" si="3126"/>
        <v>16.779617264870957</v>
      </c>
      <c r="J786">
        <v>1</v>
      </c>
      <c r="K786">
        <f t="shared" ref="K786:L786" si="3127">K785</f>
        <v>1.6666666666666667</v>
      </c>
      <c r="L786">
        <f t="shared" si="3127"/>
        <v>0.47140452079103168</v>
      </c>
      <c r="M786">
        <v>115</v>
      </c>
      <c r="N786">
        <f t="shared" ref="N786:O786" si="3128">N785</f>
        <v>114</v>
      </c>
      <c r="O786">
        <f t="shared" si="3128"/>
        <v>4.5460605656619517</v>
      </c>
      <c r="P786">
        <v>177</v>
      </c>
      <c r="Q786">
        <v>0.61</v>
      </c>
      <c r="R786">
        <v>107.97</v>
      </c>
      <c r="S786">
        <v>0.67</v>
      </c>
      <c r="T786">
        <v>118.59</v>
      </c>
      <c r="U786">
        <v>15.56</v>
      </c>
    </row>
    <row r="787" spans="1:21" x14ac:dyDescent="0.25">
      <c r="A787" t="s">
        <v>430</v>
      </c>
      <c r="B787" s="4" t="s">
        <v>49</v>
      </c>
      <c r="C787" s="1">
        <v>5</v>
      </c>
      <c r="D787">
        <v>120</v>
      </c>
      <c r="E787">
        <v>3</v>
      </c>
      <c r="F787">
        <v>52</v>
      </c>
      <c r="G787">
        <v>146</v>
      </c>
      <c r="H787">
        <f t="shared" ref="H787:I787" si="3129">H785</f>
        <v>122.33333333333333</v>
      </c>
      <c r="I787">
        <f t="shared" si="3129"/>
        <v>16.779617264870957</v>
      </c>
      <c r="J787">
        <v>2</v>
      </c>
      <c r="K787">
        <f t="shared" ref="K787:L787" si="3130">K785</f>
        <v>1.6666666666666667</v>
      </c>
      <c r="L787">
        <f t="shared" si="3130"/>
        <v>0.47140452079103168</v>
      </c>
      <c r="M787">
        <v>119</v>
      </c>
      <c r="N787">
        <f t="shared" ref="N787:O787" si="3131">N785</f>
        <v>114</v>
      </c>
      <c r="O787">
        <f t="shared" si="3131"/>
        <v>4.5460605656619517</v>
      </c>
      <c r="P787">
        <v>166</v>
      </c>
      <c r="Q787">
        <v>0.71</v>
      </c>
      <c r="R787">
        <v>117.86</v>
      </c>
      <c r="S787">
        <v>0.72</v>
      </c>
      <c r="T787">
        <v>119.52</v>
      </c>
      <c r="U787" t="s">
        <v>20</v>
      </c>
    </row>
    <row r="788" spans="1:21" x14ac:dyDescent="0.25">
      <c r="A788" t="s">
        <v>431</v>
      </c>
      <c r="B788" s="4" t="s">
        <v>189</v>
      </c>
      <c r="C788" s="1">
        <v>4</v>
      </c>
      <c r="D788">
        <v>120</v>
      </c>
      <c r="E788">
        <v>1</v>
      </c>
      <c r="F788">
        <v>32</v>
      </c>
      <c r="G788">
        <v>101</v>
      </c>
      <c r="H788">
        <f t="shared" ref="H788" si="3132">AVERAGE(G788:G790)</f>
        <v>105.66666666666667</v>
      </c>
      <c r="I788">
        <f t="shared" ref="I788" si="3133">_xlfn.STDEV.P(G788:G790)</f>
        <v>3.6817870057290869</v>
      </c>
      <c r="J788">
        <v>3</v>
      </c>
      <c r="K788">
        <f t="shared" ref="K788" si="3134">AVERAGE(J788:J790)</f>
        <v>1.3333333333333333</v>
      </c>
      <c r="L788">
        <f t="shared" ref="L788" si="3135">_xlfn.STDEV.P(J788:J790)</f>
        <v>1.247219128924647</v>
      </c>
      <c r="M788">
        <v>99</v>
      </c>
      <c r="N788">
        <f t="shared" ref="N788" si="3136">AVERAGE(M788:M790)</f>
        <v>104.66666666666667</v>
      </c>
      <c r="O788">
        <f t="shared" ref="O788" si="3137">_xlfn.STDEV.P(M788:M790)</f>
        <v>4.4969125210773466</v>
      </c>
      <c r="P788">
        <v>162</v>
      </c>
      <c r="Q788">
        <v>0.68</v>
      </c>
      <c r="R788">
        <v>110.16000000000001</v>
      </c>
      <c r="S788">
        <v>0.79</v>
      </c>
      <c r="T788">
        <v>127.98</v>
      </c>
      <c r="U788">
        <v>20.190000000000001</v>
      </c>
    </row>
    <row r="789" spans="1:21" x14ac:dyDescent="0.25">
      <c r="A789" t="s">
        <v>431</v>
      </c>
      <c r="B789" s="4" t="s">
        <v>189</v>
      </c>
      <c r="C789" s="1">
        <v>4</v>
      </c>
      <c r="D789">
        <v>120</v>
      </c>
      <c r="E789">
        <v>2</v>
      </c>
      <c r="F789" t="s">
        <v>20</v>
      </c>
      <c r="G789">
        <v>106</v>
      </c>
      <c r="H789">
        <f t="shared" ref="H789:I789" si="3138">H788</f>
        <v>105.66666666666667</v>
      </c>
      <c r="I789">
        <f t="shared" si="3138"/>
        <v>3.6817870057290869</v>
      </c>
      <c r="J789">
        <v>0</v>
      </c>
      <c r="K789">
        <f t="shared" ref="K789:L789" si="3139">K788</f>
        <v>1.3333333333333333</v>
      </c>
      <c r="L789">
        <f t="shared" si="3139"/>
        <v>1.247219128924647</v>
      </c>
      <c r="M789">
        <v>105</v>
      </c>
      <c r="N789">
        <f t="shared" ref="N789:O789" si="3140">N788</f>
        <v>104.66666666666667</v>
      </c>
      <c r="O789">
        <f t="shared" si="3140"/>
        <v>4.4969125210773466</v>
      </c>
      <c r="P789">
        <v>152</v>
      </c>
      <c r="Q789">
        <v>0.72</v>
      </c>
      <c r="R789">
        <v>109.44</v>
      </c>
      <c r="S789">
        <v>0.78</v>
      </c>
      <c r="T789">
        <v>118.56</v>
      </c>
      <c r="U789">
        <v>15.58</v>
      </c>
    </row>
    <row r="790" spans="1:21" x14ac:dyDescent="0.25">
      <c r="A790" t="s">
        <v>431</v>
      </c>
      <c r="B790" s="4" t="s">
        <v>189</v>
      </c>
      <c r="C790" s="1">
        <v>4</v>
      </c>
      <c r="D790">
        <v>120</v>
      </c>
      <c r="E790">
        <v>3</v>
      </c>
      <c r="F790" t="s">
        <v>20</v>
      </c>
      <c r="G790">
        <v>110</v>
      </c>
      <c r="H790">
        <f t="shared" ref="H790:I790" si="3141">H788</f>
        <v>105.66666666666667</v>
      </c>
      <c r="I790">
        <f t="shared" si="3141"/>
        <v>3.6817870057290869</v>
      </c>
      <c r="J790">
        <v>1</v>
      </c>
      <c r="K790">
        <f t="shared" ref="K790:L790" si="3142">K788</f>
        <v>1.3333333333333333</v>
      </c>
      <c r="L790">
        <f t="shared" si="3142"/>
        <v>1.247219128924647</v>
      </c>
      <c r="M790">
        <v>110</v>
      </c>
      <c r="N790">
        <f t="shared" ref="N790:O790" si="3143">N788</f>
        <v>104.66666666666667</v>
      </c>
      <c r="O790">
        <f t="shared" si="3143"/>
        <v>4.4969125210773466</v>
      </c>
      <c r="P790">
        <v>186</v>
      </c>
      <c r="Q790">
        <v>0.54</v>
      </c>
      <c r="R790">
        <v>100.44000000000001</v>
      </c>
      <c r="S790">
        <v>0.73</v>
      </c>
      <c r="T790">
        <v>135.78</v>
      </c>
      <c r="U790" t="s">
        <v>20</v>
      </c>
    </row>
    <row r="791" spans="1:21" x14ac:dyDescent="0.25">
      <c r="A791" t="s">
        <v>432</v>
      </c>
      <c r="B791" s="4" t="s">
        <v>189</v>
      </c>
      <c r="C791" s="1">
        <v>3</v>
      </c>
      <c r="D791">
        <v>120</v>
      </c>
      <c r="E791">
        <v>1</v>
      </c>
      <c r="F791">
        <v>12</v>
      </c>
      <c r="G791">
        <v>99</v>
      </c>
      <c r="H791">
        <f t="shared" ref="H791" si="3144">AVERAGE(G791:G793)</f>
        <v>103.33333333333333</v>
      </c>
      <c r="I791">
        <f t="shared" ref="I791" si="3145">_xlfn.STDEV.P(G791:G793)</f>
        <v>9.1043335224984432</v>
      </c>
      <c r="J791">
        <v>1</v>
      </c>
      <c r="K791">
        <f t="shared" ref="K791" si="3146">AVERAGE(J791:J793)</f>
        <v>1.6666666666666667</v>
      </c>
      <c r="L791">
        <f t="shared" ref="L791" si="3147">_xlfn.STDEV.P(J791:J793)</f>
        <v>0.94280904158206336</v>
      </c>
      <c r="M791">
        <v>125</v>
      </c>
      <c r="N791">
        <f t="shared" ref="N791" si="3148">AVERAGE(M791:M793)</f>
        <v>115.33333333333333</v>
      </c>
      <c r="O791">
        <f t="shared" ref="O791" si="3149">_xlfn.STDEV.P(M791:M793)</f>
        <v>16.579773487261185</v>
      </c>
      <c r="P791">
        <v>187</v>
      </c>
      <c r="Q791">
        <v>0.53</v>
      </c>
      <c r="R791">
        <v>99.11</v>
      </c>
      <c r="S791">
        <v>0.65</v>
      </c>
      <c r="T791">
        <v>121.55</v>
      </c>
      <c r="U791">
        <v>16.66</v>
      </c>
    </row>
    <row r="792" spans="1:21" x14ac:dyDescent="0.25">
      <c r="A792" t="s">
        <v>432</v>
      </c>
      <c r="B792" s="4" t="s">
        <v>189</v>
      </c>
      <c r="C792" s="1">
        <v>3</v>
      </c>
      <c r="D792">
        <v>120</v>
      </c>
      <c r="E792">
        <v>2</v>
      </c>
      <c r="F792">
        <v>24</v>
      </c>
      <c r="G792">
        <v>116</v>
      </c>
      <c r="H792">
        <f t="shared" ref="H792:I792" si="3150">H791</f>
        <v>103.33333333333333</v>
      </c>
      <c r="I792">
        <f t="shared" si="3150"/>
        <v>9.1043335224984432</v>
      </c>
      <c r="J792">
        <v>3</v>
      </c>
      <c r="K792">
        <f t="shared" ref="K792:L792" si="3151">K791</f>
        <v>1.6666666666666667</v>
      </c>
      <c r="L792">
        <f t="shared" si="3151"/>
        <v>0.94280904158206336</v>
      </c>
      <c r="M792">
        <v>92</v>
      </c>
      <c r="N792">
        <f t="shared" ref="N792:O792" si="3152">N791</f>
        <v>115.33333333333333</v>
      </c>
      <c r="O792">
        <f t="shared" si="3152"/>
        <v>16.579773487261185</v>
      </c>
      <c r="P792">
        <v>152</v>
      </c>
      <c r="Q792">
        <v>0.54</v>
      </c>
      <c r="R792">
        <v>82.080000000000013</v>
      </c>
      <c r="S792">
        <v>0.3</v>
      </c>
      <c r="T792">
        <v>45.6</v>
      </c>
      <c r="U792">
        <v>16.100000000000001</v>
      </c>
    </row>
    <row r="793" spans="1:21" x14ac:dyDescent="0.25">
      <c r="A793" t="s">
        <v>432</v>
      </c>
      <c r="B793" s="4" t="s">
        <v>189</v>
      </c>
      <c r="C793" s="1">
        <v>3</v>
      </c>
      <c r="D793">
        <v>120</v>
      </c>
      <c r="E793">
        <v>3</v>
      </c>
      <c r="F793">
        <v>32</v>
      </c>
      <c r="G793">
        <v>95</v>
      </c>
      <c r="H793">
        <f t="shared" ref="H793:I793" si="3153">H791</f>
        <v>103.33333333333333</v>
      </c>
      <c r="I793">
        <f t="shared" si="3153"/>
        <v>9.1043335224984432</v>
      </c>
      <c r="J793">
        <v>1</v>
      </c>
      <c r="K793">
        <f t="shared" ref="K793:L793" si="3154">K791</f>
        <v>1.6666666666666667</v>
      </c>
      <c r="L793">
        <f t="shared" si="3154"/>
        <v>0.94280904158206336</v>
      </c>
      <c r="M793">
        <v>129</v>
      </c>
      <c r="N793">
        <f t="shared" ref="N793:O793" si="3155">N791</f>
        <v>115.33333333333333</v>
      </c>
      <c r="O793">
        <f t="shared" si="3155"/>
        <v>16.579773487261185</v>
      </c>
      <c r="P793">
        <v>147</v>
      </c>
      <c r="Q793">
        <v>0.55000000000000004</v>
      </c>
      <c r="R793">
        <v>80.850000000000009</v>
      </c>
      <c r="S793">
        <v>0.7</v>
      </c>
      <c r="T793">
        <v>102.89999999999999</v>
      </c>
      <c r="U793" t="s">
        <v>20</v>
      </c>
    </row>
    <row r="794" spans="1:21" x14ac:dyDescent="0.25">
      <c r="A794" t="s">
        <v>433</v>
      </c>
      <c r="B794" s="4" t="s">
        <v>49</v>
      </c>
      <c r="C794" s="1">
        <v>4</v>
      </c>
      <c r="D794">
        <v>120</v>
      </c>
      <c r="E794">
        <v>1</v>
      </c>
      <c r="F794">
        <v>10</v>
      </c>
      <c r="G794">
        <v>105</v>
      </c>
      <c r="H794">
        <f t="shared" ref="H794" si="3156">AVERAGE(G794:G796)</f>
        <v>107.66666666666667</v>
      </c>
      <c r="I794">
        <f t="shared" ref="I794" si="3157">_xlfn.STDEV.P(G794:G796)</f>
        <v>3.0912061651652345</v>
      </c>
      <c r="J794">
        <v>1</v>
      </c>
      <c r="K794">
        <f t="shared" ref="K794" si="3158">AVERAGE(J794:J796)</f>
        <v>0.66666666666666663</v>
      </c>
      <c r="L794">
        <f t="shared" ref="L794" si="3159">_xlfn.STDEV.P(J794:J796)</f>
        <v>0.47140452079103168</v>
      </c>
      <c r="M794">
        <v>82</v>
      </c>
      <c r="N794">
        <f t="shared" ref="N794" si="3160">AVERAGE(M794:M796)</f>
        <v>93.333333333333329</v>
      </c>
      <c r="O794">
        <f t="shared" ref="O794" si="3161">_xlfn.STDEV.P(M794:M796)</f>
        <v>8.0553639823963827</v>
      </c>
      <c r="P794">
        <v>162</v>
      </c>
      <c r="Q794">
        <v>0.68</v>
      </c>
      <c r="R794">
        <v>110.16000000000001</v>
      </c>
      <c r="S794">
        <v>0.66</v>
      </c>
      <c r="T794">
        <v>106.92</v>
      </c>
      <c r="U794">
        <v>18.059999999999999</v>
      </c>
    </row>
    <row r="795" spans="1:21" x14ac:dyDescent="0.25">
      <c r="A795" t="s">
        <v>433</v>
      </c>
      <c r="B795" s="4" t="s">
        <v>49</v>
      </c>
      <c r="C795" s="1">
        <v>4</v>
      </c>
      <c r="D795">
        <v>120</v>
      </c>
      <c r="E795">
        <v>2</v>
      </c>
      <c r="F795">
        <v>22</v>
      </c>
      <c r="G795">
        <v>106</v>
      </c>
      <c r="H795">
        <f t="shared" ref="H795:I795" si="3162">H794</f>
        <v>107.66666666666667</v>
      </c>
      <c r="I795">
        <f t="shared" si="3162"/>
        <v>3.0912061651652345</v>
      </c>
      <c r="J795">
        <v>1</v>
      </c>
      <c r="K795">
        <f t="shared" ref="K795:L795" si="3163">K794</f>
        <v>0.66666666666666663</v>
      </c>
      <c r="L795">
        <f t="shared" si="3163"/>
        <v>0.47140452079103168</v>
      </c>
      <c r="M795">
        <v>98</v>
      </c>
      <c r="N795">
        <f t="shared" ref="N795:O795" si="3164">N794</f>
        <v>93.333333333333329</v>
      </c>
      <c r="O795">
        <f t="shared" si="3164"/>
        <v>8.0553639823963827</v>
      </c>
      <c r="P795">
        <v>166</v>
      </c>
      <c r="Q795">
        <v>0.5</v>
      </c>
      <c r="R795">
        <v>83</v>
      </c>
      <c r="S795">
        <v>0.62</v>
      </c>
      <c r="T795">
        <v>102.92</v>
      </c>
      <c r="U795">
        <v>17.03</v>
      </c>
    </row>
    <row r="796" spans="1:21" x14ac:dyDescent="0.25">
      <c r="A796" t="s">
        <v>433</v>
      </c>
      <c r="B796" s="4" t="s">
        <v>49</v>
      </c>
      <c r="C796" s="1">
        <v>4</v>
      </c>
      <c r="D796">
        <v>120</v>
      </c>
      <c r="E796">
        <v>3</v>
      </c>
      <c r="F796" t="s">
        <v>20</v>
      </c>
      <c r="G796">
        <v>112</v>
      </c>
      <c r="H796">
        <f t="shared" ref="H796:I796" si="3165">H794</f>
        <v>107.66666666666667</v>
      </c>
      <c r="I796">
        <f t="shared" si="3165"/>
        <v>3.0912061651652345</v>
      </c>
      <c r="J796">
        <v>0</v>
      </c>
      <c r="K796">
        <f t="shared" ref="K796:L796" si="3166">K794</f>
        <v>0.66666666666666663</v>
      </c>
      <c r="L796">
        <f t="shared" si="3166"/>
        <v>0.47140452079103168</v>
      </c>
      <c r="M796">
        <v>100</v>
      </c>
      <c r="N796">
        <f t="shared" ref="N796:O796" si="3167">N794</f>
        <v>93.333333333333329</v>
      </c>
      <c r="O796">
        <f t="shared" si="3167"/>
        <v>8.0553639823963827</v>
      </c>
      <c r="P796">
        <v>162</v>
      </c>
      <c r="Q796">
        <v>0.66</v>
      </c>
      <c r="R796">
        <v>106.92</v>
      </c>
      <c r="S796">
        <v>0.57999999999999996</v>
      </c>
      <c r="T796">
        <v>93.96</v>
      </c>
      <c r="U796" t="s">
        <v>20</v>
      </c>
    </row>
    <row r="797" spans="1:21" x14ac:dyDescent="0.25">
      <c r="A797" t="s">
        <v>434</v>
      </c>
      <c r="B797" s="4" t="s">
        <v>49</v>
      </c>
      <c r="C797" s="1">
        <v>4</v>
      </c>
      <c r="D797">
        <v>120</v>
      </c>
      <c r="E797">
        <v>1</v>
      </c>
      <c r="F797">
        <v>38</v>
      </c>
      <c r="G797">
        <v>104</v>
      </c>
      <c r="H797">
        <f t="shared" ref="H797" si="3168">AVERAGE(G797:G799)</f>
        <v>104.33333333333333</v>
      </c>
      <c r="I797">
        <f t="shared" ref="I797" si="3169">_xlfn.STDEV.P(G797:G799)</f>
        <v>1.247219128924647</v>
      </c>
      <c r="J797">
        <v>2</v>
      </c>
      <c r="K797">
        <f t="shared" ref="K797" si="3170">AVERAGE(J797:J799)</f>
        <v>1.6666666666666667</v>
      </c>
      <c r="L797">
        <f t="shared" ref="L797" si="3171">_xlfn.STDEV.P(J797:J799)</f>
        <v>0.47140452079103168</v>
      </c>
      <c r="M797">
        <v>122</v>
      </c>
      <c r="N797">
        <f t="shared" ref="N797" si="3172">AVERAGE(M797:M799)</f>
        <v>123.5</v>
      </c>
      <c r="O797">
        <f t="shared" ref="O797" si="3173">_xlfn.STDEV.P(M797:M799)</f>
        <v>1.5</v>
      </c>
      <c r="P797">
        <v>155</v>
      </c>
      <c r="Q797">
        <v>0.69</v>
      </c>
      <c r="R797">
        <v>106.94999999999999</v>
      </c>
      <c r="S797">
        <v>0.69</v>
      </c>
      <c r="T797">
        <v>106.94999999999999</v>
      </c>
      <c r="U797">
        <v>13.74</v>
      </c>
    </row>
    <row r="798" spans="1:21" x14ac:dyDescent="0.25">
      <c r="A798" t="s">
        <v>434</v>
      </c>
      <c r="B798" s="4" t="s">
        <v>49</v>
      </c>
      <c r="C798" s="1">
        <v>4</v>
      </c>
      <c r="D798">
        <v>120</v>
      </c>
      <c r="E798">
        <v>2</v>
      </c>
      <c r="F798">
        <v>70</v>
      </c>
      <c r="G798">
        <v>103</v>
      </c>
      <c r="H798">
        <f t="shared" ref="H798:I798" si="3174">H797</f>
        <v>104.33333333333333</v>
      </c>
      <c r="I798">
        <f t="shared" si="3174"/>
        <v>1.247219128924647</v>
      </c>
      <c r="J798">
        <v>1</v>
      </c>
      <c r="K798">
        <f t="shared" ref="K798:L798" si="3175">K797</f>
        <v>1.6666666666666667</v>
      </c>
      <c r="L798">
        <f t="shared" si="3175"/>
        <v>0.47140452079103168</v>
      </c>
      <c r="N798">
        <f t="shared" ref="N798:O798" si="3176">N797</f>
        <v>123.5</v>
      </c>
      <c r="O798">
        <f t="shared" si="3176"/>
        <v>1.5</v>
      </c>
      <c r="P798">
        <v>156</v>
      </c>
      <c r="Q798">
        <v>0.65</v>
      </c>
      <c r="R798">
        <v>101.4</v>
      </c>
      <c r="S798">
        <v>0.68</v>
      </c>
      <c r="T798">
        <v>106.08000000000001</v>
      </c>
      <c r="U798">
        <v>16.649999999999999</v>
      </c>
    </row>
    <row r="799" spans="1:21" x14ac:dyDescent="0.25">
      <c r="A799" t="s">
        <v>434</v>
      </c>
      <c r="B799" s="4" t="s">
        <v>49</v>
      </c>
      <c r="C799" s="1">
        <v>4</v>
      </c>
      <c r="D799">
        <v>120</v>
      </c>
      <c r="E799">
        <v>3</v>
      </c>
      <c r="F799" t="s">
        <v>20</v>
      </c>
      <c r="G799">
        <v>106</v>
      </c>
      <c r="H799">
        <f t="shared" ref="H799:I799" si="3177">H797</f>
        <v>104.33333333333333</v>
      </c>
      <c r="I799">
        <f t="shared" si="3177"/>
        <v>1.247219128924647</v>
      </c>
      <c r="J799">
        <v>2</v>
      </c>
      <c r="K799">
        <f t="shared" ref="K799:L799" si="3178">K797</f>
        <v>1.6666666666666667</v>
      </c>
      <c r="L799">
        <f t="shared" si="3178"/>
        <v>0.47140452079103168</v>
      </c>
      <c r="M799">
        <v>125</v>
      </c>
      <c r="N799">
        <f t="shared" ref="N799:O799" si="3179">N797</f>
        <v>123.5</v>
      </c>
      <c r="O799">
        <f t="shared" si="3179"/>
        <v>1.5</v>
      </c>
      <c r="P799">
        <v>155</v>
      </c>
      <c r="Q799">
        <v>0.68</v>
      </c>
      <c r="R799">
        <v>105.4</v>
      </c>
      <c r="S799">
        <v>0.66</v>
      </c>
      <c r="T799">
        <v>102.30000000000001</v>
      </c>
      <c r="U799" t="s">
        <v>20</v>
      </c>
    </row>
    <row r="800" spans="1:21" x14ac:dyDescent="0.25">
      <c r="A800" t="s">
        <v>435</v>
      </c>
      <c r="B800" s="4" t="s">
        <v>189</v>
      </c>
      <c r="C800" s="1">
        <v>3</v>
      </c>
      <c r="D800">
        <v>120</v>
      </c>
      <c r="E800">
        <v>1</v>
      </c>
      <c r="F800">
        <v>22</v>
      </c>
      <c r="G800">
        <v>93</v>
      </c>
      <c r="H800">
        <f t="shared" ref="H800" si="3180">AVERAGE(G800:G802)</f>
        <v>94.333333333333329</v>
      </c>
      <c r="I800">
        <f t="shared" ref="I800" si="3181">_xlfn.STDEV.P(G800:G802)</f>
        <v>0.94280904158206336</v>
      </c>
      <c r="J800">
        <v>2</v>
      </c>
      <c r="K800">
        <f t="shared" ref="K800" si="3182">AVERAGE(J800:J802)</f>
        <v>1.3333333333333333</v>
      </c>
      <c r="L800">
        <f t="shared" ref="L800" si="3183">_xlfn.STDEV.P(J800:J802)</f>
        <v>0.94280904158206336</v>
      </c>
      <c r="M800">
        <v>121</v>
      </c>
      <c r="N800">
        <f t="shared" ref="N800" si="3184">AVERAGE(M800:M802)</f>
        <v>125.66666666666667</v>
      </c>
      <c r="O800">
        <f t="shared" ref="O800" si="3185">_xlfn.STDEV.P(M800:M802)</f>
        <v>5.2493385826745405</v>
      </c>
      <c r="P800">
        <v>147</v>
      </c>
      <c r="Q800">
        <v>0.7</v>
      </c>
      <c r="R800">
        <v>102.89999999999999</v>
      </c>
      <c r="S800">
        <v>0.76</v>
      </c>
      <c r="T800">
        <v>111.72</v>
      </c>
      <c r="U800">
        <v>16.16</v>
      </c>
    </row>
    <row r="801" spans="1:21" x14ac:dyDescent="0.25">
      <c r="A801" t="s">
        <v>435</v>
      </c>
      <c r="B801" s="4" t="s">
        <v>189</v>
      </c>
      <c r="C801" s="1">
        <v>3</v>
      </c>
      <c r="D801">
        <v>120</v>
      </c>
      <c r="E801">
        <v>2</v>
      </c>
      <c r="F801" t="s">
        <v>20</v>
      </c>
      <c r="G801">
        <v>95</v>
      </c>
      <c r="H801">
        <f t="shared" ref="H801:I801" si="3186">H800</f>
        <v>94.333333333333329</v>
      </c>
      <c r="I801">
        <f t="shared" si="3186"/>
        <v>0.94280904158206336</v>
      </c>
      <c r="J801">
        <v>2</v>
      </c>
      <c r="K801">
        <f t="shared" ref="K801:L801" si="3187">K800</f>
        <v>1.3333333333333333</v>
      </c>
      <c r="L801">
        <f t="shared" si="3187"/>
        <v>0.94280904158206336</v>
      </c>
      <c r="M801">
        <v>123</v>
      </c>
      <c r="N801">
        <f t="shared" ref="N801:O801" si="3188">N800</f>
        <v>125.66666666666667</v>
      </c>
      <c r="O801">
        <f t="shared" si="3188"/>
        <v>5.2493385826745405</v>
      </c>
      <c r="P801">
        <v>139</v>
      </c>
      <c r="Q801">
        <v>0.68</v>
      </c>
      <c r="R801">
        <v>94.52000000000001</v>
      </c>
      <c r="S801">
        <v>0.75</v>
      </c>
      <c r="T801">
        <v>104.25</v>
      </c>
      <c r="U801">
        <v>14.74</v>
      </c>
    </row>
    <row r="802" spans="1:21" x14ac:dyDescent="0.25">
      <c r="A802" t="s">
        <v>435</v>
      </c>
      <c r="B802" s="4" t="s">
        <v>189</v>
      </c>
      <c r="C802" s="1">
        <v>3</v>
      </c>
      <c r="D802">
        <v>120</v>
      </c>
      <c r="E802">
        <v>3</v>
      </c>
      <c r="F802" t="s">
        <v>20</v>
      </c>
      <c r="G802">
        <v>95</v>
      </c>
      <c r="H802">
        <f t="shared" ref="H802:I802" si="3189">H800</f>
        <v>94.333333333333329</v>
      </c>
      <c r="I802">
        <f t="shared" si="3189"/>
        <v>0.94280904158206336</v>
      </c>
      <c r="J802">
        <v>0</v>
      </c>
      <c r="K802">
        <f t="shared" ref="K802:L802" si="3190">K800</f>
        <v>1.3333333333333333</v>
      </c>
      <c r="L802">
        <f t="shared" si="3190"/>
        <v>0.94280904158206336</v>
      </c>
      <c r="M802">
        <v>133</v>
      </c>
      <c r="N802">
        <f t="shared" ref="N802:O802" si="3191">N800</f>
        <v>125.66666666666667</v>
      </c>
      <c r="O802">
        <f t="shared" si="3191"/>
        <v>5.2493385826745405</v>
      </c>
      <c r="P802">
        <v>147</v>
      </c>
      <c r="Q802">
        <v>0.6</v>
      </c>
      <c r="R802">
        <v>88.2</v>
      </c>
      <c r="S802">
        <v>0.65</v>
      </c>
      <c r="T802">
        <v>95.55</v>
      </c>
      <c r="U802">
        <v>14.22</v>
      </c>
    </row>
    <row r="803" spans="1:21" x14ac:dyDescent="0.25">
      <c r="A803" t="s">
        <v>436</v>
      </c>
      <c r="B803" s="4" t="s">
        <v>189</v>
      </c>
      <c r="C803" s="1">
        <v>4</v>
      </c>
      <c r="D803">
        <v>120</v>
      </c>
      <c r="E803">
        <v>1</v>
      </c>
      <c r="F803">
        <v>64</v>
      </c>
      <c r="G803">
        <v>119</v>
      </c>
      <c r="H803">
        <f t="shared" ref="H803" si="3192">AVERAGE(G803:G805)</f>
        <v>120.66666666666667</v>
      </c>
      <c r="I803">
        <f t="shared" ref="I803" si="3193">_xlfn.STDEV.P(G803:G805)</f>
        <v>1.247219128924647</v>
      </c>
      <c r="J803">
        <v>1</v>
      </c>
      <c r="K803">
        <f t="shared" ref="K803" si="3194">AVERAGE(J803:J805)</f>
        <v>0.66666666666666663</v>
      </c>
      <c r="L803">
        <f t="shared" ref="L803" si="3195">_xlfn.STDEV.P(J803:J805)</f>
        <v>0.47140452079103168</v>
      </c>
      <c r="M803">
        <v>99</v>
      </c>
      <c r="N803">
        <f t="shared" ref="N803" si="3196">AVERAGE(M803:M805)</f>
        <v>98.333333333333329</v>
      </c>
      <c r="O803">
        <f t="shared" ref="O803" si="3197">_xlfn.STDEV.P(M803:M805)</f>
        <v>2.4944382578492941</v>
      </c>
      <c r="P803">
        <v>186</v>
      </c>
      <c r="Q803">
        <v>0.7</v>
      </c>
      <c r="R803">
        <v>130.19999999999999</v>
      </c>
      <c r="S803">
        <v>0.74</v>
      </c>
      <c r="T803">
        <v>137.63999999999999</v>
      </c>
      <c r="U803">
        <v>15.49</v>
      </c>
    </row>
    <row r="804" spans="1:21" x14ac:dyDescent="0.25">
      <c r="A804" t="s">
        <v>436</v>
      </c>
      <c r="B804" s="4" t="s">
        <v>189</v>
      </c>
      <c r="C804" s="1">
        <v>4</v>
      </c>
      <c r="D804">
        <v>120</v>
      </c>
      <c r="E804">
        <v>2</v>
      </c>
      <c r="F804">
        <v>40</v>
      </c>
      <c r="G804">
        <v>121</v>
      </c>
      <c r="H804">
        <f t="shared" ref="H804:I804" si="3198">H803</f>
        <v>120.66666666666667</v>
      </c>
      <c r="I804">
        <f t="shared" si="3198"/>
        <v>1.247219128924647</v>
      </c>
      <c r="J804">
        <v>0</v>
      </c>
      <c r="K804">
        <f t="shared" ref="K804:L804" si="3199">K803</f>
        <v>0.66666666666666663</v>
      </c>
      <c r="L804">
        <f t="shared" si="3199"/>
        <v>0.47140452079103168</v>
      </c>
      <c r="M804">
        <v>95</v>
      </c>
      <c r="N804">
        <f t="shared" ref="N804:O804" si="3200">N803</f>
        <v>98.333333333333329</v>
      </c>
      <c r="O804">
        <f t="shared" si="3200"/>
        <v>2.4944382578492941</v>
      </c>
      <c r="P804">
        <v>181</v>
      </c>
      <c r="Q804">
        <v>0.67</v>
      </c>
      <c r="R804">
        <v>121.27000000000001</v>
      </c>
      <c r="S804">
        <v>0.73</v>
      </c>
      <c r="T804">
        <v>132.13</v>
      </c>
      <c r="U804" t="s">
        <v>20</v>
      </c>
    </row>
    <row r="805" spans="1:21" x14ac:dyDescent="0.25">
      <c r="A805" t="s">
        <v>436</v>
      </c>
      <c r="B805" s="4" t="s">
        <v>189</v>
      </c>
      <c r="C805" s="1">
        <v>4</v>
      </c>
      <c r="D805">
        <v>120</v>
      </c>
      <c r="E805">
        <v>3</v>
      </c>
      <c r="F805" t="s">
        <v>20</v>
      </c>
      <c r="G805">
        <v>122</v>
      </c>
      <c r="H805">
        <f t="shared" ref="H805:I805" si="3201">H803</f>
        <v>120.66666666666667</v>
      </c>
      <c r="I805">
        <f t="shared" si="3201"/>
        <v>1.247219128924647</v>
      </c>
      <c r="J805">
        <v>1</v>
      </c>
      <c r="K805">
        <f t="shared" ref="K805:L805" si="3202">K803</f>
        <v>0.66666666666666663</v>
      </c>
      <c r="L805">
        <f t="shared" si="3202"/>
        <v>0.47140452079103168</v>
      </c>
      <c r="M805">
        <v>101</v>
      </c>
      <c r="N805">
        <f t="shared" ref="N805:O805" si="3203">N803</f>
        <v>98.333333333333329</v>
      </c>
      <c r="O805">
        <f t="shared" si="3203"/>
        <v>2.4944382578492941</v>
      </c>
      <c r="P805">
        <v>192</v>
      </c>
      <c r="Q805">
        <v>0.66</v>
      </c>
      <c r="R805">
        <v>126.72</v>
      </c>
      <c r="S805">
        <v>0.6</v>
      </c>
      <c r="T805">
        <v>115.19999999999999</v>
      </c>
      <c r="U805" t="s">
        <v>20</v>
      </c>
    </row>
    <row r="806" spans="1:21" x14ac:dyDescent="0.25">
      <c r="A806" t="s">
        <v>437</v>
      </c>
      <c r="B806" s="4" t="s">
        <v>172</v>
      </c>
      <c r="C806" s="1">
        <v>3</v>
      </c>
      <c r="D806">
        <v>120</v>
      </c>
      <c r="E806">
        <v>1</v>
      </c>
      <c r="F806">
        <v>26</v>
      </c>
      <c r="G806">
        <v>116</v>
      </c>
      <c r="H806">
        <f t="shared" ref="H806" si="3204">AVERAGE(G806:G808)</f>
        <v>113</v>
      </c>
      <c r="I806">
        <f t="shared" ref="I806" si="3205">_xlfn.STDEV.P(G806:G808)</f>
        <v>3.5590260840104371</v>
      </c>
      <c r="J806">
        <v>15</v>
      </c>
      <c r="K806">
        <f t="shared" ref="K806" si="3206">AVERAGE(J806:J808)</f>
        <v>13</v>
      </c>
      <c r="L806">
        <f t="shared" ref="L806" si="3207">_xlfn.STDEV.P(J806:J808)</f>
        <v>1.6329931618554521</v>
      </c>
      <c r="M806">
        <v>40</v>
      </c>
      <c r="N806">
        <f t="shared" ref="N806" si="3208">AVERAGE(M806:M808)</f>
        <v>54</v>
      </c>
      <c r="O806">
        <f t="shared" ref="O806" si="3209">_xlfn.STDEV.P(M806:M808)</f>
        <v>9.9331096171675597</v>
      </c>
      <c r="P806">
        <v>168</v>
      </c>
      <c r="Q806">
        <v>0.46</v>
      </c>
      <c r="R806">
        <v>77.28</v>
      </c>
      <c r="S806">
        <v>0.5</v>
      </c>
      <c r="T806" t="s">
        <v>20</v>
      </c>
      <c r="U806">
        <v>16</v>
      </c>
    </row>
    <row r="807" spans="1:21" x14ac:dyDescent="0.25">
      <c r="A807" t="s">
        <v>437</v>
      </c>
      <c r="B807" s="4" t="s">
        <v>172</v>
      </c>
      <c r="C807" s="1">
        <v>3</v>
      </c>
      <c r="D807">
        <v>120</v>
      </c>
      <c r="E807">
        <v>2</v>
      </c>
      <c r="F807">
        <v>22</v>
      </c>
      <c r="G807">
        <v>108</v>
      </c>
      <c r="H807">
        <f t="shared" ref="H807:I807" si="3210">H806</f>
        <v>113</v>
      </c>
      <c r="I807">
        <f t="shared" si="3210"/>
        <v>3.5590260840104371</v>
      </c>
      <c r="J807">
        <v>11</v>
      </c>
      <c r="K807">
        <f t="shared" ref="K807:L807" si="3211">K806</f>
        <v>13</v>
      </c>
      <c r="L807">
        <f t="shared" si="3211"/>
        <v>1.6329931618554521</v>
      </c>
      <c r="M807">
        <v>60</v>
      </c>
      <c r="N807">
        <f t="shared" ref="N807:O807" si="3212">N806</f>
        <v>54</v>
      </c>
      <c r="O807">
        <f t="shared" si="3212"/>
        <v>9.9331096171675597</v>
      </c>
      <c r="P807">
        <v>162</v>
      </c>
      <c r="Q807">
        <v>0.53</v>
      </c>
      <c r="R807">
        <v>85.86</v>
      </c>
      <c r="S807">
        <v>0.44</v>
      </c>
      <c r="T807" t="s">
        <v>20</v>
      </c>
      <c r="U807" t="s">
        <v>20</v>
      </c>
    </row>
    <row r="808" spans="1:21" x14ac:dyDescent="0.25">
      <c r="A808" t="s">
        <v>437</v>
      </c>
      <c r="B808" s="4" t="s">
        <v>172</v>
      </c>
      <c r="C808" s="1">
        <v>3</v>
      </c>
      <c r="D808">
        <v>120</v>
      </c>
      <c r="E808">
        <v>3</v>
      </c>
      <c r="F808" t="s">
        <v>20</v>
      </c>
      <c r="G808">
        <v>115</v>
      </c>
      <c r="H808">
        <f t="shared" ref="H808:I808" si="3213">H806</f>
        <v>113</v>
      </c>
      <c r="I808">
        <f t="shared" si="3213"/>
        <v>3.5590260840104371</v>
      </c>
      <c r="J808">
        <v>13</v>
      </c>
      <c r="K808">
        <f t="shared" ref="K808:L808" si="3214">K806</f>
        <v>13</v>
      </c>
      <c r="L808">
        <f t="shared" si="3214"/>
        <v>1.6329931618554521</v>
      </c>
      <c r="M808">
        <v>62</v>
      </c>
      <c r="N808">
        <f t="shared" ref="N808:O808" si="3215">N806</f>
        <v>54</v>
      </c>
      <c r="O808">
        <f t="shared" si="3215"/>
        <v>9.9331096171675597</v>
      </c>
      <c r="Q808">
        <v>0.65</v>
      </c>
      <c r="R808" t="s">
        <v>20</v>
      </c>
      <c r="S808">
        <v>0.4</v>
      </c>
      <c r="T808" t="s">
        <v>20</v>
      </c>
      <c r="U808" t="s">
        <v>20</v>
      </c>
    </row>
    <row r="809" spans="1:21" x14ac:dyDescent="0.25">
      <c r="A809" t="s">
        <v>438</v>
      </c>
      <c r="B809" s="4" t="s">
        <v>49</v>
      </c>
      <c r="C809" s="1">
        <v>4</v>
      </c>
      <c r="D809">
        <v>120</v>
      </c>
      <c r="E809">
        <v>1</v>
      </c>
      <c r="F809">
        <v>26</v>
      </c>
      <c r="G809">
        <v>137</v>
      </c>
      <c r="H809">
        <f t="shared" ref="H809" si="3216">AVERAGE(G809:G811)</f>
        <v>134.66666666666666</v>
      </c>
      <c r="I809">
        <f t="shared" ref="I809" si="3217">_xlfn.STDEV.P(G809:G811)</f>
        <v>4.0276819911981905</v>
      </c>
      <c r="J809">
        <v>0</v>
      </c>
      <c r="K809">
        <f t="shared" ref="K809" si="3218">AVERAGE(J809:J811)</f>
        <v>0</v>
      </c>
      <c r="L809">
        <f t="shared" ref="L809" si="3219">_xlfn.STDEV.P(J809:J811)</f>
        <v>0</v>
      </c>
      <c r="M809">
        <v>108</v>
      </c>
      <c r="N809">
        <f t="shared" ref="N809" si="3220">AVERAGE(M809:M811)</f>
        <v>120.33333333333333</v>
      </c>
      <c r="O809">
        <f t="shared" ref="O809" si="3221">_xlfn.STDEV.P(M809:M811)</f>
        <v>9.4633797110522604</v>
      </c>
      <c r="P809">
        <v>186</v>
      </c>
      <c r="Q809">
        <v>0.65</v>
      </c>
      <c r="R809">
        <v>120.9</v>
      </c>
      <c r="S809">
        <v>0.74</v>
      </c>
      <c r="T809">
        <v>137.63999999999999</v>
      </c>
      <c r="U809" t="s">
        <v>20</v>
      </c>
    </row>
    <row r="810" spans="1:21" x14ac:dyDescent="0.25">
      <c r="A810" t="s">
        <v>438</v>
      </c>
      <c r="B810" s="4" t="s">
        <v>49</v>
      </c>
      <c r="C810" s="1">
        <v>4</v>
      </c>
      <c r="D810">
        <v>120</v>
      </c>
      <c r="E810">
        <v>2</v>
      </c>
      <c r="F810" t="s">
        <v>20</v>
      </c>
      <c r="G810">
        <v>138</v>
      </c>
      <c r="H810">
        <f t="shared" ref="H810:I810" si="3222">H809</f>
        <v>134.66666666666666</v>
      </c>
      <c r="I810">
        <f t="shared" si="3222"/>
        <v>4.0276819911981905</v>
      </c>
      <c r="J810">
        <v>0</v>
      </c>
      <c r="K810">
        <f t="shared" ref="K810:L810" si="3223">K809</f>
        <v>0</v>
      </c>
      <c r="L810">
        <f t="shared" si="3223"/>
        <v>0</v>
      </c>
      <c r="M810">
        <v>131</v>
      </c>
      <c r="N810">
        <f t="shared" ref="N810:O810" si="3224">N809</f>
        <v>120.33333333333333</v>
      </c>
      <c r="O810">
        <f t="shared" si="3224"/>
        <v>9.4633797110522604</v>
      </c>
      <c r="P810">
        <v>183</v>
      </c>
      <c r="Q810">
        <v>0.71</v>
      </c>
      <c r="R810">
        <v>129.93</v>
      </c>
      <c r="S810">
        <v>0.71</v>
      </c>
      <c r="T810">
        <v>129.93</v>
      </c>
      <c r="U810" t="s">
        <v>20</v>
      </c>
    </row>
    <row r="811" spans="1:21" x14ac:dyDescent="0.25">
      <c r="A811" t="s">
        <v>438</v>
      </c>
      <c r="B811" s="4" t="s">
        <v>49</v>
      </c>
      <c r="C811" s="1">
        <v>4</v>
      </c>
      <c r="D811">
        <v>120</v>
      </c>
      <c r="E811">
        <v>3</v>
      </c>
      <c r="F811" t="s">
        <v>20</v>
      </c>
      <c r="G811">
        <v>129</v>
      </c>
      <c r="H811">
        <f t="shared" ref="H811:I811" si="3225">H809</f>
        <v>134.66666666666666</v>
      </c>
      <c r="I811">
        <f t="shared" si="3225"/>
        <v>4.0276819911981905</v>
      </c>
      <c r="J811">
        <v>0</v>
      </c>
      <c r="K811">
        <f t="shared" ref="K811:L811" si="3226">K809</f>
        <v>0</v>
      </c>
      <c r="L811">
        <f t="shared" si="3226"/>
        <v>0</v>
      </c>
      <c r="M811">
        <v>122</v>
      </c>
      <c r="N811">
        <f t="shared" ref="N811:O811" si="3227">N809</f>
        <v>120.33333333333333</v>
      </c>
      <c r="O811">
        <f t="shared" si="3227"/>
        <v>9.4633797110522604</v>
      </c>
      <c r="P811">
        <v>186</v>
      </c>
      <c r="Q811">
        <v>0.72</v>
      </c>
      <c r="R811">
        <v>133.91999999999999</v>
      </c>
      <c r="S811">
        <v>0.7</v>
      </c>
      <c r="T811">
        <v>130.19999999999999</v>
      </c>
      <c r="U811" t="s">
        <v>20</v>
      </c>
    </row>
    <row r="812" spans="1:21" x14ac:dyDescent="0.25">
      <c r="A812" t="s">
        <v>439</v>
      </c>
      <c r="B812" s="4" t="s">
        <v>49</v>
      </c>
      <c r="C812" s="1">
        <v>5</v>
      </c>
      <c r="D812">
        <v>120</v>
      </c>
      <c r="E812">
        <v>1</v>
      </c>
      <c r="F812">
        <v>64</v>
      </c>
      <c r="G812">
        <v>100</v>
      </c>
      <c r="H812">
        <f t="shared" ref="H812" si="3228">AVERAGE(G812:G814)</f>
        <v>101.33333333333333</v>
      </c>
      <c r="I812">
        <f t="shared" ref="I812" si="3229">_xlfn.STDEV.P(G812:G814)</f>
        <v>1.247219128924647</v>
      </c>
      <c r="J812">
        <v>4</v>
      </c>
      <c r="K812">
        <f t="shared" ref="K812" si="3230">AVERAGE(J812:J814)</f>
        <v>4.666666666666667</v>
      </c>
      <c r="L812">
        <f t="shared" ref="L812" si="3231">_xlfn.STDEV.P(J812:J814)</f>
        <v>0.47140452079103168</v>
      </c>
      <c r="M812">
        <v>102</v>
      </c>
      <c r="N812">
        <f t="shared" ref="N812" si="3232">AVERAGE(M812:M814)</f>
        <v>102.33333333333333</v>
      </c>
      <c r="O812">
        <f t="shared" ref="O812" si="3233">_xlfn.STDEV.P(M812:M814)</f>
        <v>2.0548046676563256</v>
      </c>
      <c r="P812">
        <v>155</v>
      </c>
      <c r="Q812">
        <v>0.72</v>
      </c>
      <c r="R812">
        <v>111.6</v>
      </c>
      <c r="S812">
        <v>0.7</v>
      </c>
      <c r="T812">
        <v>108.5</v>
      </c>
      <c r="U812">
        <v>0.06</v>
      </c>
    </row>
    <row r="813" spans="1:21" x14ac:dyDescent="0.25">
      <c r="A813" t="s">
        <v>439</v>
      </c>
      <c r="B813" s="4" t="s">
        <v>49</v>
      </c>
      <c r="C813" s="1">
        <v>5</v>
      </c>
      <c r="D813">
        <v>120</v>
      </c>
      <c r="E813">
        <v>2</v>
      </c>
      <c r="F813">
        <v>80</v>
      </c>
      <c r="G813">
        <v>103</v>
      </c>
      <c r="H813">
        <f t="shared" ref="H813:I813" si="3234">H812</f>
        <v>101.33333333333333</v>
      </c>
      <c r="I813">
        <f t="shared" si="3234"/>
        <v>1.247219128924647</v>
      </c>
      <c r="J813">
        <v>5</v>
      </c>
      <c r="K813">
        <f t="shared" ref="K813:L813" si="3235">K812</f>
        <v>4.666666666666667</v>
      </c>
      <c r="L813">
        <f t="shared" si="3235"/>
        <v>0.47140452079103168</v>
      </c>
      <c r="M813">
        <v>100</v>
      </c>
      <c r="N813">
        <f t="shared" ref="N813:O813" si="3236">N812</f>
        <v>102.33333333333333</v>
      </c>
      <c r="O813">
        <f t="shared" si="3236"/>
        <v>2.0548046676563256</v>
      </c>
      <c r="P813">
        <v>153</v>
      </c>
      <c r="Q813">
        <v>0.66</v>
      </c>
      <c r="R813">
        <v>100.98</v>
      </c>
      <c r="S813">
        <v>0.65</v>
      </c>
      <c r="T813">
        <v>99.45</v>
      </c>
      <c r="U813">
        <v>14.07</v>
      </c>
    </row>
    <row r="814" spans="1:21" x14ac:dyDescent="0.25">
      <c r="A814" t="s">
        <v>439</v>
      </c>
      <c r="B814" s="4" t="s">
        <v>49</v>
      </c>
      <c r="C814" s="1">
        <v>5</v>
      </c>
      <c r="D814">
        <v>120</v>
      </c>
      <c r="E814">
        <v>3</v>
      </c>
      <c r="F814">
        <v>50</v>
      </c>
      <c r="G814">
        <v>101</v>
      </c>
      <c r="H814">
        <f t="shared" ref="H814:I814" si="3237">H812</f>
        <v>101.33333333333333</v>
      </c>
      <c r="I814">
        <f t="shared" si="3237"/>
        <v>1.247219128924647</v>
      </c>
      <c r="J814">
        <v>5</v>
      </c>
      <c r="K814">
        <f t="shared" ref="K814:L814" si="3238">K812</f>
        <v>4.666666666666667</v>
      </c>
      <c r="L814">
        <f t="shared" si="3238"/>
        <v>0.47140452079103168</v>
      </c>
      <c r="M814">
        <v>105</v>
      </c>
      <c r="N814">
        <f t="shared" ref="N814:O814" si="3239">N812</f>
        <v>102.33333333333333</v>
      </c>
      <c r="O814">
        <f t="shared" si="3239"/>
        <v>2.0548046676563256</v>
      </c>
      <c r="P814">
        <v>153</v>
      </c>
      <c r="Q814">
        <v>0.65</v>
      </c>
      <c r="R814">
        <v>99.45</v>
      </c>
      <c r="S814">
        <v>0.7</v>
      </c>
      <c r="T814">
        <v>107.1</v>
      </c>
      <c r="U814">
        <v>14.67</v>
      </c>
    </row>
    <row r="815" spans="1:21" x14ac:dyDescent="0.25">
      <c r="A815" t="s">
        <v>440</v>
      </c>
      <c r="B815" s="4" t="s">
        <v>49</v>
      </c>
      <c r="C815" s="1">
        <v>5</v>
      </c>
      <c r="D815">
        <v>120</v>
      </c>
      <c r="E815">
        <v>1</v>
      </c>
      <c r="F815">
        <v>30</v>
      </c>
      <c r="G815">
        <v>113</v>
      </c>
      <c r="H815">
        <f t="shared" ref="H815" si="3240">AVERAGE(G815:G817)</f>
        <v>113</v>
      </c>
      <c r="I815">
        <f t="shared" ref="I815" si="3241">_xlfn.STDEV.P(G815:G817)</f>
        <v>0.81649658092772603</v>
      </c>
      <c r="J815">
        <v>6</v>
      </c>
      <c r="K815">
        <f t="shared" ref="K815" si="3242">AVERAGE(J815:J817)</f>
        <v>5</v>
      </c>
      <c r="L815">
        <f t="shared" ref="L815" si="3243">_xlfn.STDEV.P(J815:J817)</f>
        <v>0.81649658092772603</v>
      </c>
      <c r="M815">
        <v>100</v>
      </c>
      <c r="N815">
        <f t="shared" ref="N815" si="3244">AVERAGE(M815:M817)</f>
        <v>104</v>
      </c>
      <c r="O815">
        <f t="shared" ref="O815" si="3245">_xlfn.STDEV.P(M815:M817)</f>
        <v>4.9665548085837798</v>
      </c>
      <c r="P815">
        <v>162</v>
      </c>
      <c r="Q815">
        <v>0.61</v>
      </c>
      <c r="R815">
        <v>98.82</v>
      </c>
      <c r="S815">
        <v>0.66</v>
      </c>
      <c r="T815">
        <v>106.92</v>
      </c>
      <c r="U815">
        <v>19.11</v>
      </c>
    </row>
    <row r="816" spans="1:21" x14ac:dyDescent="0.25">
      <c r="A816" t="s">
        <v>440</v>
      </c>
      <c r="B816" s="4" t="s">
        <v>49</v>
      </c>
      <c r="C816" s="1">
        <v>5</v>
      </c>
      <c r="D816">
        <v>120</v>
      </c>
      <c r="E816">
        <v>2</v>
      </c>
      <c r="F816" t="s">
        <v>20</v>
      </c>
      <c r="G816">
        <v>114</v>
      </c>
      <c r="H816">
        <f t="shared" ref="H816:I816" si="3246">H815</f>
        <v>113</v>
      </c>
      <c r="I816">
        <f t="shared" si="3246"/>
        <v>0.81649658092772603</v>
      </c>
      <c r="J816">
        <v>5</v>
      </c>
      <c r="K816">
        <f t="shared" ref="K816:L816" si="3247">K815</f>
        <v>5</v>
      </c>
      <c r="L816">
        <f t="shared" si="3247"/>
        <v>0.81649658092772603</v>
      </c>
      <c r="M816">
        <v>101</v>
      </c>
      <c r="N816">
        <f t="shared" ref="N816:O816" si="3248">N815</f>
        <v>104</v>
      </c>
      <c r="O816">
        <f t="shared" si="3248"/>
        <v>4.9665548085837798</v>
      </c>
      <c r="P816">
        <v>162</v>
      </c>
      <c r="Q816">
        <v>0.71</v>
      </c>
      <c r="R816">
        <v>115.02</v>
      </c>
      <c r="S816">
        <v>0.69</v>
      </c>
      <c r="T816">
        <v>111.77999999999999</v>
      </c>
      <c r="U816">
        <v>18.670000000000002</v>
      </c>
    </row>
    <row r="817" spans="1:21" x14ac:dyDescent="0.25">
      <c r="A817" t="s">
        <v>440</v>
      </c>
      <c r="B817" s="4" t="s">
        <v>49</v>
      </c>
      <c r="C817" s="1">
        <v>5</v>
      </c>
      <c r="D817">
        <v>120</v>
      </c>
      <c r="E817">
        <v>3</v>
      </c>
      <c r="F817" t="s">
        <v>20</v>
      </c>
      <c r="G817">
        <v>112</v>
      </c>
      <c r="H817">
        <f t="shared" ref="H817:I817" si="3249">H815</f>
        <v>113</v>
      </c>
      <c r="I817">
        <f t="shared" si="3249"/>
        <v>0.81649658092772603</v>
      </c>
      <c r="J817">
        <v>4</v>
      </c>
      <c r="K817">
        <f t="shared" ref="K817:L817" si="3250">K815</f>
        <v>5</v>
      </c>
      <c r="L817">
        <f t="shared" si="3250"/>
        <v>0.81649658092772603</v>
      </c>
      <c r="M817">
        <v>111</v>
      </c>
      <c r="N817">
        <f t="shared" ref="N817:O817" si="3251">N815</f>
        <v>104</v>
      </c>
      <c r="O817">
        <f t="shared" si="3251"/>
        <v>4.9665548085837798</v>
      </c>
      <c r="P817">
        <v>158</v>
      </c>
      <c r="Q817">
        <v>0.68</v>
      </c>
      <c r="R817">
        <v>107.44000000000001</v>
      </c>
      <c r="S817">
        <v>0.73</v>
      </c>
      <c r="T817">
        <v>115.34</v>
      </c>
      <c r="U817">
        <v>17.03</v>
      </c>
    </row>
    <row r="818" spans="1:21" x14ac:dyDescent="0.25">
      <c r="A818" t="s">
        <v>441</v>
      </c>
      <c r="B818" s="4" t="s">
        <v>189</v>
      </c>
      <c r="C818" s="1">
        <v>5</v>
      </c>
      <c r="D818">
        <v>120</v>
      </c>
      <c r="E818">
        <v>1</v>
      </c>
      <c r="F818">
        <v>26</v>
      </c>
      <c r="G818">
        <v>118</v>
      </c>
      <c r="H818">
        <f t="shared" ref="H818" si="3252">AVERAGE(G818:G820)</f>
        <v>107.33333333333333</v>
      </c>
      <c r="I818">
        <f t="shared" ref="I818" si="3253">_xlfn.STDEV.P(G818:G820)</f>
        <v>15.797327481430381</v>
      </c>
      <c r="J818">
        <v>5</v>
      </c>
      <c r="K818">
        <f t="shared" ref="K818" si="3254">AVERAGE(J818:J820)</f>
        <v>4.666666666666667</v>
      </c>
      <c r="L818">
        <f t="shared" ref="L818" si="3255">_xlfn.STDEV.P(J818:J820)</f>
        <v>0.47140452079103168</v>
      </c>
      <c r="M818">
        <v>110</v>
      </c>
      <c r="N818">
        <f t="shared" ref="N818" si="3256">AVERAGE(M818:M820)</f>
        <v>103.66666666666667</v>
      </c>
      <c r="O818">
        <f t="shared" ref="O818" si="3257">_xlfn.STDEV.P(M818:M820)</f>
        <v>6.342099196813483</v>
      </c>
      <c r="P818">
        <v>180</v>
      </c>
      <c r="Q818">
        <v>0.57999999999999996</v>
      </c>
      <c r="R818">
        <v>104.39999999999999</v>
      </c>
      <c r="S818">
        <v>0.76</v>
      </c>
      <c r="T818">
        <v>136.80000000000001</v>
      </c>
      <c r="U818" t="s">
        <v>20</v>
      </c>
    </row>
    <row r="819" spans="1:21" x14ac:dyDescent="0.25">
      <c r="A819" t="s">
        <v>441</v>
      </c>
      <c r="B819" s="4" t="s">
        <v>189</v>
      </c>
      <c r="C819" s="1">
        <v>5</v>
      </c>
      <c r="D819">
        <v>120</v>
      </c>
      <c r="E819">
        <v>2</v>
      </c>
      <c r="F819" t="s">
        <v>20</v>
      </c>
      <c r="G819">
        <v>119</v>
      </c>
      <c r="H819">
        <f t="shared" ref="H819:I819" si="3258">H818</f>
        <v>107.33333333333333</v>
      </c>
      <c r="I819">
        <f t="shared" si="3258"/>
        <v>15.797327481430381</v>
      </c>
      <c r="J819">
        <v>5</v>
      </c>
      <c r="K819">
        <f t="shared" ref="K819:L819" si="3259">K818</f>
        <v>4.666666666666667</v>
      </c>
      <c r="L819">
        <f t="shared" si="3259"/>
        <v>0.47140452079103168</v>
      </c>
      <c r="M819">
        <v>106</v>
      </c>
      <c r="N819">
        <f t="shared" ref="N819:O819" si="3260">N818</f>
        <v>103.66666666666667</v>
      </c>
      <c r="O819">
        <f t="shared" si="3260"/>
        <v>6.342099196813483</v>
      </c>
      <c r="P819">
        <v>187</v>
      </c>
      <c r="Q819">
        <v>0.4</v>
      </c>
      <c r="R819">
        <v>74.8</v>
      </c>
      <c r="S819">
        <v>0.3</v>
      </c>
      <c r="T819">
        <v>56.1</v>
      </c>
      <c r="U819" t="s">
        <v>20</v>
      </c>
    </row>
    <row r="820" spans="1:21" x14ac:dyDescent="0.25">
      <c r="A820" t="s">
        <v>441</v>
      </c>
      <c r="B820" s="4" t="s">
        <v>189</v>
      </c>
      <c r="C820" s="1">
        <v>5</v>
      </c>
      <c r="D820">
        <v>120</v>
      </c>
      <c r="E820">
        <v>3</v>
      </c>
      <c r="F820" t="s">
        <v>20</v>
      </c>
      <c r="G820">
        <v>85</v>
      </c>
      <c r="H820">
        <f t="shared" ref="H820:I820" si="3261">H818</f>
        <v>107.33333333333333</v>
      </c>
      <c r="I820">
        <f t="shared" si="3261"/>
        <v>15.797327481430381</v>
      </c>
      <c r="J820">
        <v>4</v>
      </c>
      <c r="K820">
        <f t="shared" ref="K820:L820" si="3262">K818</f>
        <v>4.666666666666667</v>
      </c>
      <c r="L820">
        <f t="shared" si="3262"/>
        <v>0.47140452079103168</v>
      </c>
      <c r="M820">
        <v>95</v>
      </c>
      <c r="N820">
        <f t="shared" ref="N820:O820" si="3263">N818</f>
        <v>103.66666666666667</v>
      </c>
      <c r="O820">
        <f t="shared" si="3263"/>
        <v>6.342099196813483</v>
      </c>
      <c r="P820">
        <v>162</v>
      </c>
      <c r="Q820">
        <v>0.73</v>
      </c>
      <c r="R820">
        <v>118.25999999999999</v>
      </c>
      <c r="S820">
        <v>0.72</v>
      </c>
      <c r="T820">
        <v>116.64</v>
      </c>
      <c r="U820" t="s">
        <v>20</v>
      </c>
    </row>
    <row r="821" spans="1:21" x14ac:dyDescent="0.25">
      <c r="A821" t="s">
        <v>442</v>
      </c>
      <c r="B821" s="4" t="s">
        <v>189</v>
      </c>
      <c r="C821" s="1">
        <v>3</v>
      </c>
      <c r="D821">
        <v>120</v>
      </c>
      <c r="E821">
        <v>1</v>
      </c>
      <c r="F821">
        <v>42</v>
      </c>
      <c r="G821">
        <v>99</v>
      </c>
      <c r="H821">
        <f t="shared" ref="H821" si="3264">AVERAGE(G821:G823)</f>
        <v>95.666666666666671</v>
      </c>
      <c r="I821">
        <f t="shared" ref="I821" si="3265">_xlfn.STDEV.P(G821:G823)</f>
        <v>2.4944382578492941</v>
      </c>
      <c r="J821">
        <v>0</v>
      </c>
      <c r="K821">
        <f t="shared" ref="K821" si="3266">AVERAGE(J821:J823)</f>
        <v>0.66666666666666663</v>
      </c>
      <c r="L821">
        <f t="shared" ref="L821" si="3267">_xlfn.STDEV.P(J821:J823)</f>
        <v>0.47140452079103168</v>
      </c>
      <c r="M821">
        <v>120</v>
      </c>
      <c r="N821">
        <f t="shared" ref="N821" si="3268">AVERAGE(M821:M823)</f>
        <v>132</v>
      </c>
      <c r="O821">
        <f t="shared" ref="O821" si="3269">_xlfn.STDEV.P(M821:M823)</f>
        <v>8.6409875978771478</v>
      </c>
      <c r="P821">
        <v>152</v>
      </c>
      <c r="Q821">
        <v>0.53</v>
      </c>
      <c r="R821">
        <v>80.56</v>
      </c>
      <c r="S821">
        <v>0.49</v>
      </c>
      <c r="T821">
        <v>74.48</v>
      </c>
      <c r="U821">
        <v>15.36</v>
      </c>
    </row>
    <row r="822" spans="1:21" x14ac:dyDescent="0.25">
      <c r="A822" t="s">
        <v>442</v>
      </c>
      <c r="B822" s="4" t="s">
        <v>189</v>
      </c>
      <c r="C822" s="1">
        <v>3</v>
      </c>
      <c r="D822">
        <v>120</v>
      </c>
      <c r="E822">
        <v>2</v>
      </c>
      <c r="F822" t="s">
        <v>20</v>
      </c>
      <c r="G822">
        <v>95</v>
      </c>
      <c r="H822">
        <f t="shared" ref="H822:I822" si="3270">H821</f>
        <v>95.666666666666671</v>
      </c>
      <c r="I822">
        <f t="shared" si="3270"/>
        <v>2.4944382578492941</v>
      </c>
      <c r="J822">
        <v>1</v>
      </c>
      <c r="K822">
        <f t="shared" ref="K822:L822" si="3271">K821</f>
        <v>0.66666666666666663</v>
      </c>
      <c r="L822">
        <f t="shared" si="3271"/>
        <v>0.47140452079103168</v>
      </c>
      <c r="M822">
        <v>136</v>
      </c>
      <c r="N822">
        <f t="shared" ref="N822:O822" si="3272">N821</f>
        <v>132</v>
      </c>
      <c r="O822">
        <f t="shared" si="3272"/>
        <v>8.6409875978771478</v>
      </c>
      <c r="P822">
        <v>147</v>
      </c>
      <c r="Q822">
        <v>0.7</v>
      </c>
      <c r="R822">
        <v>102.89999999999999</v>
      </c>
      <c r="S822">
        <v>0.75</v>
      </c>
      <c r="T822">
        <v>110.25</v>
      </c>
      <c r="U822">
        <v>16.309999999999999</v>
      </c>
    </row>
    <row r="823" spans="1:21" x14ac:dyDescent="0.25">
      <c r="A823" t="s">
        <v>442</v>
      </c>
      <c r="B823" s="4" t="s">
        <v>189</v>
      </c>
      <c r="C823" s="1">
        <v>3</v>
      </c>
      <c r="D823">
        <v>120</v>
      </c>
      <c r="E823">
        <v>3</v>
      </c>
      <c r="F823" t="s">
        <v>20</v>
      </c>
      <c r="G823">
        <v>93</v>
      </c>
      <c r="H823">
        <f t="shared" ref="H823:I823" si="3273">H821</f>
        <v>95.666666666666671</v>
      </c>
      <c r="I823">
        <f t="shared" si="3273"/>
        <v>2.4944382578492941</v>
      </c>
      <c r="J823">
        <v>1</v>
      </c>
      <c r="K823">
        <f t="shared" ref="K823:L823" si="3274">K821</f>
        <v>0.66666666666666663</v>
      </c>
      <c r="L823">
        <f t="shared" si="3274"/>
        <v>0.47140452079103168</v>
      </c>
      <c r="M823">
        <v>140</v>
      </c>
      <c r="N823">
        <f t="shared" ref="N823:O823" si="3275">N821</f>
        <v>132</v>
      </c>
      <c r="O823">
        <f t="shared" si="3275"/>
        <v>8.6409875978771478</v>
      </c>
      <c r="P823">
        <v>139</v>
      </c>
      <c r="Q823">
        <v>0.65</v>
      </c>
      <c r="R823">
        <v>90.350000000000009</v>
      </c>
      <c r="S823">
        <v>0.78</v>
      </c>
      <c r="T823">
        <v>108.42</v>
      </c>
      <c r="U823">
        <v>14.9</v>
      </c>
    </row>
    <row r="824" spans="1:21" x14ac:dyDescent="0.25">
      <c r="A824" t="s">
        <v>443</v>
      </c>
      <c r="B824" s="4" t="s">
        <v>209</v>
      </c>
      <c r="C824" s="1">
        <v>4</v>
      </c>
      <c r="D824">
        <v>120</v>
      </c>
      <c r="E824">
        <v>1</v>
      </c>
      <c r="F824">
        <v>70</v>
      </c>
      <c r="G824">
        <v>99</v>
      </c>
      <c r="H824">
        <f t="shared" ref="H824" si="3276">AVERAGE(G824:G826)</f>
        <v>99</v>
      </c>
      <c r="I824">
        <f t="shared" ref="I824" si="3277">_xlfn.STDEV.P(G824:G826)</f>
        <v>0</v>
      </c>
      <c r="J824">
        <v>5</v>
      </c>
      <c r="K824">
        <f t="shared" ref="K824" si="3278">AVERAGE(J824:J826)</f>
        <v>5.333333333333333</v>
      </c>
      <c r="L824">
        <f t="shared" ref="L824" si="3279">_xlfn.STDEV.P(J824:J826)</f>
        <v>0.47140452079103168</v>
      </c>
      <c r="M824">
        <v>99</v>
      </c>
      <c r="N824">
        <f t="shared" ref="N824" si="3280">AVERAGE(M824:M826)</f>
        <v>101.33333333333333</v>
      </c>
      <c r="O824">
        <f t="shared" ref="O824" si="3281">_xlfn.STDEV.P(M824:M826)</f>
        <v>4.0276819911981905</v>
      </c>
      <c r="P824">
        <v>155</v>
      </c>
      <c r="Q824">
        <v>0.73</v>
      </c>
      <c r="R824">
        <v>113.14999999999999</v>
      </c>
      <c r="S824">
        <v>0.78</v>
      </c>
      <c r="T824">
        <v>120.9</v>
      </c>
      <c r="U824">
        <v>13.37</v>
      </c>
    </row>
    <row r="825" spans="1:21" x14ac:dyDescent="0.25">
      <c r="A825" t="s">
        <v>443</v>
      </c>
      <c r="B825" s="4" t="s">
        <v>209</v>
      </c>
      <c r="C825" s="1">
        <v>4</v>
      </c>
      <c r="D825">
        <v>120</v>
      </c>
      <c r="E825">
        <v>2</v>
      </c>
      <c r="F825">
        <v>90</v>
      </c>
      <c r="G825">
        <v>99</v>
      </c>
      <c r="H825">
        <f t="shared" ref="H825:I825" si="3282">H824</f>
        <v>99</v>
      </c>
      <c r="I825">
        <f t="shared" si="3282"/>
        <v>0</v>
      </c>
      <c r="J825">
        <v>5</v>
      </c>
      <c r="K825">
        <f t="shared" ref="K825:L825" si="3283">K824</f>
        <v>5.333333333333333</v>
      </c>
      <c r="L825">
        <f t="shared" si="3283"/>
        <v>0.47140452079103168</v>
      </c>
      <c r="M825">
        <v>107</v>
      </c>
      <c r="N825">
        <f t="shared" ref="N825:O825" si="3284">N824</f>
        <v>101.33333333333333</v>
      </c>
      <c r="O825">
        <f t="shared" si="3284"/>
        <v>4.0276819911981905</v>
      </c>
      <c r="P825">
        <v>152</v>
      </c>
      <c r="Q825">
        <v>0.64</v>
      </c>
      <c r="R825">
        <v>97.28</v>
      </c>
      <c r="S825">
        <v>0.48</v>
      </c>
      <c r="T825">
        <v>72.959999999999994</v>
      </c>
      <c r="U825">
        <v>13.38</v>
      </c>
    </row>
    <row r="826" spans="1:21" x14ac:dyDescent="0.25">
      <c r="A826" t="s">
        <v>443</v>
      </c>
      <c r="B826" s="4" t="s">
        <v>209</v>
      </c>
      <c r="C826" s="1">
        <v>4</v>
      </c>
      <c r="D826">
        <v>120</v>
      </c>
      <c r="E826">
        <v>3</v>
      </c>
      <c r="F826" t="s">
        <v>20</v>
      </c>
      <c r="G826">
        <v>99</v>
      </c>
      <c r="H826">
        <f t="shared" ref="H826:I826" si="3285">H824</f>
        <v>99</v>
      </c>
      <c r="I826">
        <f t="shared" si="3285"/>
        <v>0</v>
      </c>
      <c r="J826">
        <v>6</v>
      </c>
      <c r="K826">
        <f t="shared" ref="K826:L826" si="3286">K824</f>
        <v>5.333333333333333</v>
      </c>
      <c r="L826">
        <f t="shared" si="3286"/>
        <v>0.47140452079103168</v>
      </c>
      <c r="M826">
        <v>98</v>
      </c>
      <c r="N826">
        <f t="shared" ref="N826:O826" si="3287">N824</f>
        <v>101.33333333333333</v>
      </c>
      <c r="O826">
        <f t="shared" si="3287"/>
        <v>4.0276819911981905</v>
      </c>
      <c r="P826">
        <v>155</v>
      </c>
      <c r="Q826">
        <v>0.65</v>
      </c>
      <c r="R826">
        <v>100.75</v>
      </c>
      <c r="S826">
        <v>0.71</v>
      </c>
      <c r="T826">
        <v>110.05</v>
      </c>
      <c r="U826">
        <v>13.58</v>
      </c>
    </row>
    <row r="827" spans="1:21" x14ac:dyDescent="0.25">
      <c r="A827" t="s">
        <v>444</v>
      </c>
      <c r="B827" s="4" t="s">
        <v>172</v>
      </c>
      <c r="C827" s="1">
        <v>5</v>
      </c>
      <c r="D827">
        <v>120</v>
      </c>
      <c r="E827">
        <v>1</v>
      </c>
      <c r="F827">
        <v>88</v>
      </c>
      <c r="G827">
        <v>104</v>
      </c>
      <c r="H827">
        <f t="shared" ref="H827" si="3288">AVERAGE(G827:G829)</f>
        <v>104</v>
      </c>
      <c r="I827">
        <f t="shared" ref="I827" si="3289">_xlfn.STDEV.P(G827:G829)</f>
        <v>0</v>
      </c>
      <c r="J827">
        <v>1</v>
      </c>
      <c r="K827">
        <f t="shared" ref="K827" si="3290">AVERAGE(J827:J829)</f>
        <v>3.3333333333333335</v>
      </c>
      <c r="L827">
        <f t="shared" ref="L827" si="3291">_xlfn.STDEV.P(J827:J829)</f>
        <v>2.0548046676563256</v>
      </c>
      <c r="M827">
        <v>114</v>
      </c>
      <c r="N827">
        <f t="shared" ref="N827" si="3292">AVERAGE(M827:M829)</f>
        <v>112.66666666666667</v>
      </c>
      <c r="O827">
        <f t="shared" ref="O827" si="3293">_xlfn.STDEV.P(M827:M829)</f>
        <v>3.39934634239519</v>
      </c>
      <c r="P827">
        <v>156</v>
      </c>
      <c r="Q827">
        <v>0.64</v>
      </c>
      <c r="R827" t="s">
        <v>20</v>
      </c>
      <c r="S827">
        <v>0.7</v>
      </c>
      <c r="T827" t="s">
        <v>20</v>
      </c>
      <c r="U827">
        <v>16.579999999999998</v>
      </c>
    </row>
    <row r="828" spans="1:21" x14ac:dyDescent="0.25">
      <c r="A828" t="s">
        <v>444</v>
      </c>
      <c r="B828" s="4" t="s">
        <v>172</v>
      </c>
      <c r="C828" s="1">
        <v>5</v>
      </c>
      <c r="D828">
        <v>120</v>
      </c>
      <c r="E828">
        <v>2</v>
      </c>
      <c r="F828">
        <v>90</v>
      </c>
      <c r="G828">
        <v>104</v>
      </c>
      <c r="H828">
        <f t="shared" ref="H828:I828" si="3294">H827</f>
        <v>104</v>
      </c>
      <c r="I828">
        <f t="shared" si="3294"/>
        <v>0</v>
      </c>
      <c r="J828">
        <v>6</v>
      </c>
      <c r="K828">
        <f t="shared" ref="K828:L828" si="3295">K827</f>
        <v>3.3333333333333335</v>
      </c>
      <c r="L828">
        <f t="shared" si="3295"/>
        <v>2.0548046676563256</v>
      </c>
      <c r="M828">
        <v>116</v>
      </c>
      <c r="N828">
        <f t="shared" ref="N828:O828" si="3296">N827</f>
        <v>112.66666666666667</v>
      </c>
      <c r="O828">
        <f t="shared" si="3296"/>
        <v>3.39934634239519</v>
      </c>
      <c r="Q828">
        <v>0.72</v>
      </c>
      <c r="R828" t="s">
        <v>20</v>
      </c>
      <c r="S828">
        <v>0.7</v>
      </c>
      <c r="T828" t="s">
        <v>20</v>
      </c>
      <c r="U828">
        <v>18.420000000000002</v>
      </c>
    </row>
    <row r="829" spans="1:21" x14ac:dyDescent="0.25">
      <c r="A829" t="s">
        <v>444</v>
      </c>
      <c r="B829" s="4" t="s">
        <v>172</v>
      </c>
      <c r="C829" s="1">
        <v>5</v>
      </c>
      <c r="D829">
        <v>120</v>
      </c>
      <c r="E829">
        <v>3</v>
      </c>
      <c r="F829" t="s">
        <v>20</v>
      </c>
      <c r="G829">
        <v>104</v>
      </c>
      <c r="H829">
        <f t="shared" ref="H829:I829" si="3297">H827</f>
        <v>104</v>
      </c>
      <c r="I829">
        <f t="shared" si="3297"/>
        <v>0</v>
      </c>
      <c r="J829">
        <v>3</v>
      </c>
      <c r="K829">
        <f t="shared" ref="K829:L829" si="3298">K827</f>
        <v>3.3333333333333335</v>
      </c>
      <c r="L829">
        <f t="shared" si="3298"/>
        <v>2.0548046676563256</v>
      </c>
      <c r="M829">
        <v>108</v>
      </c>
      <c r="N829">
        <f t="shared" ref="N829:O829" si="3299">N827</f>
        <v>112.66666666666667</v>
      </c>
      <c r="O829">
        <f t="shared" si="3299"/>
        <v>3.39934634239519</v>
      </c>
      <c r="P829">
        <v>186</v>
      </c>
      <c r="Q829">
        <v>0.45</v>
      </c>
      <c r="R829" t="s">
        <v>20</v>
      </c>
      <c r="S829">
        <v>0.3</v>
      </c>
      <c r="T829" t="s">
        <v>20</v>
      </c>
      <c r="U829">
        <v>19.420000000000002</v>
      </c>
    </row>
    <row r="830" spans="1:21" x14ac:dyDescent="0.25">
      <c r="A830" t="s">
        <v>445</v>
      </c>
      <c r="B830" s="4" t="s">
        <v>214</v>
      </c>
      <c r="C830" s="1">
        <v>2</v>
      </c>
      <c r="D830">
        <v>120</v>
      </c>
      <c r="E830">
        <v>1</v>
      </c>
      <c r="F830">
        <v>22</v>
      </c>
      <c r="G830">
        <v>100</v>
      </c>
      <c r="H830">
        <f t="shared" ref="H830" si="3300">AVERAGE(G830:G832)</f>
        <v>100.33333333333333</v>
      </c>
      <c r="I830">
        <f t="shared" ref="I830" si="3301">_xlfn.STDEV.P(G830:G832)</f>
        <v>0.47140452079103168</v>
      </c>
      <c r="J830">
        <v>4</v>
      </c>
      <c r="K830">
        <f t="shared" ref="K830" si="3302">AVERAGE(J830:J832)</f>
        <v>6</v>
      </c>
      <c r="L830">
        <f t="shared" ref="L830" si="3303">_xlfn.STDEV.P(J830:J832)</f>
        <v>1.4142135623730951</v>
      </c>
      <c r="M830">
        <v>84</v>
      </c>
      <c r="N830">
        <f t="shared" ref="N830" si="3304">AVERAGE(M830:M832)</f>
        <v>94.666666666666671</v>
      </c>
      <c r="O830">
        <f t="shared" ref="O830" si="3305">_xlfn.STDEV.P(M830:M832)</f>
        <v>8.2192186706253025</v>
      </c>
      <c r="P830">
        <v>167</v>
      </c>
      <c r="Q830">
        <v>0.62</v>
      </c>
      <c r="R830">
        <v>103.54</v>
      </c>
      <c r="S830">
        <v>0.67</v>
      </c>
      <c r="T830">
        <v>111.89</v>
      </c>
      <c r="U830">
        <v>14.09</v>
      </c>
    </row>
    <row r="831" spans="1:21" x14ac:dyDescent="0.25">
      <c r="A831" t="s">
        <v>445</v>
      </c>
      <c r="B831" s="4" t="s">
        <v>214</v>
      </c>
      <c r="C831" s="1">
        <v>2</v>
      </c>
      <c r="D831">
        <v>120</v>
      </c>
      <c r="E831">
        <v>2</v>
      </c>
      <c r="F831">
        <v>22</v>
      </c>
      <c r="G831">
        <v>100</v>
      </c>
      <c r="H831">
        <f t="shared" ref="H831:I831" si="3306">H830</f>
        <v>100.33333333333333</v>
      </c>
      <c r="I831">
        <f t="shared" si="3306"/>
        <v>0.47140452079103168</v>
      </c>
      <c r="J831">
        <v>7</v>
      </c>
      <c r="K831">
        <f t="shared" ref="K831:L831" si="3307">K830</f>
        <v>6</v>
      </c>
      <c r="L831">
        <f t="shared" si="3307"/>
        <v>1.4142135623730951</v>
      </c>
      <c r="M831">
        <v>104</v>
      </c>
      <c r="N831">
        <f t="shared" ref="N831:O831" si="3308">N830</f>
        <v>94.666666666666671</v>
      </c>
      <c r="O831">
        <f t="shared" si="3308"/>
        <v>8.2192186706253025</v>
      </c>
      <c r="P831">
        <v>168</v>
      </c>
      <c r="Q831">
        <v>0.61</v>
      </c>
      <c r="R831">
        <v>102.48</v>
      </c>
      <c r="S831">
        <v>0.55000000000000004</v>
      </c>
      <c r="T831">
        <v>92.4</v>
      </c>
      <c r="U831">
        <v>15.72</v>
      </c>
    </row>
    <row r="832" spans="1:21" x14ac:dyDescent="0.25">
      <c r="A832" t="s">
        <v>445</v>
      </c>
      <c r="B832" s="4" t="s">
        <v>214</v>
      </c>
      <c r="C832" s="1">
        <v>2</v>
      </c>
      <c r="D832">
        <v>120</v>
      </c>
      <c r="E832">
        <v>3</v>
      </c>
      <c r="F832" t="s">
        <v>20</v>
      </c>
      <c r="G832">
        <v>101</v>
      </c>
      <c r="H832">
        <f t="shared" ref="H832:I832" si="3309">H830</f>
        <v>100.33333333333333</v>
      </c>
      <c r="I832">
        <f t="shared" si="3309"/>
        <v>0.47140452079103168</v>
      </c>
      <c r="J832">
        <v>7</v>
      </c>
      <c r="K832">
        <f t="shared" ref="K832:L832" si="3310">K830</f>
        <v>6</v>
      </c>
      <c r="L832">
        <f t="shared" si="3310"/>
        <v>1.4142135623730951</v>
      </c>
      <c r="M832">
        <v>96</v>
      </c>
      <c r="N832">
        <f t="shared" ref="N832:O832" si="3311">N830</f>
        <v>94.666666666666671</v>
      </c>
      <c r="O832">
        <f t="shared" si="3311"/>
        <v>8.2192186706253025</v>
      </c>
      <c r="P832">
        <v>162</v>
      </c>
      <c r="Q832">
        <v>0.68</v>
      </c>
      <c r="R832">
        <v>110.16000000000001</v>
      </c>
      <c r="S832">
        <v>0.66</v>
      </c>
      <c r="T832">
        <v>106.92</v>
      </c>
      <c r="U832">
        <v>16.28</v>
      </c>
    </row>
    <row r="833" spans="1:21" x14ac:dyDescent="0.25">
      <c r="A833" t="s">
        <v>446</v>
      </c>
      <c r="B833" s="4" t="s">
        <v>14</v>
      </c>
      <c r="C833" s="1">
        <v>1</v>
      </c>
      <c r="D833">
        <v>120</v>
      </c>
      <c r="E833">
        <v>1</v>
      </c>
      <c r="F833">
        <v>88</v>
      </c>
      <c r="G833">
        <v>140</v>
      </c>
      <c r="H833">
        <f t="shared" ref="H833" si="3312">AVERAGE(G833:G835)</f>
        <v>138.66666666666666</v>
      </c>
      <c r="I833">
        <f t="shared" ref="I833" si="3313">_xlfn.STDEV.P(G833:G835)</f>
        <v>1.8856180831641267</v>
      </c>
      <c r="J833">
        <v>7</v>
      </c>
      <c r="K833">
        <f t="shared" ref="K833" si="3314">AVERAGE(J833:J835)</f>
        <v>7</v>
      </c>
      <c r="L833">
        <f t="shared" ref="L833" si="3315">_xlfn.STDEV.P(J833:J835)</f>
        <v>0.81649658092772603</v>
      </c>
      <c r="M833">
        <v>115</v>
      </c>
      <c r="N833">
        <f t="shared" ref="N833" si="3316">AVERAGE(M833:M835)</f>
        <v>112.66666666666667</v>
      </c>
      <c r="O833">
        <f t="shared" ref="O833" si="3317">_xlfn.STDEV.P(M833:M835)</f>
        <v>2.0548046676563256</v>
      </c>
      <c r="P833">
        <v>181</v>
      </c>
      <c r="Q833">
        <v>0.67</v>
      </c>
      <c r="R833">
        <v>121.27000000000001</v>
      </c>
      <c r="S833">
        <v>0.6</v>
      </c>
      <c r="T833">
        <v>108.6</v>
      </c>
      <c r="U833" t="s">
        <v>20</v>
      </c>
    </row>
    <row r="834" spans="1:21" x14ac:dyDescent="0.25">
      <c r="A834" t="s">
        <v>446</v>
      </c>
      <c r="B834" s="4" t="s">
        <v>14</v>
      </c>
      <c r="C834" s="1">
        <v>1</v>
      </c>
      <c r="D834">
        <v>120</v>
      </c>
      <c r="E834">
        <v>2</v>
      </c>
      <c r="F834" t="s">
        <v>20</v>
      </c>
      <c r="G834">
        <v>136</v>
      </c>
      <c r="H834">
        <f t="shared" ref="H834:I834" si="3318">H833</f>
        <v>138.66666666666666</v>
      </c>
      <c r="I834">
        <f t="shared" si="3318"/>
        <v>1.8856180831641267</v>
      </c>
      <c r="J834">
        <v>8</v>
      </c>
      <c r="K834">
        <f t="shared" ref="K834:L834" si="3319">K833</f>
        <v>7</v>
      </c>
      <c r="L834">
        <f t="shared" si="3319"/>
        <v>0.81649658092772603</v>
      </c>
      <c r="M834">
        <v>113</v>
      </c>
      <c r="N834">
        <f t="shared" ref="N834:O834" si="3320">N833</f>
        <v>112.66666666666667</v>
      </c>
      <c r="O834">
        <f t="shared" si="3320"/>
        <v>2.0548046676563256</v>
      </c>
      <c r="P834">
        <v>180</v>
      </c>
      <c r="Q834">
        <v>0.66</v>
      </c>
      <c r="R834">
        <v>118.80000000000001</v>
      </c>
      <c r="S834">
        <v>0.59</v>
      </c>
      <c r="T834">
        <v>106.19999999999999</v>
      </c>
      <c r="U834" t="s">
        <v>20</v>
      </c>
    </row>
    <row r="835" spans="1:21" x14ac:dyDescent="0.25">
      <c r="A835" t="s">
        <v>446</v>
      </c>
      <c r="B835" s="4" t="s">
        <v>14</v>
      </c>
      <c r="C835" s="1">
        <v>1</v>
      </c>
      <c r="D835">
        <v>120</v>
      </c>
      <c r="E835">
        <v>3</v>
      </c>
      <c r="F835" t="s">
        <v>20</v>
      </c>
      <c r="G835">
        <v>140</v>
      </c>
      <c r="H835">
        <f t="shared" ref="H835:I835" si="3321">H833</f>
        <v>138.66666666666666</v>
      </c>
      <c r="I835">
        <f t="shared" si="3321"/>
        <v>1.8856180831641267</v>
      </c>
      <c r="J835">
        <v>6</v>
      </c>
      <c r="K835">
        <f t="shared" ref="K835:L835" si="3322">K833</f>
        <v>7</v>
      </c>
      <c r="L835">
        <f t="shared" si="3322"/>
        <v>0.81649658092772603</v>
      </c>
      <c r="M835">
        <v>110</v>
      </c>
      <c r="N835">
        <f t="shared" ref="N835:O835" si="3323">N833</f>
        <v>112.66666666666667</v>
      </c>
      <c r="O835">
        <f t="shared" si="3323"/>
        <v>2.0548046676563256</v>
      </c>
      <c r="P835">
        <v>186</v>
      </c>
      <c r="Q835">
        <v>0.61</v>
      </c>
      <c r="R835">
        <v>113.46</v>
      </c>
      <c r="S835">
        <v>0.67</v>
      </c>
      <c r="T835">
        <v>124.62</v>
      </c>
      <c r="U835" t="s">
        <v>20</v>
      </c>
    </row>
    <row r="836" spans="1:21" x14ac:dyDescent="0.25">
      <c r="A836" t="s">
        <v>447</v>
      </c>
      <c r="B836" s="4" t="s">
        <v>219</v>
      </c>
      <c r="C836" s="1">
        <v>2</v>
      </c>
      <c r="D836">
        <v>120</v>
      </c>
      <c r="E836">
        <v>1</v>
      </c>
      <c r="F836">
        <v>10</v>
      </c>
      <c r="G836">
        <v>80</v>
      </c>
      <c r="H836">
        <f t="shared" ref="H836" si="3324">AVERAGE(G836:G838)</f>
        <v>82</v>
      </c>
      <c r="I836">
        <f t="shared" ref="I836" si="3325">_xlfn.STDEV.P(G836:G838)</f>
        <v>1.6329931618554521</v>
      </c>
      <c r="J836">
        <v>25</v>
      </c>
      <c r="K836">
        <f t="shared" ref="K836" si="3326">AVERAGE(J836:J838)</f>
        <v>22.333333333333332</v>
      </c>
      <c r="L836">
        <f t="shared" ref="L836" si="3327">_xlfn.STDEV.P(J836:J838)</f>
        <v>2.0548046676563256</v>
      </c>
      <c r="M836">
        <v>60</v>
      </c>
      <c r="N836">
        <f t="shared" ref="N836" si="3328">AVERAGE(M836:M838)</f>
        <v>63.666666666666664</v>
      </c>
      <c r="O836">
        <f t="shared" ref="O836" si="3329">_xlfn.STDEV.P(M836:M838)</f>
        <v>3.2998316455372221</v>
      </c>
      <c r="P836">
        <v>128</v>
      </c>
      <c r="Q836">
        <v>0.61</v>
      </c>
      <c r="R836">
        <v>78.08</v>
      </c>
      <c r="S836">
        <v>0.62</v>
      </c>
      <c r="T836">
        <v>79.36</v>
      </c>
      <c r="U836">
        <v>13.57</v>
      </c>
    </row>
    <row r="837" spans="1:21" x14ac:dyDescent="0.25">
      <c r="A837" t="s">
        <v>447</v>
      </c>
      <c r="B837" s="4" t="s">
        <v>219</v>
      </c>
      <c r="C837" s="1">
        <v>2</v>
      </c>
      <c r="D837">
        <v>120</v>
      </c>
      <c r="E837">
        <v>2</v>
      </c>
      <c r="F837">
        <v>28</v>
      </c>
      <c r="G837">
        <v>82</v>
      </c>
      <c r="H837">
        <f t="shared" ref="H837:I837" si="3330">H836</f>
        <v>82</v>
      </c>
      <c r="I837">
        <f t="shared" si="3330"/>
        <v>1.6329931618554521</v>
      </c>
      <c r="J837">
        <v>20</v>
      </c>
      <c r="K837">
        <f t="shared" ref="K837:L837" si="3331">K836</f>
        <v>22.333333333333332</v>
      </c>
      <c r="L837">
        <f t="shared" si="3331"/>
        <v>2.0548046676563256</v>
      </c>
      <c r="M837">
        <v>63</v>
      </c>
      <c r="N837">
        <f t="shared" ref="N837:O837" si="3332">N836</f>
        <v>63.666666666666664</v>
      </c>
      <c r="O837">
        <f t="shared" si="3332"/>
        <v>3.2998316455372221</v>
      </c>
      <c r="P837">
        <v>126</v>
      </c>
      <c r="Q837">
        <v>0.7</v>
      </c>
      <c r="R837">
        <v>88.199999999999989</v>
      </c>
      <c r="S837">
        <v>0.78</v>
      </c>
      <c r="T837">
        <v>98.28</v>
      </c>
      <c r="U837">
        <v>12.77</v>
      </c>
    </row>
    <row r="838" spans="1:21" x14ac:dyDescent="0.25">
      <c r="A838" t="s">
        <v>447</v>
      </c>
      <c r="B838" s="4" t="s">
        <v>219</v>
      </c>
      <c r="C838" s="1">
        <v>2</v>
      </c>
      <c r="D838">
        <v>120</v>
      </c>
      <c r="E838">
        <v>3</v>
      </c>
      <c r="F838" t="s">
        <v>20</v>
      </c>
      <c r="G838">
        <v>84</v>
      </c>
      <c r="H838">
        <f t="shared" ref="H838:I838" si="3333">H836</f>
        <v>82</v>
      </c>
      <c r="I838">
        <f t="shared" si="3333"/>
        <v>1.6329931618554521</v>
      </c>
      <c r="J838">
        <v>22</v>
      </c>
      <c r="K838">
        <f t="shared" ref="K838:L838" si="3334">K836</f>
        <v>22.333333333333332</v>
      </c>
      <c r="L838">
        <f t="shared" si="3334"/>
        <v>2.0548046676563256</v>
      </c>
      <c r="M838">
        <v>68</v>
      </c>
      <c r="N838">
        <f t="shared" ref="N838:O838" si="3335">N836</f>
        <v>63.666666666666664</v>
      </c>
      <c r="O838">
        <f t="shared" si="3335"/>
        <v>3.2998316455372221</v>
      </c>
      <c r="P838">
        <v>131</v>
      </c>
      <c r="Q838">
        <v>0.52</v>
      </c>
      <c r="R838">
        <v>68.12</v>
      </c>
      <c r="S838">
        <v>0.71</v>
      </c>
      <c r="T838">
        <v>93.009999999999991</v>
      </c>
      <c r="U838">
        <v>13.5</v>
      </c>
    </row>
    <row r="839" spans="1:21" x14ac:dyDescent="0.25">
      <c r="A839" t="s">
        <v>448</v>
      </c>
      <c r="B839" s="4" t="s">
        <v>219</v>
      </c>
      <c r="C839" s="1">
        <v>1</v>
      </c>
      <c r="D839">
        <v>120</v>
      </c>
      <c r="E839">
        <v>1</v>
      </c>
      <c r="F839">
        <v>74</v>
      </c>
      <c r="G839">
        <v>99</v>
      </c>
      <c r="H839">
        <f t="shared" ref="H839" si="3336">AVERAGE(G839:G841)</f>
        <v>101</v>
      </c>
      <c r="I839">
        <f t="shared" ref="I839" si="3337">_xlfn.STDEV.P(G839:G841)</f>
        <v>1.6329931618554521</v>
      </c>
      <c r="J839">
        <v>12</v>
      </c>
      <c r="K839">
        <f t="shared" ref="K839" si="3338">AVERAGE(J839:J841)</f>
        <v>11.333333333333334</v>
      </c>
      <c r="L839">
        <f t="shared" ref="L839" si="3339">_xlfn.STDEV.P(J839:J841)</f>
        <v>0.94280904158206336</v>
      </c>
      <c r="M839">
        <v>90</v>
      </c>
      <c r="N839">
        <f t="shared" ref="N839" si="3340">AVERAGE(M839:M841)</f>
        <v>93</v>
      </c>
      <c r="O839">
        <f t="shared" ref="O839" si="3341">_xlfn.STDEV.P(M839:M841)</f>
        <v>3.5590260840104371</v>
      </c>
      <c r="P839">
        <v>155</v>
      </c>
      <c r="Q839">
        <v>0.66</v>
      </c>
      <c r="R839">
        <v>102.30000000000001</v>
      </c>
      <c r="S839">
        <v>0.72</v>
      </c>
      <c r="T839">
        <v>111.6</v>
      </c>
      <c r="U839">
        <v>17.09</v>
      </c>
    </row>
    <row r="840" spans="1:21" x14ac:dyDescent="0.25">
      <c r="A840" t="s">
        <v>448</v>
      </c>
      <c r="B840" s="4" t="s">
        <v>219</v>
      </c>
      <c r="C840" s="1">
        <v>1</v>
      </c>
      <c r="D840">
        <v>120</v>
      </c>
      <c r="E840">
        <v>2</v>
      </c>
      <c r="F840">
        <v>104</v>
      </c>
      <c r="G840">
        <v>101</v>
      </c>
      <c r="H840">
        <f t="shared" ref="H840:I840" si="3342">H839</f>
        <v>101</v>
      </c>
      <c r="I840">
        <f t="shared" si="3342"/>
        <v>1.6329931618554521</v>
      </c>
      <c r="J840">
        <v>12</v>
      </c>
      <c r="K840">
        <f t="shared" ref="K840:L840" si="3343">K839</f>
        <v>11.333333333333334</v>
      </c>
      <c r="L840">
        <f t="shared" si="3343"/>
        <v>0.94280904158206336</v>
      </c>
      <c r="M840">
        <v>98</v>
      </c>
      <c r="N840">
        <f t="shared" ref="N840:O840" si="3344">N839</f>
        <v>93</v>
      </c>
      <c r="O840">
        <f t="shared" si="3344"/>
        <v>3.5590260840104371</v>
      </c>
      <c r="P840">
        <v>153</v>
      </c>
      <c r="Q840">
        <v>0.52</v>
      </c>
      <c r="R840">
        <v>79.56</v>
      </c>
      <c r="S840">
        <v>0.74</v>
      </c>
      <c r="T840">
        <v>113.22</v>
      </c>
      <c r="U840">
        <v>11.47</v>
      </c>
    </row>
    <row r="841" spans="1:21" x14ac:dyDescent="0.25">
      <c r="A841" t="s">
        <v>448</v>
      </c>
      <c r="B841" s="4" t="s">
        <v>219</v>
      </c>
      <c r="C841" s="1">
        <v>1</v>
      </c>
      <c r="D841">
        <v>120</v>
      </c>
      <c r="E841">
        <v>3</v>
      </c>
      <c r="F841">
        <v>100</v>
      </c>
      <c r="G841">
        <v>103</v>
      </c>
      <c r="H841">
        <f t="shared" ref="H841:I841" si="3345">H839</f>
        <v>101</v>
      </c>
      <c r="I841">
        <f t="shared" si="3345"/>
        <v>1.6329931618554521</v>
      </c>
      <c r="J841">
        <v>10</v>
      </c>
      <c r="K841">
        <f t="shared" ref="K841:L841" si="3346">K839</f>
        <v>11.333333333333334</v>
      </c>
      <c r="L841">
        <f t="shared" si="3346"/>
        <v>0.94280904158206336</v>
      </c>
      <c r="M841">
        <v>91</v>
      </c>
      <c r="N841">
        <f t="shared" ref="N841:O841" si="3347">N839</f>
        <v>93</v>
      </c>
      <c r="O841">
        <f t="shared" si="3347"/>
        <v>3.5590260840104371</v>
      </c>
      <c r="P841">
        <v>155</v>
      </c>
      <c r="Q841">
        <v>0.63</v>
      </c>
      <c r="R841">
        <v>97.65</v>
      </c>
      <c r="S841">
        <v>0.71</v>
      </c>
      <c r="T841">
        <v>110.05</v>
      </c>
      <c r="U841">
        <v>16.96</v>
      </c>
    </row>
    <row r="842" spans="1:21" x14ac:dyDescent="0.25">
      <c r="A842" t="s">
        <v>449</v>
      </c>
      <c r="B842" s="4" t="s">
        <v>219</v>
      </c>
      <c r="C842" s="1">
        <v>2</v>
      </c>
      <c r="D842">
        <v>120</v>
      </c>
      <c r="E842">
        <v>1</v>
      </c>
      <c r="F842">
        <v>68</v>
      </c>
      <c r="G842">
        <v>82</v>
      </c>
      <c r="H842">
        <f t="shared" ref="H842" si="3348">AVERAGE(G842:G844)</f>
        <v>82</v>
      </c>
      <c r="I842">
        <f t="shared" ref="I842" si="3349">_xlfn.STDEV.P(G842:G844)</f>
        <v>0</v>
      </c>
      <c r="J842">
        <v>24</v>
      </c>
      <c r="K842">
        <f t="shared" ref="K842" si="3350">AVERAGE(J842:J844)</f>
        <v>27.333333333333332</v>
      </c>
      <c r="L842">
        <f t="shared" ref="L842" si="3351">_xlfn.STDEV.P(J842:J844)</f>
        <v>4.714045207910317</v>
      </c>
      <c r="M842">
        <v>95</v>
      </c>
      <c r="N842">
        <f t="shared" ref="N842" si="3352">AVERAGE(M842:M844)</f>
        <v>83.666666666666671</v>
      </c>
      <c r="O842">
        <f t="shared" ref="O842" si="3353">_xlfn.STDEV.P(M842:M844)</f>
        <v>8.3798700599843574</v>
      </c>
      <c r="P842">
        <v>129</v>
      </c>
      <c r="Q842">
        <v>0.65</v>
      </c>
      <c r="R842">
        <v>83.850000000000009</v>
      </c>
      <c r="S842">
        <v>0.75</v>
      </c>
      <c r="T842">
        <v>96.75</v>
      </c>
      <c r="U842">
        <v>12.68</v>
      </c>
    </row>
    <row r="843" spans="1:21" x14ac:dyDescent="0.25">
      <c r="A843" t="s">
        <v>449</v>
      </c>
      <c r="B843" s="4" t="s">
        <v>219</v>
      </c>
      <c r="C843" s="1">
        <v>2</v>
      </c>
      <c r="D843">
        <v>120</v>
      </c>
      <c r="E843">
        <v>2</v>
      </c>
      <c r="F843" t="s">
        <v>20</v>
      </c>
      <c r="G843">
        <v>82</v>
      </c>
      <c r="H843">
        <f t="shared" ref="H843:I843" si="3354">H842</f>
        <v>82</v>
      </c>
      <c r="I843">
        <f t="shared" si="3354"/>
        <v>0</v>
      </c>
      <c r="J843">
        <v>24</v>
      </c>
      <c r="K843">
        <f t="shared" ref="K843:L843" si="3355">K842</f>
        <v>27.333333333333332</v>
      </c>
      <c r="L843">
        <f t="shared" si="3355"/>
        <v>4.714045207910317</v>
      </c>
      <c r="M843">
        <v>75</v>
      </c>
      <c r="N843">
        <f t="shared" ref="N843:O843" si="3356">N842</f>
        <v>83.666666666666671</v>
      </c>
      <c r="O843">
        <f t="shared" si="3356"/>
        <v>8.3798700599843574</v>
      </c>
      <c r="P843">
        <v>128</v>
      </c>
      <c r="Q843">
        <v>0.63</v>
      </c>
      <c r="R843">
        <v>80.64</v>
      </c>
      <c r="S843">
        <v>0.68</v>
      </c>
      <c r="T843">
        <v>87.04</v>
      </c>
      <c r="U843">
        <v>12.78</v>
      </c>
    </row>
    <row r="844" spans="1:21" x14ac:dyDescent="0.25">
      <c r="A844" t="s">
        <v>449</v>
      </c>
      <c r="B844" s="4" t="s">
        <v>219</v>
      </c>
      <c r="C844" s="1">
        <v>2</v>
      </c>
      <c r="D844">
        <v>120</v>
      </c>
      <c r="E844">
        <v>3</v>
      </c>
      <c r="F844" t="s">
        <v>20</v>
      </c>
      <c r="G844">
        <v>82</v>
      </c>
      <c r="H844">
        <f t="shared" ref="H844:I844" si="3357">H842</f>
        <v>82</v>
      </c>
      <c r="I844">
        <f t="shared" si="3357"/>
        <v>0</v>
      </c>
      <c r="J844">
        <v>34</v>
      </c>
      <c r="K844">
        <f t="shared" ref="K844:L844" si="3358">K842</f>
        <v>27.333333333333332</v>
      </c>
      <c r="L844">
        <f t="shared" si="3358"/>
        <v>4.714045207910317</v>
      </c>
      <c r="M844">
        <v>81</v>
      </c>
      <c r="N844">
        <f t="shared" ref="N844:O844" si="3359">N842</f>
        <v>83.666666666666671</v>
      </c>
      <c r="O844">
        <f t="shared" si="3359"/>
        <v>8.3798700599843574</v>
      </c>
      <c r="P844">
        <v>128</v>
      </c>
      <c r="Q844">
        <v>0.72</v>
      </c>
      <c r="R844">
        <v>92.16</v>
      </c>
      <c r="S844">
        <v>0.65</v>
      </c>
      <c r="T844">
        <v>83.2</v>
      </c>
      <c r="U844">
        <v>13.8</v>
      </c>
    </row>
    <row r="845" spans="1:21" x14ac:dyDescent="0.25">
      <c r="A845" t="s">
        <v>450</v>
      </c>
      <c r="B845" s="4" t="s">
        <v>226</v>
      </c>
      <c r="C845" s="1">
        <v>2</v>
      </c>
      <c r="D845">
        <v>120</v>
      </c>
      <c r="E845">
        <v>1</v>
      </c>
      <c r="F845">
        <v>36</v>
      </c>
      <c r="G845" t="s">
        <v>20</v>
      </c>
      <c r="H845">
        <f t="shared" ref="H845" si="3360">AVERAGE(G845:G847)</f>
        <v>103</v>
      </c>
      <c r="I845">
        <f t="shared" ref="I845" si="3361">_xlfn.STDEV.P(G845:G847)</f>
        <v>0</v>
      </c>
      <c r="J845" t="s">
        <v>20</v>
      </c>
      <c r="K845">
        <f t="shared" ref="K845" si="3362">AVERAGE(J845:J847)</f>
        <v>7</v>
      </c>
      <c r="L845">
        <f t="shared" ref="L845" si="3363">_xlfn.STDEV.P(J845:J847)</f>
        <v>0</v>
      </c>
      <c r="M845" t="s">
        <v>20</v>
      </c>
      <c r="N845">
        <f t="shared" ref="N845" si="3364">AVERAGE(M845:M847)</f>
        <v>120</v>
      </c>
      <c r="O845">
        <f t="shared" ref="O845" si="3365">_xlfn.STDEV.P(M845:M847)</f>
        <v>0</v>
      </c>
      <c r="Q845" t="s">
        <v>20</v>
      </c>
      <c r="R845" t="s">
        <v>20</v>
      </c>
      <c r="S845" t="s">
        <v>20</v>
      </c>
      <c r="T845" t="s">
        <v>20</v>
      </c>
      <c r="U845">
        <v>15.95</v>
      </c>
    </row>
    <row r="846" spans="1:21" x14ac:dyDescent="0.25">
      <c r="A846" t="s">
        <v>450</v>
      </c>
      <c r="B846" s="4" t="s">
        <v>226</v>
      </c>
      <c r="C846" s="1">
        <v>2</v>
      </c>
      <c r="D846">
        <v>120</v>
      </c>
      <c r="E846">
        <v>2</v>
      </c>
      <c r="F846">
        <v>0</v>
      </c>
      <c r="G846">
        <v>103</v>
      </c>
      <c r="H846">
        <f t="shared" ref="H846:I846" si="3366">H845</f>
        <v>103</v>
      </c>
      <c r="I846">
        <f t="shared" si="3366"/>
        <v>0</v>
      </c>
      <c r="J846">
        <v>7</v>
      </c>
      <c r="K846">
        <f t="shared" ref="K846:L846" si="3367">K845</f>
        <v>7</v>
      </c>
      <c r="L846">
        <f t="shared" si="3367"/>
        <v>0</v>
      </c>
      <c r="M846">
        <v>120</v>
      </c>
      <c r="N846">
        <f t="shared" ref="N846:O846" si="3368">N845</f>
        <v>120</v>
      </c>
      <c r="O846">
        <f t="shared" si="3368"/>
        <v>0</v>
      </c>
      <c r="P846">
        <v>155</v>
      </c>
      <c r="Q846">
        <v>0.6</v>
      </c>
      <c r="R846" t="s">
        <v>20</v>
      </c>
      <c r="S846">
        <v>0.67</v>
      </c>
      <c r="T846" t="s">
        <v>20</v>
      </c>
      <c r="U846" t="s">
        <v>20</v>
      </c>
    </row>
    <row r="847" spans="1:21" x14ac:dyDescent="0.25">
      <c r="A847" t="s">
        <v>450</v>
      </c>
      <c r="B847" s="4" t="s">
        <v>226</v>
      </c>
      <c r="C847" s="1">
        <v>2</v>
      </c>
      <c r="D847">
        <v>120</v>
      </c>
      <c r="E847">
        <v>3</v>
      </c>
      <c r="F847">
        <v>4</v>
      </c>
      <c r="G847" t="s">
        <v>20</v>
      </c>
      <c r="H847">
        <f t="shared" ref="H847:I847" si="3369">H845</f>
        <v>103</v>
      </c>
      <c r="I847">
        <f t="shared" si="3369"/>
        <v>0</v>
      </c>
      <c r="J847" t="s">
        <v>20</v>
      </c>
      <c r="K847">
        <f t="shared" ref="K847:L847" si="3370">K845</f>
        <v>7</v>
      </c>
      <c r="L847">
        <f t="shared" si="3370"/>
        <v>0</v>
      </c>
      <c r="M847" t="s">
        <v>20</v>
      </c>
      <c r="N847">
        <f t="shared" ref="N847:O847" si="3371">N845</f>
        <v>120</v>
      </c>
      <c r="O847">
        <f t="shared" si="3371"/>
        <v>0</v>
      </c>
      <c r="Q847" t="s">
        <v>20</v>
      </c>
      <c r="R847" t="s">
        <v>20</v>
      </c>
      <c r="S847" t="s">
        <v>20</v>
      </c>
      <c r="T847" t="s">
        <v>20</v>
      </c>
      <c r="U847" t="s">
        <v>20</v>
      </c>
    </row>
    <row r="848" spans="1:21" x14ac:dyDescent="0.25">
      <c r="A848" t="s">
        <v>451</v>
      </c>
      <c r="B848" s="4" t="s">
        <v>228</v>
      </c>
      <c r="C848" s="1">
        <v>2</v>
      </c>
      <c r="D848">
        <v>120</v>
      </c>
      <c r="E848">
        <v>1</v>
      </c>
      <c r="F848">
        <v>36</v>
      </c>
      <c r="G848">
        <v>74</v>
      </c>
      <c r="H848">
        <f t="shared" ref="H848" si="3372">AVERAGE(G848:G850)</f>
        <v>75.333333333333329</v>
      </c>
      <c r="I848">
        <f t="shared" ref="I848" si="3373">_xlfn.STDEV.P(G848:G850)</f>
        <v>1.8856180831641267</v>
      </c>
      <c r="J848">
        <v>4</v>
      </c>
      <c r="K848">
        <f t="shared" ref="K848" si="3374">AVERAGE(J848:J850)</f>
        <v>5</v>
      </c>
      <c r="L848">
        <f t="shared" ref="L848" si="3375">_xlfn.STDEV.P(J848:J850)</f>
        <v>1.4142135623730951</v>
      </c>
      <c r="M848">
        <v>107</v>
      </c>
      <c r="N848">
        <f t="shared" ref="N848" si="3376">AVERAGE(M848:M850)</f>
        <v>103.66666666666667</v>
      </c>
      <c r="O848">
        <f t="shared" ref="O848" si="3377">_xlfn.STDEV.P(M848:M850)</f>
        <v>4.7140452079103161</v>
      </c>
      <c r="P848">
        <v>121</v>
      </c>
      <c r="Q848">
        <v>0.62</v>
      </c>
      <c r="R848">
        <v>75.02</v>
      </c>
      <c r="S848">
        <v>0.81</v>
      </c>
      <c r="T848">
        <v>98.01</v>
      </c>
      <c r="U848">
        <v>12.33</v>
      </c>
    </row>
    <row r="849" spans="1:21" x14ac:dyDescent="0.25">
      <c r="A849" t="s">
        <v>451</v>
      </c>
      <c r="B849" s="4" t="s">
        <v>228</v>
      </c>
      <c r="C849" s="1">
        <v>2</v>
      </c>
      <c r="D849">
        <v>120</v>
      </c>
      <c r="E849">
        <v>2</v>
      </c>
      <c r="F849">
        <v>24</v>
      </c>
      <c r="G849">
        <v>74</v>
      </c>
      <c r="H849">
        <f t="shared" ref="H849:I849" si="3378">H848</f>
        <v>75.333333333333329</v>
      </c>
      <c r="I849">
        <f t="shared" si="3378"/>
        <v>1.8856180831641267</v>
      </c>
      <c r="J849">
        <v>7</v>
      </c>
      <c r="K849">
        <f t="shared" ref="K849:L849" si="3379">K848</f>
        <v>5</v>
      </c>
      <c r="L849">
        <f t="shared" si="3379"/>
        <v>1.4142135623730951</v>
      </c>
      <c r="M849">
        <v>97</v>
      </c>
      <c r="N849">
        <f t="shared" ref="N849:O849" si="3380">N848</f>
        <v>103.66666666666667</v>
      </c>
      <c r="O849">
        <f t="shared" si="3380"/>
        <v>4.7140452079103161</v>
      </c>
      <c r="P849">
        <v>121</v>
      </c>
      <c r="Q849">
        <v>0.69</v>
      </c>
      <c r="R849">
        <v>83.49</v>
      </c>
      <c r="S849">
        <v>0.77</v>
      </c>
      <c r="T849">
        <v>93.17</v>
      </c>
      <c r="U849">
        <v>12.57</v>
      </c>
    </row>
    <row r="850" spans="1:21" x14ac:dyDescent="0.25">
      <c r="A850" t="s">
        <v>451</v>
      </c>
      <c r="B850" s="4" t="s">
        <v>228</v>
      </c>
      <c r="C850" s="1">
        <v>2</v>
      </c>
      <c r="D850">
        <v>120</v>
      </c>
      <c r="E850">
        <v>3</v>
      </c>
      <c r="F850" t="s">
        <v>20</v>
      </c>
      <c r="G850">
        <v>78</v>
      </c>
      <c r="H850">
        <f t="shared" ref="H850:I850" si="3381">H848</f>
        <v>75.333333333333329</v>
      </c>
      <c r="I850">
        <f t="shared" si="3381"/>
        <v>1.8856180831641267</v>
      </c>
      <c r="J850">
        <v>4</v>
      </c>
      <c r="K850">
        <f t="shared" ref="K850:L850" si="3382">K848</f>
        <v>5</v>
      </c>
      <c r="L850">
        <f t="shared" si="3382"/>
        <v>1.4142135623730951</v>
      </c>
      <c r="M850">
        <v>107</v>
      </c>
      <c r="N850">
        <f t="shared" ref="N850:O850" si="3383">N848</f>
        <v>103.66666666666667</v>
      </c>
      <c r="O850">
        <f t="shared" si="3383"/>
        <v>4.7140452079103161</v>
      </c>
      <c r="P850">
        <v>121</v>
      </c>
      <c r="Q850">
        <v>0.69</v>
      </c>
      <c r="R850">
        <v>83.49</v>
      </c>
      <c r="S850">
        <v>0.73</v>
      </c>
      <c r="T850">
        <v>88.33</v>
      </c>
      <c r="U850">
        <v>15.57</v>
      </c>
    </row>
    <row r="851" spans="1:21" x14ac:dyDescent="0.25">
      <c r="A851" t="s">
        <v>452</v>
      </c>
      <c r="B851" s="4" t="s">
        <v>230</v>
      </c>
      <c r="C851" s="1">
        <v>2</v>
      </c>
      <c r="D851">
        <v>120</v>
      </c>
      <c r="E851">
        <v>1</v>
      </c>
      <c r="F851">
        <v>102</v>
      </c>
      <c r="G851">
        <v>85</v>
      </c>
      <c r="H851">
        <f t="shared" ref="H851" si="3384">AVERAGE(G851:G853)</f>
        <v>84.333333333333329</v>
      </c>
      <c r="I851">
        <f t="shared" ref="I851" si="3385">_xlfn.STDEV.P(G851:G853)</f>
        <v>0.47140452079103168</v>
      </c>
      <c r="J851">
        <v>24</v>
      </c>
      <c r="K851">
        <f t="shared" ref="K851" si="3386">AVERAGE(J851:J853)</f>
        <v>23.333333333333332</v>
      </c>
      <c r="L851">
        <f t="shared" ref="L851" si="3387">_xlfn.STDEV.P(J851:J853)</f>
        <v>1.699673171197595</v>
      </c>
      <c r="M851">
        <v>66</v>
      </c>
      <c r="N851">
        <f t="shared" ref="N851" si="3388">AVERAGE(M851:M853)</f>
        <v>72.333333333333329</v>
      </c>
      <c r="O851">
        <f t="shared" ref="O851" si="3389">_xlfn.STDEV.P(M851:M853)</f>
        <v>6.9442222186665532</v>
      </c>
      <c r="P851">
        <v>131</v>
      </c>
      <c r="Q851">
        <v>0.66</v>
      </c>
      <c r="R851" t="s">
        <v>20</v>
      </c>
      <c r="S851">
        <v>0.65</v>
      </c>
      <c r="T851" t="s">
        <v>20</v>
      </c>
      <c r="U851">
        <v>15.88</v>
      </c>
    </row>
    <row r="852" spans="1:21" x14ac:dyDescent="0.25">
      <c r="A852" t="s">
        <v>452</v>
      </c>
      <c r="B852" s="4" t="s">
        <v>230</v>
      </c>
      <c r="C852" s="1">
        <v>2</v>
      </c>
      <c r="D852">
        <v>120</v>
      </c>
      <c r="E852">
        <v>2</v>
      </c>
      <c r="F852" t="s">
        <v>20</v>
      </c>
      <c r="G852">
        <v>84</v>
      </c>
      <c r="H852">
        <f t="shared" ref="H852:I852" si="3390">H851</f>
        <v>84.333333333333329</v>
      </c>
      <c r="I852">
        <f t="shared" si="3390"/>
        <v>0.47140452079103168</v>
      </c>
      <c r="J852">
        <v>25</v>
      </c>
      <c r="K852">
        <f t="shared" ref="K852:L852" si="3391">K851</f>
        <v>23.333333333333332</v>
      </c>
      <c r="L852">
        <f t="shared" si="3391"/>
        <v>1.699673171197595</v>
      </c>
      <c r="M852">
        <v>82</v>
      </c>
      <c r="N852">
        <f t="shared" ref="N852:O852" si="3392">N851</f>
        <v>72.333333333333329</v>
      </c>
      <c r="O852">
        <f t="shared" si="3392"/>
        <v>6.9442222186665532</v>
      </c>
      <c r="Q852">
        <v>0.66</v>
      </c>
      <c r="R852" t="s">
        <v>20</v>
      </c>
      <c r="S852">
        <v>0.66</v>
      </c>
      <c r="T852" t="s">
        <v>20</v>
      </c>
      <c r="U852">
        <v>12.47</v>
      </c>
    </row>
    <row r="853" spans="1:21" x14ac:dyDescent="0.25">
      <c r="A853" t="s">
        <v>452</v>
      </c>
      <c r="B853" s="4" t="s">
        <v>230</v>
      </c>
      <c r="C853" s="1">
        <v>2</v>
      </c>
      <c r="D853">
        <v>120</v>
      </c>
      <c r="E853">
        <v>3</v>
      </c>
      <c r="F853" t="s">
        <v>20</v>
      </c>
      <c r="G853">
        <v>84</v>
      </c>
      <c r="H853">
        <f t="shared" ref="H853:I853" si="3393">H851</f>
        <v>84.333333333333329</v>
      </c>
      <c r="I853">
        <f t="shared" si="3393"/>
        <v>0.47140452079103168</v>
      </c>
      <c r="J853">
        <v>21</v>
      </c>
      <c r="K853">
        <f t="shared" ref="K853:L853" si="3394">K851</f>
        <v>23.333333333333332</v>
      </c>
      <c r="L853">
        <f t="shared" si="3394"/>
        <v>1.699673171197595</v>
      </c>
      <c r="M853">
        <v>69</v>
      </c>
      <c r="N853">
        <f t="shared" ref="N853:O853" si="3395">N851</f>
        <v>72.333333333333329</v>
      </c>
      <c r="O853">
        <f t="shared" si="3395"/>
        <v>6.9442222186665532</v>
      </c>
      <c r="P853">
        <v>131</v>
      </c>
      <c r="Q853">
        <v>0.54</v>
      </c>
      <c r="R853" t="s">
        <v>20</v>
      </c>
      <c r="S853">
        <v>0.63</v>
      </c>
      <c r="T853" t="s">
        <v>20</v>
      </c>
      <c r="U853">
        <v>13.68</v>
      </c>
    </row>
    <row r="854" spans="1:21" x14ac:dyDescent="0.25">
      <c r="A854" t="s">
        <v>453</v>
      </c>
      <c r="B854" s="4" t="s">
        <v>230</v>
      </c>
      <c r="C854" s="1">
        <v>2</v>
      </c>
      <c r="D854">
        <v>120</v>
      </c>
      <c r="E854">
        <v>1</v>
      </c>
      <c r="F854">
        <v>52</v>
      </c>
      <c r="G854">
        <v>82</v>
      </c>
      <c r="H854">
        <f t="shared" ref="H854" si="3396">AVERAGE(G854:G856)</f>
        <v>83.333333333333329</v>
      </c>
      <c r="I854">
        <f t="shared" ref="I854" si="3397">_xlfn.STDEV.P(G854:G856)</f>
        <v>0.94280904158206336</v>
      </c>
      <c r="J854">
        <v>32</v>
      </c>
      <c r="K854">
        <f t="shared" ref="K854" si="3398">AVERAGE(J854:J856)</f>
        <v>32</v>
      </c>
      <c r="L854">
        <f t="shared" ref="L854" si="3399">_xlfn.STDEV.P(J854:J856)</f>
        <v>4.8989794855663558</v>
      </c>
      <c r="M854">
        <v>72</v>
      </c>
      <c r="N854">
        <f t="shared" ref="N854" si="3400">AVERAGE(M854:M856)</f>
        <v>75.666666666666671</v>
      </c>
      <c r="O854">
        <f t="shared" ref="O854" si="3401">_xlfn.STDEV.P(M854:M856)</f>
        <v>3.2998316455372216</v>
      </c>
      <c r="P854">
        <v>131</v>
      </c>
      <c r="Q854">
        <v>0.66</v>
      </c>
      <c r="R854">
        <v>86.460000000000008</v>
      </c>
      <c r="S854">
        <v>0.7</v>
      </c>
      <c r="T854">
        <v>91.699999999999989</v>
      </c>
      <c r="U854">
        <v>13.11</v>
      </c>
    </row>
    <row r="855" spans="1:21" x14ac:dyDescent="0.25">
      <c r="A855" t="s">
        <v>453</v>
      </c>
      <c r="B855" s="4" t="s">
        <v>230</v>
      </c>
      <c r="C855" s="1">
        <v>2</v>
      </c>
      <c r="D855">
        <v>120</v>
      </c>
      <c r="E855">
        <v>2</v>
      </c>
      <c r="F855" t="s">
        <v>20</v>
      </c>
      <c r="G855">
        <v>84</v>
      </c>
      <c r="H855">
        <f t="shared" ref="H855:I855" si="3402">H854</f>
        <v>83.333333333333329</v>
      </c>
      <c r="I855">
        <f t="shared" si="3402"/>
        <v>0.94280904158206336</v>
      </c>
      <c r="J855">
        <v>26</v>
      </c>
      <c r="K855">
        <f t="shared" ref="K855:L855" si="3403">K854</f>
        <v>32</v>
      </c>
      <c r="L855">
        <f t="shared" si="3403"/>
        <v>4.8989794855663558</v>
      </c>
      <c r="M855">
        <v>80</v>
      </c>
      <c r="N855">
        <f t="shared" ref="N855:O855" si="3404">N854</f>
        <v>75.666666666666671</v>
      </c>
      <c r="O855">
        <f t="shared" si="3404"/>
        <v>3.2998316455372216</v>
      </c>
      <c r="P855">
        <v>128</v>
      </c>
      <c r="Q855">
        <v>0.71</v>
      </c>
      <c r="R855">
        <v>90.88</v>
      </c>
      <c r="S855">
        <v>0.78</v>
      </c>
      <c r="T855">
        <v>99.84</v>
      </c>
      <c r="U855">
        <v>13.41</v>
      </c>
    </row>
    <row r="856" spans="1:21" x14ac:dyDescent="0.25">
      <c r="A856" t="s">
        <v>453</v>
      </c>
      <c r="B856" s="4" t="s">
        <v>230</v>
      </c>
      <c r="C856" s="1">
        <v>2</v>
      </c>
      <c r="D856">
        <v>120</v>
      </c>
      <c r="E856">
        <v>3</v>
      </c>
      <c r="F856" t="s">
        <v>20</v>
      </c>
      <c r="G856">
        <v>84</v>
      </c>
      <c r="H856">
        <f t="shared" ref="H856:I856" si="3405">H854</f>
        <v>83.333333333333329</v>
      </c>
      <c r="I856">
        <f t="shared" si="3405"/>
        <v>0.94280904158206336</v>
      </c>
      <c r="J856">
        <v>38</v>
      </c>
      <c r="K856">
        <f t="shared" ref="K856:L856" si="3406">K854</f>
        <v>32</v>
      </c>
      <c r="L856">
        <f t="shared" si="3406"/>
        <v>4.8989794855663558</v>
      </c>
      <c r="M856">
        <v>75</v>
      </c>
      <c r="N856">
        <f t="shared" ref="N856:O856" si="3407">N854</f>
        <v>75.666666666666671</v>
      </c>
      <c r="O856">
        <f t="shared" si="3407"/>
        <v>3.2998316455372216</v>
      </c>
      <c r="P856">
        <v>131</v>
      </c>
      <c r="Q856">
        <v>0.65</v>
      </c>
      <c r="R856">
        <v>85.15</v>
      </c>
      <c r="S856">
        <v>0.68</v>
      </c>
      <c r="T856">
        <v>89.080000000000013</v>
      </c>
      <c r="U856">
        <v>13.66</v>
      </c>
    </row>
    <row r="857" spans="1:21" x14ac:dyDescent="0.25">
      <c r="A857" t="s">
        <v>454</v>
      </c>
      <c r="B857" s="4" t="s">
        <v>224</v>
      </c>
      <c r="C857" s="1">
        <v>1</v>
      </c>
      <c r="D857">
        <v>120</v>
      </c>
      <c r="E857">
        <v>1</v>
      </c>
      <c r="F857">
        <v>42</v>
      </c>
      <c r="G857">
        <v>117</v>
      </c>
      <c r="H857">
        <f t="shared" ref="H857" si="3408">AVERAGE(G857:G859)</f>
        <v>116.66666666666667</v>
      </c>
      <c r="I857">
        <f t="shared" ref="I857" si="3409">_xlfn.STDEV.P(G857:G859)</f>
        <v>0.47140452079103168</v>
      </c>
      <c r="J857">
        <v>7</v>
      </c>
      <c r="K857">
        <f t="shared" ref="K857" si="3410">AVERAGE(J857:J859)</f>
        <v>5.333333333333333</v>
      </c>
      <c r="L857">
        <f t="shared" ref="L857" si="3411">_xlfn.STDEV.P(J857:J859)</f>
        <v>1.247219128924647</v>
      </c>
      <c r="M857">
        <v>99</v>
      </c>
      <c r="N857">
        <f t="shared" ref="N857" si="3412">AVERAGE(M857:M859)</f>
        <v>96.666666666666671</v>
      </c>
      <c r="O857">
        <f t="shared" ref="O857" si="3413">_xlfn.STDEV.P(M857:M859)</f>
        <v>4.0276819911981905</v>
      </c>
      <c r="P857">
        <v>186</v>
      </c>
      <c r="Q857">
        <v>0.59</v>
      </c>
      <c r="R857">
        <v>109.74</v>
      </c>
      <c r="S857">
        <v>0.51</v>
      </c>
      <c r="T857">
        <v>94.86</v>
      </c>
      <c r="U857">
        <v>20.14</v>
      </c>
    </row>
    <row r="858" spans="1:21" x14ac:dyDescent="0.25">
      <c r="A858" t="s">
        <v>454</v>
      </c>
      <c r="B858" s="4" t="s">
        <v>224</v>
      </c>
      <c r="C858" s="1">
        <v>1</v>
      </c>
      <c r="D858">
        <v>120</v>
      </c>
      <c r="E858">
        <v>2</v>
      </c>
      <c r="F858" t="s">
        <v>20</v>
      </c>
      <c r="G858">
        <v>117</v>
      </c>
      <c r="H858">
        <f t="shared" ref="H858:I858" si="3414">H857</f>
        <v>116.66666666666667</v>
      </c>
      <c r="I858">
        <f t="shared" si="3414"/>
        <v>0.47140452079103168</v>
      </c>
      <c r="J858">
        <v>5</v>
      </c>
      <c r="K858">
        <f t="shared" ref="K858:L858" si="3415">K857</f>
        <v>5.333333333333333</v>
      </c>
      <c r="L858">
        <f t="shared" si="3415"/>
        <v>1.247219128924647</v>
      </c>
      <c r="M858">
        <v>91</v>
      </c>
      <c r="N858">
        <f t="shared" ref="N858:O858" si="3416">N857</f>
        <v>96.666666666666671</v>
      </c>
      <c r="O858">
        <f t="shared" si="3416"/>
        <v>4.0276819911981905</v>
      </c>
      <c r="P858">
        <v>181</v>
      </c>
      <c r="Q858">
        <v>0.53</v>
      </c>
      <c r="R858">
        <v>95.93</v>
      </c>
      <c r="S858">
        <v>0.57999999999999996</v>
      </c>
      <c r="T858">
        <v>104.97999999999999</v>
      </c>
      <c r="U858">
        <v>18.37</v>
      </c>
    </row>
    <row r="859" spans="1:21" x14ac:dyDescent="0.25">
      <c r="A859" t="s">
        <v>454</v>
      </c>
      <c r="B859" s="4" t="s">
        <v>224</v>
      </c>
      <c r="C859" s="1">
        <v>1</v>
      </c>
      <c r="D859">
        <v>120</v>
      </c>
      <c r="E859">
        <v>3</v>
      </c>
      <c r="F859" t="s">
        <v>20</v>
      </c>
      <c r="G859">
        <v>116</v>
      </c>
      <c r="H859">
        <f t="shared" ref="H859:I859" si="3417">H857</f>
        <v>116.66666666666667</v>
      </c>
      <c r="I859">
        <f t="shared" si="3417"/>
        <v>0.47140452079103168</v>
      </c>
      <c r="J859">
        <v>4</v>
      </c>
      <c r="K859">
        <f t="shared" ref="K859:L859" si="3418">K857</f>
        <v>5.333333333333333</v>
      </c>
      <c r="L859">
        <f t="shared" si="3418"/>
        <v>1.247219128924647</v>
      </c>
      <c r="M859">
        <v>100</v>
      </c>
      <c r="N859">
        <f t="shared" ref="N859:O859" si="3419">N857</f>
        <v>96.666666666666671</v>
      </c>
      <c r="O859">
        <f t="shared" si="3419"/>
        <v>4.0276819911981905</v>
      </c>
      <c r="P859">
        <v>181</v>
      </c>
      <c r="Q859">
        <v>0.54</v>
      </c>
      <c r="R859">
        <v>97.740000000000009</v>
      </c>
      <c r="S859">
        <v>0.7</v>
      </c>
      <c r="T859">
        <v>126.69999999999999</v>
      </c>
      <c r="U859">
        <v>19.53</v>
      </c>
    </row>
    <row r="860" spans="1:21" x14ac:dyDescent="0.25">
      <c r="A860" t="s">
        <v>455</v>
      </c>
      <c r="B860" s="4" t="s">
        <v>224</v>
      </c>
      <c r="C860" s="1">
        <v>1</v>
      </c>
      <c r="D860">
        <v>120</v>
      </c>
      <c r="E860">
        <v>1</v>
      </c>
      <c r="F860">
        <v>34</v>
      </c>
      <c r="G860">
        <v>130</v>
      </c>
      <c r="H860">
        <f t="shared" ref="H860" si="3420">AVERAGE(G860:G862)</f>
        <v>126.66666666666667</v>
      </c>
      <c r="I860">
        <f t="shared" ref="I860" si="3421">_xlfn.STDEV.P(G860:G862)</f>
        <v>2.3570226039551581</v>
      </c>
      <c r="J860">
        <v>15</v>
      </c>
      <c r="K860">
        <f t="shared" ref="K860" si="3422">AVERAGE(J860:J862)</f>
        <v>12.333333333333334</v>
      </c>
      <c r="L860">
        <f t="shared" ref="L860" si="3423">_xlfn.STDEV.P(J860:J862)</f>
        <v>2.0548046676563256</v>
      </c>
      <c r="M860">
        <v>90</v>
      </c>
      <c r="N860">
        <f t="shared" ref="N860" si="3424">AVERAGE(M860:M862)</f>
        <v>101.33333333333333</v>
      </c>
      <c r="O860">
        <f t="shared" ref="O860" si="3425">_xlfn.STDEV.P(M860:M862)</f>
        <v>8.6538366571647796</v>
      </c>
      <c r="P860">
        <v>186</v>
      </c>
      <c r="Q860">
        <v>0.5</v>
      </c>
      <c r="R860">
        <v>93</v>
      </c>
      <c r="S860">
        <v>0.46</v>
      </c>
      <c r="T860">
        <v>85.56</v>
      </c>
      <c r="U860" t="s">
        <v>20</v>
      </c>
    </row>
    <row r="861" spans="1:21" x14ac:dyDescent="0.25">
      <c r="A861" t="s">
        <v>455</v>
      </c>
      <c r="B861" s="4" t="s">
        <v>224</v>
      </c>
      <c r="C861" s="1">
        <v>1</v>
      </c>
      <c r="D861">
        <v>120</v>
      </c>
      <c r="E861">
        <v>2</v>
      </c>
      <c r="F861">
        <v>68</v>
      </c>
      <c r="G861">
        <v>125</v>
      </c>
      <c r="H861">
        <f t="shared" ref="H861:I861" si="3426">H860</f>
        <v>126.66666666666667</v>
      </c>
      <c r="I861">
        <f t="shared" si="3426"/>
        <v>2.3570226039551581</v>
      </c>
      <c r="J861">
        <v>12</v>
      </c>
      <c r="K861">
        <f t="shared" ref="K861:L861" si="3427">K860</f>
        <v>12.333333333333334</v>
      </c>
      <c r="L861">
        <f t="shared" si="3427"/>
        <v>2.0548046676563256</v>
      </c>
      <c r="M861">
        <v>111</v>
      </c>
      <c r="N861">
        <f t="shared" ref="N861:O861" si="3428">N860</f>
        <v>101.33333333333333</v>
      </c>
      <c r="O861">
        <f t="shared" si="3428"/>
        <v>8.6538366571647796</v>
      </c>
      <c r="P861">
        <v>177</v>
      </c>
      <c r="Q861">
        <v>0.56999999999999995</v>
      </c>
      <c r="R861">
        <v>100.88999999999999</v>
      </c>
      <c r="S861">
        <v>0.47</v>
      </c>
      <c r="T861">
        <v>83.19</v>
      </c>
      <c r="U861" t="s">
        <v>20</v>
      </c>
    </row>
    <row r="862" spans="1:21" x14ac:dyDescent="0.25">
      <c r="A862" t="s">
        <v>455</v>
      </c>
      <c r="B862" s="4" t="s">
        <v>224</v>
      </c>
      <c r="C862" s="1">
        <v>1</v>
      </c>
      <c r="D862">
        <v>120</v>
      </c>
      <c r="E862">
        <v>3</v>
      </c>
      <c r="F862">
        <v>36</v>
      </c>
      <c r="G862">
        <v>125</v>
      </c>
      <c r="H862">
        <f t="shared" ref="H862:I862" si="3429">H860</f>
        <v>126.66666666666667</v>
      </c>
      <c r="I862">
        <f t="shared" si="3429"/>
        <v>2.3570226039551581</v>
      </c>
      <c r="J862">
        <v>10</v>
      </c>
      <c r="K862">
        <f t="shared" ref="K862:L862" si="3430">K860</f>
        <v>12.333333333333334</v>
      </c>
      <c r="L862">
        <f t="shared" si="3430"/>
        <v>2.0548046676563256</v>
      </c>
      <c r="M862">
        <v>103</v>
      </c>
      <c r="N862">
        <f t="shared" ref="N862:O862" si="3431">N860</f>
        <v>101.33333333333333</v>
      </c>
      <c r="O862">
        <f t="shared" si="3431"/>
        <v>8.6538366571647796</v>
      </c>
      <c r="P862">
        <v>186</v>
      </c>
      <c r="Q862">
        <v>0.56000000000000005</v>
      </c>
      <c r="R862">
        <v>104.16000000000001</v>
      </c>
      <c r="S862">
        <v>0.62</v>
      </c>
      <c r="T862">
        <v>115.32</v>
      </c>
      <c r="U862" t="s">
        <v>20</v>
      </c>
    </row>
    <row r="863" spans="1:21" x14ac:dyDescent="0.25">
      <c r="A863" t="s">
        <v>456</v>
      </c>
      <c r="B863" s="4" t="s">
        <v>230</v>
      </c>
      <c r="C863" s="1">
        <v>1</v>
      </c>
      <c r="D863">
        <v>120</v>
      </c>
      <c r="E863">
        <v>1</v>
      </c>
      <c r="F863">
        <v>80</v>
      </c>
      <c r="G863">
        <v>107</v>
      </c>
      <c r="H863">
        <f t="shared" ref="H863" si="3432">AVERAGE(G863:G865)</f>
        <v>105.33333333333333</v>
      </c>
      <c r="I863">
        <f t="shared" ref="I863" si="3433">_xlfn.STDEV.P(G863:G865)</f>
        <v>1.699673171197595</v>
      </c>
      <c r="J863">
        <v>8</v>
      </c>
      <c r="K863">
        <f t="shared" ref="K863" si="3434">AVERAGE(J863:J865)</f>
        <v>9.3333333333333339</v>
      </c>
      <c r="L863">
        <f t="shared" ref="L863" si="3435">_xlfn.STDEV.P(J863:J865)</f>
        <v>1.8856180831641267</v>
      </c>
      <c r="M863">
        <v>92</v>
      </c>
      <c r="N863">
        <f t="shared" ref="N863" si="3436">AVERAGE(M863:M865)</f>
        <v>95.666666666666671</v>
      </c>
      <c r="O863">
        <f t="shared" ref="O863" si="3437">_xlfn.STDEV.P(M863:M865)</f>
        <v>4.4969125210773466</v>
      </c>
      <c r="P863">
        <v>162</v>
      </c>
      <c r="Q863">
        <v>0.56000000000000005</v>
      </c>
      <c r="R863">
        <v>90.720000000000013</v>
      </c>
      <c r="S863">
        <v>0.72</v>
      </c>
      <c r="T863">
        <v>116.64</v>
      </c>
      <c r="U863">
        <v>18.45</v>
      </c>
    </row>
    <row r="864" spans="1:21" x14ac:dyDescent="0.25">
      <c r="A864" t="s">
        <v>456</v>
      </c>
      <c r="B864" s="4" t="s">
        <v>230</v>
      </c>
      <c r="C864" s="1">
        <v>1</v>
      </c>
      <c r="D864">
        <v>120</v>
      </c>
      <c r="E864">
        <v>2</v>
      </c>
      <c r="F864" t="s">
        <v>20</v>
      </c>
      <c r="G864">
        <v>106</v>
      </c>
      <c r="H864">
        <f t="shared" ref="H864:I864" si="3438">H863</f>
        <v>105.33333333333333</v>
      </c>
      <c r="I864">
        <f t="shared" si="3438"/>
        <v>1.699673171197595</v>
      </c>
      <c r="J864">
        <v>8</v>
      </c>
      <c r="K864">
        <f t="shared" ref="K864:L864" si="3439">K863</f>
        <v>9.3333333333333339</v>
      </c>
      <c r="L864">
        <f t="shared" si="3439"/>
        <v>1.8856180831641267</v>
      </c>
      <c r="M864">
        <v>93</v>
      </c>
      <c r="N864">
        <f t="shared" ref="N864:O864" si="3440">N863</f>
        <v>95.666666666666671</v>
      </c>
      <c r="O864">
        <f t="shared" si="3440"/>
        <v>4.4969125210773466</v>
      </c>
      <c r="P864">
        <v>159</v>
      </c>
      <c r="Q864">
        <v>0.56999999999999995</v>
      </c>
      <c r="R864">
        <v>90.63</v>
      </c>
      <c r="S864">
        <v>0.45</v>
      </c>
      <c r="T864">
        <v>71.55</v>
      </c>
      <c r="U864">
        <v>18.13</v>
      </c>
    </row>
    <row r="865" spans="1:21" x14ac:dyDescent="0.25">
      <c r="A865" t="s">
        <v>456</v>
      </c>
      <c r="B865" s="4" t="s">
        <v>230</v>
      </c>
      <c r="C865" s="1">
        <v>1</v>
      </c>
      <c r="D865">
        <v>120</v>
      </c>
      <c r="E865">
        <v>3</v>
      </c>
      <c r="F865" t="s">
        <v>20</v>
      </c>
      <c r="G865">
        <v>103</v>
      </c>
      <c r="H865">
        <f t="shared" ref="H865:I865" si="3441">H863</f>
        <v>105.33333333333333</v>
      </c>
      <c r="I865">
        <f t="shared" si="3441"/>
        <v>1.699673171197595</v>
      </c>
      <c r="J865">
        <v>12</v>
      </c>
      <c r="K865">
        <f t="shared" ref="K865:L865" si="3442">K863</f>
        <v>9.3333333333333339</v>
      </c>
      <c r="L865">
        <f t="shared" si="3442"/>
        <v>1.8856180831641267</v>
      </c>
      <c r="M865">
        <v>102</v>
      </c>
      <c r="N865">
        <f t="shared" ref="N865:O865" si="3443">N863</f>
        <v>95.666666666666671</v>
      </c>
      <c r="O865">
        <f t="shared" si="3443"/>
        <v>4.4969125210773466</v>
      </c>
      <c r="P865">
        <v>160</v>
      </c>
      <c r="Q865">
        <v>0.51</v>
      </c>
      <c r="R865">
        <v>81.599999999999994</v>
      </c>
      <c r="S865">
        <v>0.6</v>
      </c>
      <c r="T865">
        <v>96</v>
      </c>
      <c r="U865">
        <v>17.670000000000002</v>
      </c>
    </row>
    <row r="866" spans="1:21" x14ac:dyDescent="0.25">
      <c r="A866" t="s">
        <v>457</v>
      </c>
      <c r="B866" s="4" t="s">
        <v>230</v>
      </c>
      <c r="C866" s="1">
        <v>1</v>
      </c>
      <c r="D866">
        <v>120</v>
      </c>
      <c r="E866">
        <v>1</v>
      </c>
      <c r="F866">
        <v>118</v>
      </c>
      <c r="G866">
        <v>102</v>
      </c>
      <c r="H866">
        <f t="shared" ref="H866" si="3444">AVERAGE(G866:G868)</f>
        <v>100.66666666666667</v>
      </c>
      <c r="I866">
        <f t="shared" ref="I866" si="3445">_xlfn.STDEV.P(G866:G868)</f>
        <v>0.94280904158206336</v>
      </c>
      <c r="J866">
        <v>12</v>
      </c>
      <c r="K866">
        <f t="shared" ref="K866" si="3446">AVERAGE(J866:J868)</f>
        <v>12</v>
      </c>
      <c r="L866">
        <f t="shared" ref="L866" si="3447">_xlfn.STDEV.P(J866:J868)</f>
        <v>0</v>
      </c>
      <c r="M866">
        <v>90</v>
      </c>
      <c r="N866">
        <f t="shared" ref="N866" si="3448">AVERAGE(M866:M868)</f>
        <v>90.666666666666671</v>
      </c>
      <c r="O866">
        <f t="shared" ref="O866" si="3449">_xlfn.STDEV.P(M866:M868)</f>
        <v>0.94280904158206336</v>
      </c>
      <c r="P866">
        <v>155</v>
      </c>
      <c r="Q866">
        <v>0.5</v>
      </c>
      <c r="R866">
        <v>77.5</v>
      </c>
      <c r="S866">
        <v>0.66</v>
      </c>
      <c r="T866">
        <v>102.30000000000001</v>
      </c>
      <c r="U866">
        <v>17.66</v>
      </c>
    </row>
    <row r="867" spans="1:21" x14ac:dyDescent="0.25">
      <c r="A867" t="s">
        <v>457</v>
      </c>
      <c r="B867" s="4" t="s">
        <v>230</v>
      </c>
      <c r="C867" s="1">
        <v>1</v>
      </c>
      <c r="D867">
        <v>120</v>
      </c>
      <c r="E867">
        <v>2</v>
      </c>
      <c r="F867" t="s">
        <v>20</v>
      </c>
      <c r="G867">
        <v>100</v>
      </c>
      <c r="H867">
        <f t="shared" ref="H867:I867" si="3450">H866</f>
        <v>100.66666666666667</v>
      </c>
      <c r="I867">
        <f t="shared" si="3450"/>
        <v>0.94280904158206336</v>
      </c>
      <c r="J867">
        <v>12</v>
      </c>
      <c r="K867">
        <f t="shared" ref="K867:L867" si="3451">K866</f>
        <v>12</v>
      </c>
      <c r="L867">
        <f t="shared" si="3451"/>
        <v>0</v>
      </c>
      <c r="M867">
        <v>92</v>
      </c>
      <c r="N867">
        <f t="shared" ref="N867:O867" si="3452">N866</f>
        <v>90.666666666666671</v>
      </c>
      <c r="O867">
        <f t="shared" si="3452"/>
        <v>0.94280904158206336</v>
      </c>
      <c r="P867">
        <v>156</v>
      </c>
      <c r="Q867">
        <v>0.45</v>
      </c>
      <c r="R867">
        <v>70.2</v>
      </c>
      <c r="S867">
        <v>0.7</v>
      </c>
      <c r="T867">
        <v>109.19999999999999</v>
      </c>
      <c r="U867">
        <v>15.12</v>
      </c>
    </row>
    <row r="868" spans="1:21" x14ac:dyDescent="0.25">
      <c r="A868" t="s">
        <v>457</v>
      </c>
      <c r="B868" s="4" t="s">
        <v>230</v>
      </c>
      <c r="C868" s="1">
        <v>1</v>
      </c>
      <c r="D868">
        <v>120</v>
      </c>
      <c r="E868">
        <v>3</v>
      </c>
      <c r="F868" t="s">
        <v>20</v>
      </c>
      <c r="G868">
        <v>100</v>
      </c>
      <c r="H868">
        <f t="shared" ref="H868:I868" si="3453">H866</f>
        <v>100.66666666666667</v>
      </c>
      <c r="I868">
        <f t="shared" si="3453"/>
        <v>0.94280904158206336</v>
      </c>
      <c r="J868">
        <v>12</v>
      </c>
      <c r="K868">
        <f t="shared" ref="K868:L868" si="3454">K866</f>
        <v>12</v>
      </c>
      <c r="L868">
        <f t="shared" si="3454"/>
        <v>0</v>
      </c>
      <c r="M868">
        <v>90</v>
      </c>
      <c r="N868">
        <f t="shared" ref="N868:O868" si="3455">N866</f>
        <v>90.666666666666671</v>
      </c>
      <c r="O868">
        <f t="shared" si="3455"/>
        <v>0.94280904158206336</v>
      </c>
      <c r="P868">
        <v>155</v>
      </c>
      <c r="Q868">
        <v>0.5</v>
      </c>
      <c r="R868">
        <v>77.5</v>
      </c>
      <c r="S868">
        <v>0.4</v>
      </c>
      <c r="T868">
        <v>62</v>
      </c>
      <c r="U868">
        <v>16.75</v>
      </c>
    </row>
    <row r="869" spans="1:21" x14ac:dyDescent="0.25">
      <c r="A869" t="s">
        <v>458</v>
      </c>
      <c r="B869" s="4" t="s">
        <v>230</v>
      </c>
      <c r="C869" s="1">
        <v>1</v>
      </c>
      <c r="D869">
        <v>120</v>
      </c>
      <c r="E869">
        <v>1</v>
      </c>
      <c r="F869">
        <v>106</v>
      </c>
      <c r="G869">
        <v>103</v>
      </c>
      <c r="H869">
        <f t="shared" ref="H869" si="3456">AVERAGE(G869:G871)</f>
        <v>103</v>
      </c>
      <c r="I869">
        <f t="shared" ref="I869" si="3457">_xlfn.STDEV.P(G869:G871)</f>
        <v>0</v>
      </c>
      <c r="J869">
        <v>32</v>
      </c>
      <c r="K869">
        <f t="shared" ref="K869" si="3458">AVERAGE(J869:J871)</f>
        <v>28.666666666666668</v>
      </c>
      <c r="L869">
        <f>_xlfn.STDEV.P(J869:J871)</f>
        <v>3.39934634239519</v>
      </c>
      <c r="M869">
        <v>95</v>
      </c>
      <c r="N869">
        <f t="shared" ref="N869" si="3459">AVERAGE(M869:M871)</f>
        <v>94.666666666666671</v>
      </c>
      <c r="O869">
        <f t="shared" ref="O869" si="3460">_xlfn.STDEV.P(M869:M871)</f>
        <v>2.0548046676563256</v>
      </c>
      <c r="P869">
        <v>155</v>
      </c>
      <c r="Q869">
        <v>0.61</v>
      </c>
      <c r="R869">
        <v>94.55</v>
      </c>
      <c r="S869">
        <v>0.67</v>
      </c>
      <c r="T869">
        <v>103.85000000000001</v>
      </c>
      <c r="U869">
        <v>16.04</v>
      </c>
    </row>
    <row r="870" spans="1:21" x14ac:dyDescent="0.25">
      <c r="A870" t="s">
        <v>458</v>
      </c>
      <c r="B870" s="4" t="s">
        <v>230</v>
      </c>
      <c r="C870" s="1">
        <v>1</v>
      </c>
      <c r="D870">
        <v>120</v>
      </c>
      <c r="E870">
        <v>2</v>
      </c>
      <c r="F870">
        <v>42</v>
      </c>
      <c r="G870">
        <v>103</v>
      </c>
      <c r="H870">
        <f t="shared" ref="H870:I870" si="3461">H869</f>
        <v>103</v>
      </c>
      <c r="I870">
        <f t="shared" si="3461"/>
        <v>0</v>
      </c>
      <c r="J870">
        <v>24</v>
      </c>
      <c r="K870">
        <f t="shared" ref="K870:L870" si="3462">K869</f>
        <v>28.666666666666668</v>
      </c>
      <c r="L870">
        <f t="shared" si="3462"/>
        <v>3.39934634239519</v>
      </c>
      <c r="M870">
        <v>92</v>
      </c>
      <c r="N870">
        <f t="shared" ref="N870:O870" si="3463">N869</f>
        <v>94.666666666666671</v>
      </c>
      <c r="O870">
        <f t="shared" si="3463"/>
        <v>2.0548046676563256</v>
      </c>
      <c r="P870">
        <v>155</v>
      </c>
      <c r="Q870">
        <v>0.57999999999999996</v>
      </c>
      <c r="R870">
        <v>89.899999999999991</v>
      </c>
      <c r="S870">
        <v>0.68</v>
      </c>
      <c r="T870">
        <v>105.4</v>
      </c>
      <c r="U870">
        <v>17.079999999999998</v>
      </c>
    </row>
    <row r="871" spans="1:21" x14ac:dyDescent="0.25">
      <c r="A871" t="s">
        <v>458</v>
      </c>
      <c r="B871" s="4" t="s">
        <v>230</v>
      </c>
      <c r="C871" s="1">
        <v>1</v>
      </c>
      <c r="D871">
        <v>120</v>
      </c>
      <c r="E871">
        <v>3</v>
      </c>
      <c r="F871" t="s">
        <v>20</v>
      </c>
      <c r="G871">
        <v>103</v>
      </c>
      <c r="H871">
        <f t="shared" ref="H871:I871" si="3464">H869</f>
        <v>103</v>
      </c>
      <c r="I871">
        <f t="shared" si="3464"/>
        <v>0</v>
      </c>
      <c r="J871">
        <v>30</v>
      </c>
      <c r="K871">
        <f t="shared" ref="K871:L871" si="3465">K869</f>
        <v>28.666666666666668</v>
      </c>
      <c r="L871">
        <f t="shared" si="3465"/>
        <v>3.39934634239519</v>
      </c>
      <c r="M871">
        <v>97</v>
      </c>
      <c r="N871">
        <f t="shared" ref="N871:O871" si="3466">N869</f>
        <v>94.666666666666671</v>
      </c>
      <c r="O871">
        <f t="shared" si="3466"/>
        <v>2.0548046676563256</v>
      </c>
      <c r="P871">
        <v>155</v>
      </c>
      <c r="Q871">
        <v>0.56999999999999995</v>
      </c>
      <c r="R871">
        <v>88.35</v>
      </c>
      <c r="S871">
        <v>0.64</v>
      </c>
      <c r="T871">
        <v>99.2</v>
      </c>
      <c r="U871">
        <v>16.38</v>
      </c>
    </row>
    <row r="872" spans="1:21" x14ac:dyDescent="0.25">
      <c r="A872" t="s">
        <v>459</v>
      </c>
      <c r="B872" s="4" t="s">
        <v>245</v>
      </c>
      <c r="C872" s="1">
        <v>5</v>
      </c>
      <c r="D872">
        <v>120</v>
      </c>
      <c r="E872">
        <v>1</v>
      </c>
      <c r="F872">
        <v>40</v>
      </c>
      <c r="G872">
        <v>114</v>
      </c>
      <c r="H872">
        <f t="shared" ref="H872" si="3467">AVERAGE(G872:G874)</f>
        <v>118.33333333333333</v>
      </c>
      <c r="I872">
        <f t="shared" ref="I872" si="3468">_xlfn.STDEV.P(G872:G874)</f>
        <v>3.0912061651652345</v>
      </c>
      <c r="J872">
        <v>0</v>
      </c>
      <c r="K872">
        <f t="shared" ref="K872" si="3469">AVERAGE(J872:J874)</f>
        <v>1</v>
      </c>
      <c r="L872">
        <f t="shared" ref="L872" si="3470">_xlfn.STDEV.P(J872:J874)</f>
        <v>0.81649658092772603</v>
      </c>
      <c r="M872">
        <v>108</v>
      </c>
      <c r="N872">
        <f t="shared" ref="N872" si="3471">AVERAGE(M872:M874)</f>
        <v>111.66666666666667</v>
      </c>
      <c r="O872">
        <f t="shared" ref="O872" si="3472">_xlfn.STDEV.P(M872:M874)</f>
        <v>7.4087035902976233</v>
      </c>
      <c r="P872">
        <v>166</v>
      </c>
      <c r="Q872">
        <v>0.68</v>
      </c>
      <c r="R872">
        <v>112.88000000000001</v>
      </c>
      <c r="S872">
        <v>0.73</v>
      </c>
      <c r="T872">
        <v>121.17999999999999</v>
      </c>
      <c r="U872">
        <v>17.71</v>
      </c>
    </row>
    <row r="873" spans="1:21" x14ac:dyDescent="0.25">
      <c r="A873" t="s">
        <v>459</v>
      </c>
      <c r="B873" s="4" t="s">
        <v>245</v>
      </c>
      <c r="C873" s="1">
        <v>5</v>
      </c>
      <c r="D873">
        <v>120</v>
      </c>
      <c r="E873">
        <v>2</v>
      </c>
      <c r="F873" t="s">
        <v>20</v>
      </c>
      <c r="G873">
        <v>120</v>
      </c>
      <c r="H873">
        <f t="shared" ref="H873:I873" si="3473">H872</f>
        <v>118.33333333333333</v>
      </c>
      <c r="I873">
        <f t="shared" si="3473"/>
        <v>3.0912061651652345</v>
      </c>
      <c r="J873">
        <v>2</v>
      </c>
      <c r="K873">
        <f t="shared" ref="K873:L873" si="3474">K872</f>
        <v>1</v>
      </c>
      <c r="L873">
        <f t="shared" si="3474"/>
        <v>0.81649658092772603</v>
      </c>
      <c r="M873">
        <v>105</v>
      </c>
      <c r="N873">
        <f t="shared" ref="N873:O873" si="3475">N872</f>
        <v>111.66666666666667</v>
      </c>
      <c r="O873">
        <f t="shared" si="3475"/>
        <v>7.4087035902976233</v>
      </c>
      <c r="P873">
        <v>186</v>
      </c>
      <c r="Q873">
        <v>0.61</v>
      </c>
      <c r="R873">
        <v>113.46</v>
      </c>
      <c r="S873">
        <v>0.73</v>
      </c>
      <c r="T873">
        <v>135.78</v>
      </c>
      <c r="U873">
        <v>20.58</v>
      </c>
    </row>
    <row r="874" spans="1:21" x14ac:dyDescent="0.25">
      <c r="A874" t="s">
        <v>459</v>
      </c>
      <c r="B874" s="4" t="s">
        <v>245</v>
      </c>
      <c r="C874" s="1">
        <v>5</v>
      </c>
      <c r="D874">
        <v>120</v>
      </c>
      <c r="E874">
        <v>3</v>
      </c>
      <c r="F874" t="s">
        <v>20</v>
      </c>
      <c r="G874">
        <v>121</v>
      </c>
      <c r="H874">
        <f t="shared" ref="H874:I874" si="3476">H872</f>
        <v>118.33333333333333</v>
      </c>
      <c r="I874">
        <f t="shared" si="3476"/>
        <v>3.0912061651652345</v>
      </c>
      <c r="J874">
        <v>1</v>
      </c>
      <c r="K874">
        <f t="shared" ref="K874:L874" si="3477">K872</f>
        <v>1</v>
      </c>
      <c r="L874">
        <f t="shared" si="3477"/>
        <v>0.81649658092772603</v>
      </c>
      <c r="M874">
        <v>122</v>
      </c>
      <c r="N874">
        <f t="shared" ref="N874:O874" si="3478">N872</f>
        <v>111.66666666666667</v>
      </c>
      <c r="O874">
        <f t="shared" si="3478"/>
        <v>7.4087035902976233</v>
      </c>
      <c r="P874">
        <v>177</v>
      </c>
      <c r="Q874">
        <v>0.6</v>
      </c>
      <c r="R874">
        <v>106.2</v>
      </c>
      <c r="S874">
        <v>0.5</v>
      </c>
      <c r="T874">
        <v>88.5</v>
      </c>
      <c r="U874">
        <v>0</v>
      </c>
    </row>
    <row r="875" spans="1:21" x14ac:dyDescent="0.25">
      <c r="A875" t="s">
        <v>460</v>
      </c>
      <c r="B875" s="4" t="s">
        <v>247</v>
      </c>
      <c r="C875" s="1">
        <v>2</v>
      </c>
      <c r="D875">
        <v>120</v>
      </c>
      <c r="E875">
        <v>1</v>
      </c>
      <c r="F875" t="s">
        <v>20</v>
      </c>
      <c r="G875">
        <v>113</v>
      </c>
      <c r="H875">
        <f t="shared" ref="H875" si="3479">AVERAGE(G875:G877)</f>
        <v>109.33333333333333</v>
      </c>
      <c r="I875">
        <f t="shared" ref="I875" si="3480">_xlfn.STDEV.P(G875:G877)</f>
        <v>2.8674417556808756</v>
      </c>
      <c r="J875">
        <v>0</v>
      </c>
      <c r="K875">
        <f t="shared" ref="K875" si="3481">AVERAGE(J875:J877)</f>
        <v>0.66666666666666663</v>
      </c>
      <c r="L875">
        <f t="shared" ref="L875" si="3482">_xlfn.STDEV.P(J875:J877)</f>
        <v>0.47140452079103168</v>
      </c>
      <c r="M875">
        <v>125</v>
      </c>
      <c r="N875">
        <f t="shared" ref="N875" si="3483">AVERAGE(M875:M877)</f>
        <v>137.66666666666666</v>
      </c>
      <c r="O875">
        <f t="shared" ref="O875" si="3484">_xlfn.STDEV.P(M875:M877)</f>
        <v>10.208928554075703</v>
      </c>
      <c r="P875">
        <v>166</v>
      </c>
      <c r="Q875">
        <v>0.66</v>
      </c>
      <c r="R875">
        <v>109.56</v>
      </c>
      <c r="S875">
        <v>0.75</v>
      </c>
      <c r="T875">
        <v>124.5</v>
      </c>
      <c r="U875">
        <v>20.93</v>
      </c>
    </row>
    <row r="876" spans="1:21" x14ac:dyDescent="0.25">
      <c r="A876" t="s">
        <v>460</v>
      </c>
      <c r="B876" s="4" t="s">
        <v>247</v>
      </c>
      <c r="C876" s="1">
        <v>2</v>
      </c>
      <c r="D876">
        <v>120</v>
      </c>
      <c r="E876">
        <v>2</v>
      </c>
      <c r="F876" t="s">
        <v>20</v>
      </c>
      <c r="G876">
        <v>109</v>
      </c>
      <c r="H876">
        <f t="shared" ref="H876:I876" si="3485">H875</f>
        <v>109.33333333333333</v>
      </c>
      <c r="I876">
        <f t="shared" si="3485"/>
        <v>2.8674417556808756</v>
      </c>
      <c r="J876">
        <v>1</v>
      </c>
      <c r="K876">
        <f t="shared" ref="K876:L876" si="3486">K875</f>
        <v>0.66666666666666663</v>
      </c>
      <c r="L876">
        <f t="shared" si="3486"/>
        <v>0.47140452079103168</v>
      </c>
      <c r="M876">
        <v>138</v>
      </c>
      <c r="N876">
        <f t="shared" ref="N876:O876" si="3487">N875</f>
        <v>137.66666666666666</v>
      </c>
      <c r="O876">
        <f t="shared" si="3487"/>
        <v>10.208928554075703</v>
      </c>
      <c r="P876">
        <v>162</v>
      </c>
      <c r="Q876">
        <v>0.6</v>
      </c>
      <c r="R876">
        <v>97.2</v>
      </c>
      <c r="S876">
        <v>0.65</v>
      </c>
      <c r="T876">
        <v>105.3</v>
      </c>
      <c r="U876">
        <v>20.77</v>
      </c>
    </row>
    <row r="877" spans="1:21" x14ac:dyDescent="0.25">
      <c r="A877" t="s">
        <v>460</v>
      </c>
      <c r="B877" s="4" t="s">
        <v>247</v>
      </c>
      <c r="C877" s="1">
        <v>2</v>
      </c>
      <c r="D877">
        <v>120</v>
      </c>
      <c r="E877">
        <v>3</v>
      </c>
      <c r="F877" t="s">
        <v>20</v>
      </c>
      <c r="G877">
        <v>106</v>
      </c>
      <c r="H877">
        <f t="shared" ref="H877:I877" si="3488">H875</f>
        <v>109.33333333333333</v>
      </c>
      <c r="I877">
        <f t="shared" si="3488"/>
        <v>2.8674417556808756</v>
      </c>
      <c r="J877">
        <v>1</v>
      </c>
      <c r="K877">
        <f t="shared" ref="K877:L877" si="3489">K875</f>
        <v>0.66666666666666663</v>
      </c>
      <c r="L877">
        <f t="shared" si="3489"/>
        <v>0.47140452079103168</v>
      </c>
      <c r="M877">
        <v>150</v>
      </c>
      <c r="N877">
        <f t="shared" ref="N877:O877" si="3490">N875</f>
        <v>137.66666666666666</v>
      </c>
      <c r="O877">
        <f t="shared" si="3490"/>
        <v>10.208928554075703</v>
      </c>
      <c r="P877">
        <v>160</v>
      </c>
      <c r="Q877">
        <v>0.61</v>
      </c>
      <c r="R877">
        <v>97.6</v>
      </c>
      <c r="S877">
        <v>0.7</v>
      </c>
      <c r="T877">
        <v>112</v>
      </c>
      <c r="U877">
        <v>24.03</v>
      </c>
    </row>
    <row r="878" spans="1:21" x14ac:dyDescent="0.25">
      <c r="A878" t="s">
        <v>461</v>
      </c>
      <c r="B878" s="4" t="s">
        <v>219</v>
      </c>
      <c r="C878" s="1">
        <v>2</v>
      </c>
      <c r="D878">
        <v>120</v>
      </c>
      <c r="E878">
        <v>1</v>
      </c>
      <c r="F878">
        <v>50</v>
      </c>
      <c r="G878">
        <v>76</v>
      </c>
      <c r="H878">
        <f t="shared" ref="H878" si="3491">AVERAGE(G878:G880)</f>
        <v>75.666666666666671</v>
      </c>
      <c r="I878">
        <f t="shared" ref="I878" si="3492">_xlfn.STDEV.P(G878:G880)</f>
        <v>2.0548046676563256</v>
      </c>
      <c r="J878">
        <v>8</v>
      </c>
      <c r="K878">
        <f t="shared" ref="K878" si="3493">AVERAGE(J878:J880)</f>
        <v>9.3333333333333339</v>
      </c>
      <c r="L878">
        <f t="shared" ref="L878" si="3494">_xlfn.STDEV.P(J878:J880)</f>
        <v>1.8856180831641267</v>
      </c>
      <c r="M878">
        <v>78</v>
      </c>
      <c r="N878">
        <f t="shared" ref="N878" si="3495">AVERAGE(M878:M880)</f>
        <v>86</v>
      </c>
      <c r="O878">
        <f t="shared" ref="O878" si="3496">_xlfn.STDEV.P(M878:M880)</f>
        <v>5.715476066494082</v>
      </c>
      <c r="P878">
        <v>124</v>
      </c>
      <c r="Q878">
        <v>0.6</v>
      </c>
      <c r="R878" t="s">
        <v>20</v>
      </c>
      <c r="S878">
        <v>0.79</v>
      </c>
      <c r="T878" t="s">
        <v>20</v>
      </c>
      <c r="U878">
        <v>11.87</v>
      </c>
    </row>
    <row r="879" spans="1:21" x14ac:dyDescent="0.25">
      <c r="A879" t="s">
        <v>461</v>
      </c>
      <c r="B879" s="4" t="s">
        <v>219</v>
      </c>
      <c r="C879" s="1">
        <v>2</v>
      </c>
      <c r="D879">
        <v>120</v>
      </c>
      <c r="E879">
        <v>2</v>
      </c>
      <c r="F879">
        <v>36</v>
      </c>
      <c r="G879">
        <v>73</v>
      </c>
      <c r="H879">
        <f t="shared" ref="H879:I879" si="3497">H878</f>
        <v>75.666666666666671</v>
      </c>
      <c r="I879">
        <f t="shared" si="3497"/>
        <v>2.0548046676563256</v>
      </c>
      <c r="J879">
        <v>12</v>
      </c>
      <c r="K879">
        <f t="shared" ref="K879:L879" si="3498">K878</f>
        <v>9.3333333333333339</v>
      </c>
      <c r="L879">
        <f t="shared" si="3498"/>
        <v>1.8856180831641267</v>
      </c>
      <c r="M879">
        <v>91</v>
      </c>
      <c r="N879">
        <f t="shared" ref="N879:O879" si="3499">N878</f>
        <v>86</v>
      </c>
      <c r="O879">
        <f t="shared" si="3499"/>
        <v>5.715476066494082</v>
      </c>
      <c r="Q879">
        <v>0.62</v>
      </c>
      <c r="R879" t="s">
        <v>20</v>
      </c>
      <c r="S879">
        <v>0.79</v>
      </c>
      <c r="T879" t="s">
        <v>20</v>
      </c>
      <c r="U879">
        <v>13.65</v>
      </c>
    </row>
    <row r="880" spans="1:21" x14ac:dyDescent="0.25">
      <c r="A880" t="s">
        <v>461</v>
      </c>
      <c r="B880" s="4" t="s">
        <v>219</v>
      </c>
      <c r="C880" s="1">
        <v>2</v>
      </c>
      <c r="D880">
        <v>120</v>
      </c>
      <c r="E880">
        <v>3</v>
      </c>
      <c r="F880" t="s">
        <v>20</v>
      </c>
      <c r="G880">
        <v>78</v>
      </c>
      <c r="H880">
        <f t="shared" ref="H880:I880" si="3500">H878</f>
        <v>75.666666666666671</v>
      </c>
      <c r="I880">
        <f t="shared" si="3500"/>
        <v>2.0548046676563256</v>
      </c>
      <c r="J880">
        <v>8</v>
      </c>
      <c r="K880">
        <f t="shared" ref="K880:L880" si="3501">K878</f>
        <v>9.3333333333333339</v>
      </c>
      <c r="L880">
        <f t="shared" si="3501"/>
        <v>1.8856180831641267</v>
      </c>
      <c r="M880">
        <v>89</v>
      </c>
      <c r="N880">
        <f t="shared" ref="N880:O880" si="3502">N878</f>
        <v>86</v>
      </c>
      <c r="O880">
        <f t="shared" si="3502"/>
        <v>5.715476066494082</v>
      </c>
      <c r="P880">
        <v>124</v>
      </c>
      <c r="Q880">
        <v>0.72</v>
      </c>
      <c r="R880" t="s">
        <v>20</v>
      </c>
      <c r="S880">
        <v>0.78</v>
      </c>
      <c r="T880" t="s">
        <v>20</v>
      </c>
      <c r="U880">
        <v>12.71</v>
      </c>
    </row>
    <row r="881" spans="1:21" x14ac:dyDescent="0.25">
      <c r="A881" t="s">
        <v>462</v>
      </c>
      <c r="B881" s="4" t="s">
        <v>245</v>
      </c>
      <c r="C881" s="1">
        <v>2</v>
      </c>
      <c r="D881">
        <v>120</v>
      </c>
      <c r="E881">
        <v>1</v>
      </c>
      <c r="F881">
        <v>40</v>
      </c>
      <c r="G881">
        <v>84</v>
      </c>
      <c r="H881">
        <f t="shared" ref="H881" si="3503">AVERAGE(G881:G883)</f>
        <v>85.333333333333329</v>
      </c>
      <c r="I881">
        <f t="shared" ref="I881" si="3504">_xlfn.STDEV.P(G881:G883)</f>
        <v>1.247219128924647</v>
      </c>
      <c r="J881">
        <v>5</v>
      </c>
      <c r="K881">
        <f t="shared" ref="K881" si="3505">AVERAGE(J881:J883)</f>
        <v>7.666666666666667</v>
      </c>
      <c r="L881">
        <f t="shared" ref="L881" si="3506">_xlfn.STDEV.P(J881:J883)</f>
        <v>2.4944382578492941</v>
      </c>
      <c r="M881">
        <v>95</v>
      </c>
      <c r="N881">
        <f t="shared" ref="N881" si="3507">AVERAGE(M881:M883)</f>
        <v>94.666666666666671</v>
      </c>
      <c r="O881">
        <f t="shared" ref="O881" si="3508">_xlfn.STDEV.P(M881:M883)</f>
        <v>3.6817870057290869</v>
      </c>
      <c r="P881">
        <v>132</v>
      </c>
      <c r="Q881">
        <v>0.67</v>
      </c>
      <c r="R881">
        <v>88.440000000000012</v>
      </c>
      <c r="S881">
        <v>0.59</v>
      </c>
      <c r="T881">
        <v>77.88</v>
      </c>
      <c r="U881">
        <v>12.44</v>
      </c>
    </row>
    <row r="882" spans="1:21" x14ac:dyDescent="0.25">
      <c r="A882" t="s">
        <v>462</v>
      </c>
      <c r="B882" s="4" t="s">
        <v>245</v>
      </c>
      <c r="C882" s="1">
        <v>2</v>
      </c>
      <c r="D882">
        <v>120</v>
      </c>
      <c r="E882">
        <v>2</v>
      </c>
      <c r="F882">
        <v>36</v>
      </c>
      <c r="G882">
        <v>87</v>
      </c>
      <c r="H882">
        <f t="shared" ref="H882:I882" si="3509">H881</f>
        <v>85.333333333333329</v>
      </c>
      <c r="I882">
        <f t="shared" si="3509"/>
        <v>1.247219128924647</v>
      </c>
      <c r="J882">
        <v>7</v>
      </c>
      <c r="K882">
        <f t="shared" ref="K882:L882" si="3510">K881</f>
        <v>7.666666666666667</v>
      </c>
      <c r="L882">
        <f t="shared" si="3510"/>
        <v>2.4944382578492941</v>
      </c>
      <c r="M882">
        <v>99</v>
      </c>
      <c r="N882">
        <f t="shared" ref="N882:O882" si="3511">N881</f>
        <v>94.666666666666671</v>
      </c>
      <c r="O882">
        <f t="shared" si="3511"/>
        <v>3.6817870057290869</v>
      </c>
      <c r="P882">
        <v>131</v>
      </c>
      <c r="Q882">
        <v>0.65</v>
      </c>
      <c r="R882">
        <v>85.15</v>
      </c>
      <c r="S882">
        <v>0.68</v>
      </c>
      <c r="T882">
        <v>89.080000000000013</v>
      </c>
      <c r="U882">
        <v>12.88</v>
      </c>
    </row>
    <row r="883" spans="1:21" x14ac:dyDescent="0.25">
      <c r="A883" t="s">
        <v>462</v>
      </c>
      <c r="B883" s="4" t="s">
        <v>245</v>
      </c>
      <c r="C883" s="1">
        <v>2</v>
      </c>
      <c r="D883">
        <v>120</v>
      </c>
      <c r="E883">
        <v>3</v>
      </c>
      <c r="F883">
        <v>56</v>
      </c>
      <c r="G883">
        <v>85</v>
      </c>
      <c r="H883">
        <f t="shared" ref="H883:I883" si="3512">H881</f>
        <v>85.333333333333329</v>
      </c>
      <c r="I883">
        <f t="shared" si="3512"/>
        <v>1.247219128924647</v>
      </c>
      <c r="J883">
        <v>11</v>
      </c>
      <c r="K883">
        <f t="shared" ref="K883:L883" si="3513">K881</f>
        <v>7.666666666666667</v>
      </c>
      <c r="L883">
        <f t="shared" si="3513"/>
        <v>2.4944382578492941</v>
      </c>
      <c r="M883">
        <v>90</v>
      </c>
      <c r="N883">
        <f t="shared" ref="N883:O883" si="3514">N881</f>
        <v>94.666666666666671</v>
      </c>
      <c r="O883">
        <f t="shared" si="3514"/>
        <v>3.6817870057290869</v>
      </c>
      <c r="P883">
        <v>131</v>
      </c>
      <c r="Q883">
        <v>0.68</v>
      </c>
      <c r="R883">
        <v>89.080000000000013</v>
      </c>
      <c r="S883">
        <v>0.71</v>
      </c>
      <c r="T883">
        <v>93.009999999999991</v>
      </c>
      <c r="U883">
        <v>12.88</v>
      </c>
    </row>
    <row r="884" spans="1:21" x14ac:dyDescent="0.25">
      <c r="A884" t="s">
        <v>463</v>
      </c>
      <c r="B884" s="4" t="s">
        <v>172</v>
      </c>
      <c r="C884" s="1">
        <v>4</v>
      </c>
      <c r="D884">
        <v>120</v>
      </c>
      <c r="E884">
        <v>1</v>
      </c>
      <c r="F884" t="s">
        <v>20</v>
      </c>
      <c r="G884">
        <v>110</v>
      </c>
      <c r="H884">
        <f t="shared" ref="H884" si="3515">AVERAGE(G884:G886)</f>
        <v>106.66666666666667</v>
      </c>
      <c r="I884">
        <f t="shared" ref="I884" si="3516">_xlfn.STDEV.P(G884:G886)</f>
        <v>2.4944382578492941</v>
      </c>
      <c r="J884">
        <v>7</v>
      </c>
      <c r="K884">
        <f t="shared" ref="K884" si="3517">AVERAGE(J884:J886)</f>
        <v>4.666666666666667</v>
      </c>
      <c r="L884">
        <f t="shared" ref="L884" si="3518">_xlfn.STDEV.P(J884:J886)</f>
        <v>1.699673171197595</v>
      </c>
      <c r="M884">
        <v>115</v>
      </c>
      <c r="N884">
        <f t="shared" ref="N884" si="3519">AVERAGE(M884:M886)</f>
        <v>110.66666666666667</v>
      </c>
      <c r="O884">
        <f t="shared" ref="O884" si="3520">_xlfn.STDEV.P(M884:M886)</f>
        <v>6.1282587702834128</v>
      </c>
      <c r="P884">
        <v>162</v>
      </c>
      <c r="Q884">
        <v>0.73</v>
      </c>
      <c r="R884">
        <v>118.25999999999999</v>
      </c>
      <c r="S884">
        <v>0.48</v>
      </c>
      <c r="T884">
        <v>77.759999999999991</v>
      </c>
      <c r="U884">
        <v>15.09</v>
      </c>
    </row>
    <row r="885" spans="1:21" x14ac:dyDescent="0.25">
      <c r="A885" t="s">
        <v>463</v>
      </c>
      <c r="B885" s="4" t="s">
        <v>172</v>
      </c>
      <c r="C885" s="1">
        <v>4</v>
      </c>
      <c r="D885">
        <v>120</v>
      </c>
      <c r="E885">
        <v>2</v>
      </c>
      <c r="F885" t="s">
        <v>20</v>
      </c>
      <c r="G885">
        <v>104</v>
      </c>
      <c r="H885">
        <f t="shared" ref="H885:I885" si="3521">H884</f>
        <v>106.66666666666667</v>
      </c>
      <c r="I885">
        <f t="shared" si="3521"/>
        <v>2.4944382578492941</v>
      </c>
      <c r="J885">
        <v>3</v>
      </c>
      <c r="K885">
        <f t="shared" ref="K885:L885" si="3522">K884</f>
        <v>4.666666666666667</v>
      </c>
      <c r="L885">
        <f t="shared" si="3522"/>
        <v>1.699673171197595</v>
      </c>
      <c r="M885">
        <v>102</v>
      </c>
      <c r="N885">
        <f t="shared" ref="N885:O885" si="3523">N884</f>
        <v>110.66666666666667</v>
      </c>
      <c r="O885">
        <f t="shared" si="3523"/>
        <v>6.1282587702834128</v>
      </c>
      <c r="P885">
        <v>159</v>
      </c>
      <c r="Q885">
        <v>0.64</v>
      </c>
      <c r="R885">
        <v>101.76</v>
      </c>
      <c r="S885">
        <v>0.63</v>
      </c>
      <c r="T885">
        <v>100.17</v>
      </c>
      <c r="U885">
        <v>15.36</v>
      </c>
    </row>
    <row r="886" spans="1:21" x14ac:dyDescent="0.25">
      <c r="A886" t="s">
        <v>463</v>
      </c>
      <c r="B886" s="4" t="s">
        <v>172</v>
      </c>
      <c r="C886" s="1">
        <v>4</v>
      </c>
      <c r="D886">
        <v>120</v>
      </c>
      <c r="E886">
        <v>3</v>
      </c>
      <c r="F886" t="s">
        <v>20</v>
      </c>
      <c r="G886">
        <v>106</v>
      </c>
      <c r="H886">
        <f t="shared" ref="H886:I886" si="3524">H884</f>
        <v>106.66666666666667</v>
      </c>
      <c r="I886">
        <f t="shared" si="3524"/>
        <v>2.4944382578492941</v>
      </c>
      <c r="J886">
        <v>4</v>
      </c>
      <c r="K886">
        <f t="shared" ref="K886:L886" si="3525">K884</f>
        <v>4.666666666666667</v>
      </c>
      <c r="L886">
        <f t="shared" si="3525"/>
        <v>1.699673171197595</v>
      </c>
      <c r="M886">
        <v>115</v>
      </c>
      <c r="N886">
        <f t="shared" ref="N886:O886" si="3526">N884</f>
        <v>110.66666666666667</v>
      </c>
      <c r="O886">
        <f t="shared" si="3526"/>
        <v>6.1282587702834128</v>
      </c>
      <c r="P886">
        <v>160</v>
      </c>
      <c r="Q886">
        <v>0.73</v>
      </c>
      <c r="R886">
        <v>116.8</v>
      </c>
      <c r="S886">
        <v>0.66</v>
      </c>
      <c r="T886">
        <v>105.60000000000001</v>
      </c>
      <c r="U886">
        <v>16.260000000000002</v>
      </c>
    </row>
    <row r="887" spans="1:21" x14ac:dyDescent="0.25">
      <c r="A887" t="s">
        <v>464</v>
      </c>
      <c r="B887" s="4" t="s">
        <v>14</v>
      </c>
      <c r="C887" s="1">
        <v>1</v>
      </c>
      <c r="D887">
        <v>120</v>
      </c>
      <c r="E887">
        <v>1</v>
      </c>
      <c r="F887">
        <v>38</v>
      </c>
      <c r="G887">
        <v>113</v>
      </c>
      <c r="H887">
        <f t="shared" ref="H887" si="3527">AVERAGE(G887:G889)</f>
        <v>115.33333333333333</v>
      </c>
      <c r="I887">
        <f t="shared" ref="I887" si="3528">_xlfn.STDEV.P(G887:G889)</f>
        <v>1.699673171197595</v>
      </c>
      <c r="J887">
        <v>3</v>
      </c>
      <c r="K887">
        <f t="shared" ref="K887" si="3529">AVERAGE(J887:J889)</f>
        <v>3.3333333333333335</v>
      </c>
      <c r="L887">
        <f t="shared" ref="L887" si="3530">_xlfn.STDEV.P(J887:J889)</f>
        <v>0.47140452079103168</v>
      </c>
      <c r="M887">
        <v>122</v>
      </c>
      <c r="N887">
        <f t="shared" ref="N887" si="3531">AVERAGE(M887:M889)</f>
        <v>121.33333333333333</v>
      </c>
      <c r="O887">
        <f t="shared" ref="O887" si="3532">_xlfn.STDEV.P(M887:M889)</f>
        <v>1.699673171197595</v>
      </c>
      <c r="P887">
        <v>177</v>
      </c>
      <c r="Q887">
        <v>0.66</v>
      </c>
      <c r="R887">
        <v>116.82000000000001</v>
      </c>
      <c r="S887">
        <v>0.68</v>
      </c>
      <c r="T887">
        <v>120.36000000000001</v>
      </c>
      <c r="U887">
        <v>20.23</v>
      </c>
    </row>
    <row r="888" spans="1:21" x14ac:dyDescent="0.25">
      <c r="A888" t="s">
        <v>464</v>
      </c>
      <c r="B888" s="4" t="s">
        <v>14</v>
      </c>
      <c r="C888" s="1">
        <v>1</v>
      </c>
      <c r="D888">
        <v>120</v>
      </c>
      <c r="E888">
        <v>2</v>
      </c>
      <c r="F888">
        <v>62</v>
      </c>
      <c r="G888">
        <v>116</v>
      </c>
      <c r="H888">
        <f t="shared" ref="H888:I888" si="3533">H887</f>
        <v>115.33333333333333</v>
      </c>
      <c r="I888">
        <f t="shared" si="3533"/>
        <v>1.699673171197595</v>
      </c>
      <c r="J888">
        <v>3</v>
      </c>
      <c r="K888">
        <f t="shared" ref="K888:L888" si="3534">K887</f>
        <v>3.3333333333333335</v>
      </c>
      <c r="L888">
        <f t="shared" si="3534"/>
        <v>0.47140452079103168</v>
      </c>
      <c r="M888">
        <v>119</v>
      </c>
      <c r="N888">
        <f t="shared" ref="N888:O888" si="3535">N887</f>
        <v>121.33333333333333</v>
      </c>
      <c r="O888">
        <f t="shared" si="3535"/>
        <v>1.699673171197595</v>
      </c>
      <c r="P888">
        <v>162</v>
      </c>
      <c r="Q888">
        <v>0.57999999999999996</v>
      </c>
      <c r="R888">
        <v>93.96</v>
      </c>
      <c r="S888">
        <v>0.69</v>
      </c>
      <c r="T888">
        <v>111.77999999999999</v>
      </c>
      <c r="U888">
        <v>20.73</v>
      </c>
    </row>
    <row r="889" spans="1:21" x14ac:dyDescent="0.25">
      <c r="A889" t="s">
        <v>464</v>
      </c>
      <c r="B889" s="4" t="s">
        <v>14</v>
      </c>
      <c r="C889" s="1">
        <v>1</v>
      </c>
      <c r="D889">
        <v>120</v>
      </c>
      <c r="E889">
        <v>3</v>
      </c>
      <c r="F889" t="s">
        <v>20</v>
      </c>
      <c r="G889">
        <v>117</v>
      </c>
      <c r="H889">
        <f t="shared" ref="H889:I889" si="3536">H887</f>
        <v>115.33333333333333</v>
      </c>
      <c r="I889">
        <f t="shared" si="3536"/>
        <v>1.699673171197595</v>
      </c>
      <c r="J889">
        <v>4</v>
      </c>
      <c r="K889">
        <f t="shared" ref="K889:L889" si="3537">K887</f>
        <v>3.3333333333333335</v>
      </c>
      <c r="L889">
        <f t="shared" si="3537"/>
        <v>0.47140452079103168</v>
      </c>
      <c r="M889">
        <v>123</v>
      </c>
      <c r="N889">
        <f t="shared" ref="N889:O889" si="3538">N887</f>
        <v>121.33333333333333</v>
      </c>
      <c r="O889">
        <f t="shared" si="3538"/>
        <v>1.699673171197595</v>
      </c>
      <c r="P889">
        <v>177</v>
      </c>
      <c r="Q889">
        <v>0.65</v>
      </c>
      <c r="R889">
        <v>115.05</v>
      </c>
      <c r="S889">
        <v>0.63</v>
      </c>
      <c r="T889">
        <v>111.51</v>
      </c>
      <c r="U889">
        <v>20.11</v>
      </c>
    </row>
    <row r="890" spans="1:21" x14ac:dyDescent="0.25">
      <c r="A890" t="s">
        <v>465</v>
      </c>
      <c r="B890" s="4" t="s">
        <v>14</v>
      </c>
      <c r="C890" s="1">
        <v>1</v>
      </c>
      <c r="D890">
        <v>120</v>
      </c>
      <c r="E890">
        <v>1</v>
      </c>
      <c r="F890">
        <v>0</v>
      </c>
      <c r="G890">
        <v>116</v>
      </c>
      <c r="H890">
        <f t="shared" ref="H890" si="3539">AVERAGE(G890:G892)</f>
        <v>117.66666666666667</v>
      </c>
      <c r="I890">
        <f t="shared" ref="I890" si="3540">_xlfn.STDEV.P(G890:G892)</f>
        <v>1.699673171197595</v>
      </c>
      <c r="J890">
        <v>4</v>
      </c>
      <c r="K890">
        <f t="shared" ref="K890" si="3541">AVERAGE(J890:J892)</f>
        <v>5</v>
      </c>
      <c r="L890">
        <f t="shared" ref="L890" si="3542">_xlfn.STDEV.P(J890:J892)</f>
        <v>0.81649658092772603</v>
      </c>
      <c r="M890">
        <v>107</v>
      </c>
      <c r="N890">
        <f t="shared" ref="N890" si="3543">AVERAGE(M890:M892)</f>
        <v>114.66666666666667</v>
      </c>
      <c r="O890">
        <f t="shared" ref="O890" si="3544">_xlfn.STDEV.P(M890:M892)</f>
        <v>7.5865377844940287</v>
      </c>
      <c r="P890">
        <v>186</v>
      </c>
      <c r="Q890">
        <v>0.5</v>
      </c>
      <c r="R890">
        <v>93</v>
      </c>
      <c r="S890">
        <v>0.69</v>
      </c>
      <c r="T890">
        <v>128.34</v>
      </c>
      <c r="U890" t="s">
        <v>20</v>
      </c>
    </row>
    <row r="891" spans="1:21" x14ac:dyDescent="0.25">
      <c r="A891" t="s">
        <v>465</v>
      </c>
      <c r="B891" s="4" t="s">
        <v>14</v>
      </c>
      <c r="C891" s="1">
        <v>1</v>
      </c>
      <c r="D891">
        <v>120</v>
      </c>
      <c r="E891">
        <v>2</v>
      </c>
      <c r="F891">
        <v>6</v>
      </c>
      <c r="G891">
        <v>120</v>
      </c>
      <c r="H891">
        <f t="shared" ref="H891:I891" si="3545">H890</f>
        <v>117.66666666666667</v>
      </c>
      <c r="I891">
        <f t="shared" si="3545"/>
        <v>1.699673171197595</v>
      </c>
      <c r="J891">
        <v>5</v>
      </c>
      <c r="K891">
        <f t="shared" ref="K891:L891" si="3546">K890</f>
        <v>5</v>
      </c>
      <c r="L891">
        <f t="shared" si="3546"/>
        <v>0.81649658092772603</v>
      </c>
      <c r="M891">
        <v>125</v>
      </c>
      <c r="N891">
        <f t="shared" ref="N891:O891" si="3547">N890</f>
        <v>114.66666666666667</v>
      </c>
      <c r="O891">
        <f t="shared" si="3547"/>
        <v>7.5865377844940287</v>
      </c>
      <c r="P891">
        <v>180</v>
      </c>
      <c r="Q891">
        <v>0.53</v>
      </c>
      <c r="R891">
        <v>95.4</v>
      </c>
      <c r="S891">
        <v>0.49</v>
      </c>
      <c r="T891">
        <v>88.2</v>
      </c>
      <c r="U891" t="s">
        <v>20</v>
      </c>
    </row>
    <row r="892" spans="1:21" x14ac:dyDescent="0.25">
      <c r="A892" t="s">
        <v>465</v>
      </c>
      <c r="B892" s="4" t="s">
        <v>14</v>
      </c>
      <c r="C892" s="1">
        <v>1</v>
      </c>
      <c r="D892">
        <v>120</v>
      </c>
      <c r="E892">
        <v>3</v>
      </c>
      <c r="F892" t="s">
        <v>20</v>
      </c>
      <c r="G892">
        <v>117</v>
      </c>
      <c r="H892">
        <f t="shared" ref="H892:I892" si="3548">H890</f>
        <v>117.66666666666667</v>
      </c>
      <c r="I892">
        <f t="shared" si="3548"/>
        <v>1.699673171197595</v>
      </c>
      <c r="J892">
        <v>6</v>
      </c>
      <c r="K892">
        <f t="shared" ref="K892:L892" si="3549">K890</f>
        <v>5</v>
      </c>
      <c r="L892">
        <f t="shared" si="3549"/>
        <v>0.81649658092772603</v>
      </c>
      <c r="M892">
        <v>112</v>
      </c>
      <c r="N892">
        <f t="shared" ref="N892:O892" si="3550">N890</f>
        <v>114.66666666666667</v>
      </c>
      <c r="O892">
        <f t="shared" si="3550"/>
        <v>7.5865377844940287</v>
      </c>
      <c r="P892">
        <v>186</v>
      </c>
      <c r="Q892">
        <v>0.42</v>
      </c>
      <c r="R892">
        <v>78.11999999999999</v>
      </c>
      <c r="S892">
        <v>0.3</v>
      </c>
      <c r="T892">
        <v>55.8</v>
      </c>
      <c r="U892" t="s">
        <v>20</v>
      </c>
    </row>
    <row r="893" spans="1:21" x14ac:dyDescent="0.25">
      <c r="A893" t="s">
        <v>466</v>
      </c>
      <c r="B893" s="4" t="s">
        <v>14</v>
      </c>
      <c r="C893" s="1" t="s">
        <v>20</v>
      </c>
      <c r="D893">
        <v>120</v>
      </c>
      <c r="E893">
        <v>1</v>
      </c>
      <c r="F893">
        <v>6</v>
      </c>
      <c r="G893">
        <v>147</v>
      </c>
      <c r="H893">
        <f t="shared" ref="H893" si="3551">AVERAGE(G893:G895)</f>
        <v>146.33333333333334</v>
      </c>
      <c r="I893">
        <f t="shared" ref="I893" si="3552">_xlfn.STDEV.P(G893:G895)</f>
        <v>0.94280904158206336</v>
      </c>
      <c r="J893">
        <v>15</v>
      </c>
      <c r="K893">
        <f t="shared" ref="K893" si="3553">AVERAGE(J893:J895)</f>
        <v>11.666666666666666</v>
      </c>
      <c r="L893">
        <f t="shared" ref="L893" si="3554">_xlfn.STDEV.P(J893:J895)</f>
        <v>2.3570226039551585</v>
      </c>
      <c r="M893">
        <v>100</v>
      </c>
      <c r="N893">
        <f t="shared" ref="N893" si="3555">AVERAGE(M893:M895)</f>
        <v>101.33333333333333</v>
      </c>
      <c r="O893">
        <f t="shared" ref="O893" si="3556">_xlfn.STDEV.P(M893:M895)</f>
        <v>9.8432153734889347</v>
      </c>
      <c r="P893">
        <v>187</v>
      </c>
      <c r="Q893">
        <v>0.63</v>
      </c>
      <c r="R893" t="s">
        <v>20</v>
      </c>
      <c r="S893">
        <v>0.74</v>
      </c>
      <c r="T893" t="s">
        <v>20</v>
      </c>
      <c r="U893" t="s">
        <v>20</v>
      </c>
    </row>
    <row r="894" spans="1:21" x14ac:dyDescent="0.25">
      <c r="A894" t="s">
        <v>466</v>
      </c>
      <c r="B894" s="4" t="s">
        <v>14</v>
      </c>
      <c r="C894" s="1" t="s">
        <v>20</v>
      </c>
      <c r="D894">
        <v>120</v>
      </c>
      <c r="E894">
        <v>2</v>
      </c>
      <c r="F894">
        <v>26</v>
      </c>
      <c r="G894">
        <v>145</v>
      </c>
      <c r="H894">
        <f t="shared" ref="H894:I894" si="3557">H893</f>
        <v>146.33333333333334</v>
      </c>
      <c r="I894">
        <f t="shared" si="3557"/>
        <v>0.94280904158206336</v>
      </c>
      <c r="J894">
        <v>10</v>
      </c>
      <c r="K894">
        <f t="shared" ref="K894:L894" si="3558">K893</f>
        <v>11.666666666666666</v>
      </c>
      <c r="L894">
        <f t="shared" si="3558"/>
        <v>2.3570226039551585</v>
      </c>
      <c r="M894">
        <v>114</v>
      </c>
      <c r="N894">
        <f t="shared" ref="N894:O894" si="3559">N893</f>
        <v>101.33333333333333</v>
      </c>
      <c r="O894">
        <f t="shared" si="3559"/>
        <v>9.8432153734889347</v>
      </c>
      <c r="Q894">
        <v>0.62</v>
      </c>
      <c r="R894" t="s">
        <v>20</v>
      </c>
      <c r="S894">
        <v>0.48</v>
      </c>
      <c r="T894" t="s">
        <v>20</v>
      </c>
      <c r="U894" t="s">
        <v>20</v>
      </c>
    </row>
    <row r="895" spans="1:21" x14ac:dyDescent="0.25">
      <c r="A895" t="s">
        <v>466</v>
      </c>
      <c r="B895" s="4" t="s">
        <v>14</v>
      </c>
      <c r="C895" s="1" t="s">
        <v>20</v>
      </c>
      <c r="D895">
        <v>120</v>
      </c>
      <c r="E895">
        <v>3</v>
      </c>
      <c r="F895" t="s">
        <v>20</v>
      </c>
      <c r="G895">
        <v>147</v>
      </c>
      <c r="H895">
        <f t="shared" ref="H895:I895" si="3560">H893</f>
        <v>146.33333333333334</v>
      </c>
      <c r="I895">
        <f t="shared" si="3560"/>
        <v>0.94280904158206336</v>
      </c>
      <c r="J895">
        <v>10</v>
      </c>
      <c r="K895">
        <f t="shared" ref="K895:L895" si="3561">K893</f>
        <v>11.666666666666666</v>
      </c>
      <c r="L895">
        <f t="shared" si="3561"/>
        <v>2.3570226039551585</v>
      </c>
      <c r="M895">
        <v>90</v>
      </c>
      <c r="N895">
        <f t="shared" ref="N895:O895" si="3562">N893</f>
        <v>101.33333333333333</v>
      </c>
      <c r="O895">
        <f t="shared" si="3562"/>
        <v>9.8432153734889347</v>
      </c>
      <c r="P895">
        <v>186</v>
      </c>
      <c r="Q895">
        <v>0.67</v>
      </c>
      <c r="R895" t="s">
        <v>20</v>
      </c>
      <c r="S895">
        <v>0.66</v>
      </c>
      <c r="T895" t="s">
        <v>20</v>
      </c>
      <c r="U895" t="s">
        <v>20</v>
      </c>
    </row>
    <row r="896" spans="1:21" x14ac:dyDescent="0.25">
      <c r="A896" t="s">
        <v>467</v>
      </c>
      <c r="B896" s="4" t="s">
        <v>14</v>
      </c>
      <c r="C896" s="1">
        <v>1</v>
      </c>
      <c r="D896">
        <v>120</v>
      </c>
      <c r="E896">
        <v>1</v>
      </c>
      <c r="F896">
        <v>68</v>
      </c>
      <c r="G896">
        <v>139</v>
      </c>
      <c r="H896">
        <f t="shared" ref="H896" si="3563">AVERAGE(G896:G898)</f>
        <v>142</v>
      </c>
      <c r="I896">
        <f t="shared" ref="I896" si="3564">_xlfn.STDEV.P(G896:G898)</f>
        <v>2.1602468994692869</v>
      </c>
      <c r="J896">
        <v>7</v>
      </c>
      <c r="K896">
        <f t="shared" ref="K896" si="3565">AVERAGE(J896:J898)</f>
        <v>6.666666666666667</v>
      </c>
      <c r="L896">
        <f t="shared" ref="L896" si="3566">_xlfn.STDEV.P(J896:J898)</f>
        <v>0.47140452079103168</v>
      </c>
      <c r="M896">
        <v>101</v>
      </c>
      <c r="N896">
        <f t="shared" ref="N896" si="3567">AVERAGE(M896:M898)</f>
        <v>103.66666666666667</v>
      </c>
      <c r="O896">
        <f t="shared" ref="O896" si="3568">_xlfn.STDEV.P(M896:M898)</f>
        <v>2.0548046676563256</v>
      </c>
      <c r="P896">
        <v>187</v>
      </c>
      <c r="Q896">
        <v>0.7</v>
      </c>
      <c r="R896">
        <v>130.9</v>
      </c>
      <c r="S896">
        <v>0.75</v>
      </c>
      <c r="T896">
        <v>140.25</v>
      </c>
      <c r="U896" t="s">
        <v>20</v>
      </c>
    </row>
    <row r="897" spans="1:21" x14ac:dyDescent="0.25">
      <c r="A897" t="s">
        <v>467</v>
      </c>
      <c r="B897" s="4" t="s">
        <v>14</v>
      </c>
      <c r="C897" s="1">
        <v>1</v>
      </c>
      <c r="D897">
        <v>120</v>
      </c>
      <c r="E897">
        <v>2</v>
      </c>
      <c r="F897" t="s">
        <v>20</v>
      </c>
      <c r="G897">
        <v>143</v>
      </c>
      <c r="H897">
        <f t="shared" ref="H897:I897" si="3569">H896</f>
        <v>142</v>
      </c>
      <c r="I897">
        <f t="shared" si="3569"/>
        <v>2.1602468994692869</v>
      </c>
      <c r="J897">
        <v>7</v>
      </c>
      <c r="K897">
        <f t="shared" ref="K897:L897" si="3570">K896</f>
        <v>6.666666666666667</v>
      </c>
      <c r="L897">
        <f t="shared" si="3570"/>
        <v>0.47140452079103168</v>
      </c>
      <c r="M897">
        <v>106</v>
      </c>
      <c r="N897">
        <f t="shared" ref="N897:O897" si="3571">N896</f>
        <v>103.66666666666667</v>
      </c>
      <c r="O897">
        <f t="shared" si="3571"/>
        <v>2.0548046676563256</v>
      </c>
      <c r="P897">
        <v>183</v>
      </c>
      <c r="Q897">
        <v>0.69</v>
      </c>
      <c r="R897">
        <v>126.27</v>
      </c>
      <c r="S897">
        <v>0.5</v>
      </c>
      <c r="T897">
        <v>91.5</v>
      </c>
      <c r="U897" t="s">
        <v>20</v>
      </c>
    </row>
    <row r="898" spans="1:21" x14ac:dyDescent="0.25">
      <c r="A898" t="s">
        <v>467</v>
      </c>
      <c r="B898" s="4" t="s">
        <v>14</v>
      </c>
      <c r="C898" s="1">
        <v>1</v>
      </c>
      <c r="D898">
        <v>120</v>
      </c>
      <c r="E898">
        <v>3</v>
      </c>
      <c r="F898" t="s">
        <v>20</v>
      </c>
      <c r="G898">
        <v>144</v>
      </c>
      <c r="H898">
        <f t="shared" ref="H898:I898" si="3572">H896</f>
        <v>142</v>
      </c>
      <c r="I898">
        <f t="shared" si="3572"/>
        <v>2.1602468994692869</v>
      </c>
      <c r="J898">
        <v>6</v>
      </c>
      <c r="K898">
        <f t="shared" ref="K898:L898" si="3573">K896</f>
        <v>6.666666666666667</v>
      </c>
      <c r="L898">
        <f t="shared" si="3573"/>
        <v>0.47140452079103168</v>
      </c>
      <c r="M898">
        <v>104</v>
      </c>
      <c r="N898">
        <f t="shared" ref="N898:O898" si="3574">N896</f>
        <v>103.66666666666667</v>
      </c>
      <c r="O898">
        <f t="shared" si="3574"/>
        <v>2.0548046676563256</v>
      </c>
      <c r="P898">
        <v>186</v>
      </c>
      <c r="Q898">
        <v>0.68</v>
      </c>
      <c r="R898">
        <v>126.48</v>
      </c>
      <c r="S898">
        <v>0.44</v>
      </c>
      <c r="T898">
        <v>81.84</v>
      </c>
      <c r="U898" t="s">
        <v>20</v>
      </c>
    </row>
    <row r="899" spans="1:21" x14ac:dyDescent="0.25">
      <c r="A899" t="s">
        <v>468</v>
      </c>
      <c r="B899" s="4" t="s">
        <v>14</v>
      </c>
      <c r="C899" s="4">
        <v>1</v>
      </c>
      <c r="D899">
        <v>120</v>
      </c>
      <c r="E899">
        <v>1</v>
      </c>
      <c r="F899">
        <v>74</v>
      </c>
      <c r="G899">
        <v>0</v>
      </c>
      <c r="H899">
        <f t="shared" ref="H899" si="3575">AVERAGE(G899:G901)</f>
        <v>0</v>
      </c>
      <c r="I899">
        <f t="shared" ref="I899" si="3576">_xlfn.STDEV.P(G899:G901)</f>
        <v>0</v>
      </c>
      <c r="J899">
        <v>2</v>
      </c>
      <c r="K899">
        <f t="shared" ref="K899" si="3577">AVERAGE(J899:J901)</f>
        <v>1.3333333333333333</v>
      </c>
      <c r="L899">
        <f t="shared" ref="L899" si="3578">_xlfn.STDEV.P(J899:J901)</f>
        <v>0.47140452079103168</v>
      </c>
      <c r="M899">
        <v>111</v>
      </c>
      <c r="N899">
        <f t="shared" ref="N899" si="3579">AVERAGE(M899:M901)</f>
        <v>111</v>
      </c>
      <c r="O899">
        <f t="shared" ref="O899" si="3580">_xlfn.STDEV.P(M899:M901)</f>
        <v>0.81649658092772603</v>
      </c>
      <c r="Q899">
        <v>0.65</v>
      </c>
      <c r="R899" t="s">
        <v>20</v>
      </c>
      <c r="S899">
        <v>0.46</v>
      </c>
      <c r="T899" t="s">
        <v>20</v>
      </c>
      <c r="U899" t="s">
        <v>20</v>
      </c>
    </row>
    <row r="900" spans="1:21" x14ac:dyDescent="0.25">
      <c r="A900" t="s">
        <v>468</v>
      </c>
      <c r="B900" s="4" t="s">
        <v>14</v>
      </c>
      <c r="C900" s="4">
        <v>1</v>
      </c>
      <c r="D900">
        <v>120</v>
      </c>
      <c r="E900">
        <v>2</v>
      </c>
      <c r="F900" t="s">
        <v>20</v>
      </c>
      <c r="G900">
        <v>0</v>
      </c>
      <c r="H900">
        <f t="shared" ref="H900:I900" si="3581">H899</f>
        <v>0</v>
      </c>
      <c r="I900">
        <f t="shared" si="3581"/>
        <v>0</v>
      </c>
      <c r="J900">
        <v>1</v>
      </c>
      <c r="K900">
        <f t="shared" ref="K900:L900" si="3582">K899</f>
        <v>1.3333333333333333</v>
      </c>
      <c r="L900">
        <f t="shared" si="3582"/>
        <v>0.47140452079103168</v>
      </c>
      <c r="M900">
        <v>112</v>
      </c>
      <c r="N900">
        <f t="shared" ref="N900:O900" si="3583">N899</f>
        <v>111</v>
      </c>
      <c r="O900">
        <f t="shared" si="3583"/>
        <v>0.81649658092772603</v>
      </c>
      <c r="Q900">
        <v>0.67</v>
      </c>
      <c r="R900" t="s">
        <v>20</v>
      </c>
      <c r="S900">
        <v>0.4</v>
      </c>
      <c r="T900" t="s">
        <v>20</v>
      </c>
      <c r="U900" t="s">
        <v>20</v>
      </c>
    </row>
    <row r="901" spans="1:21" x14ac:dyDescent="0.25">
      <c r="A901" t="s">
        <v>468</v>
      </c>
      <c r="B901" s="4" t="s">
        <v>14</v>
      </c>
      <c r="C901" s="4">
        <v>1</v>
      </c>
      <c r="D901">
        <v>120</v>
      </c>
      <c r="E901">
        <v>3</v>
      </c>
      <c r="F901" t="s">
        <v>20</v>
      </c>
      <c r="G901">
        <v>0</v>
      </c>
      <c r="H901">
        <f t="shared" ref="H901:I901" si="3584">H899</f>
        <v>0</v>
      </c>
      <c r="I901">
        <f t="shared" si="3584"/>
        <v>0</v>
      </c>
      <c r="J901">
        <v>1</v>
      </c>
      <c r="K901">
        <f t="shared" ref="K901:L901" si="3585">K899</f>
        <v>1.3333333333333333</v>
      </c>
      <c r="L901">
        <f t="shared" si="3585"/>
        <v>0.47140452079103168</v>
      </c>
      <c r="M901">
        <v>110</v>
      </c>
      <c r="N901">
        <f t="shared" ref="N901:O901" si="3586">N899</f>
        <v>111</v>
      </c>
      <c r="O901">
        <f t="shared" si="3586"/>
        <v>0.81649658092772603</v>
      </c>
      <c r="Q901">
        <v>0.6</v>
      </c>
      <c r="R901" t="s">
        <v>20</v>
      </c>
      <c r="S901">
        <v>0.62</v>
      </c>
      <c r="T901" t="s">
        <v>20</v>
      </c>
      <c r="U901" t="s">
        <v>20</v>
      </c>
    </row>
  </sheetData>
  <conditionalFormatting sqref="I1:I1048576">
    <cfRule type="cellIs" dxfId="2" priority="3" operator="greaterThan">
      <formula>9.312476696</formula>
    </cfRule>
  </conditionalFormatting>
  <conditionalFormatting sqref="L1:L1048576">
    <cfRule type="cellIs" dxfId="1" priority="2" operator="greaterThan">
      <formula>4.403281605</formula>
    </cfRule>
  </conditionalFormatting>
  <conditionalFormatting sqref="O1:O1048576">
    <cfRule type="cellIs" dxfId="0" priority="1" operator="greaterThan">
      <formula>8.956685895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5FC5-6D96-4F19-BD95-DAAD6ED5E9D7}">
  <sheetPr codeName="Sheet3"/>
  <dimension ref="A1:L1549"/>
  <sheetViews>
    <sheetView workbookViewId="0">
      <selection activeCell="J5" sqref="J5"/>
    </sheetView>
  </sheetViews>
  <sheetFormatPr defaultRowHeight="15" x14ac:dyDescent="0.25"/>
  <cols>
    <col min="2" max="2" width="25.42578125" style="1" customWidth="1"/>
    <col min="3" max="3" width="20.42578125" style="1" bestFit="1" customWidth="1"/>
    <col min="4" max="4" width="8.5703125" style="1" bestFit="1" customWidth="1"/>
    <col min="5" max="5" width="9.140625" style="1"/>
    <col min="6" max="6" width="4" style="1" bestFit="1" customWidth="1"/>
    <col min="7" max="7" width="4.28515625" style="1" bestFit="1" customWidth="1"/>
    <col min="8" max="8" width="16.28515625" style="1" bestFit="1" customWidth="1"/>
    <col min="9" max="9" width="7.140625" style="1" bestFit="1" customWidth="1"/>
    <col min="12" max="12" width="24" customWidth="1"/>
    <col min="16" max="16" width="10" bestFit="1" customWidth="1"/>
  </cols>
  <sheetData>
    <row r="1" spans="1:12" ht="14.25" customHeight="1" x14ac:dyDescent="0.25">
      <c r="A1" t="s">
        <v>469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2" ht="14.25" customHeight="1" x14ac:dyDescent="0.25">
      <c r="A2">
        <v>2023</v>
      </c>
      <c r="B2" s="4" t="s">
        <v>10</v>
      </c>
      <c r="C2" s="1">
        <v>1</v>
      </c>
      <c r="D2" s="1" t="s">
        <v>11</v>
      </c>
      <c r="E2" s="1" t="s">
        <v>12</v>
      </c>
      <c r="F2" s="1">
        <v>1</v>
      </c>
      <c r="G2" s="1">
        <v>186</v>
      </c>
      <c r="H2" s="1">
        <v>85</v>
      </c>
      <c r="I2" s="5">
        <v>48</v>
      </c>
      <c r="L2" s="4"/>
    </row>
    <row r="3" spans="1:12" ht="14.25" customHeight="1" x14ac:dyDescent="0.25">
      <c r="A3">
        <v>2023</v>
      </c>
      <c r="B3" s="4" t="s">
        <v>10</v>
      </c>
      <c r="C3" s="1">
        <v>1</v>
      </c>
      <c r="D3" s="1" t="s">
        <v>11</v>
      </c>
      <c r="E3" s="1" t="s">
        <v>12</v>
      </c>
      <c r="F3" s="1">
        <v>2</v>
      </c>
      <c r="G3" s="1">
        <v>163</v>
      </c>
      <c r="H3" s="1">
        <v>96</v>
      </c>
      <c r="I3" s="1">
        <v>48</v>
      </c>
      <c r="L3" s="4"/>
    </row>
    <row r="4" spans="1:12" ht="14.25" customHeight="1" x14ac:dyDescent="0.25">
      <c r="A4">
        <v>2023</v>
      </c>
      <c r="B4" s="4" t="s">
        <v>10</v>
      </c>
      <c r="C4" s="1">
        <v>1</v>
      </c>
      <c r="D4" s="1" t="s">
        <v>11</v>
      </c>
      <c r="E4" s="1" t="s">
        <v>12</v>
      </c>
      <c r="F4" s="1">
        <v>3</v>
      </c>
      <c r="G4" s="5">
        <v>191</v>
      </c>
      <c r="H4" s="1">
        <v>85</v>
      </c>
      <c r="I4" s="1">
        <v>36</v>
      </c>
      <c r="L4" s="4"/>
    </row>
    <row r="5" spans="1:12" ht="14.25" customHeight="1" x14ac:dyDescent="0.25">
      <c r="A5">
        <v>2023</v>
      </c>
      <c r="B5" s="4" t="s">
        <v>14</v>
      </c>
      <c r="C5" s="1">
        <v>1</v>
      </c>
      <c r="D5" s="1" t="s">
        <v>15</v>
      </c>
      <c r="E5" s="1" t="s">
        <v>12</v>
      </c>
      <c r="F5" s="1">
        <v>1</v>
      </c>
      <c r="G5" s="1">
        <v>142</v>
      </c>
      <c r="H5" s="1">
        <v>115</v>
      </c>
      <c r="I5" s="1">
        <v>60</v>
      </c>
    </row>
    <row r="6" spans="1:12" ht="14.25" customHeight="1" x14ac:dyDescent="0.25">
      <c r="A6">
        <v>2023</v>
      </c>
      <c r="B6" s="4" t="s">
        <v>14</v>
      </c>
      <c r="C6" s="1">
        <v>1</v>
      </c>
      <c r="D6" s="1" t="s">
        <v>15</v>
      </c>
      <c r="E6" s="1" t="s">
        <v>12</v>
      </c>
      <c r="F6" s="1">
        <v>2</v>
      </c>
      <c r="G6" s="1">
        <v>159</v>
      </c>
      <c r="H6" s="1">
        <v>106</v>
      </c>
      <c r="I6" s="1">
        <v>108</v>
      </c>
    </row>
    <row r="7" spans="1:12" ht="14.25" customHeight="1" x14ac:dyDescent="0.25">
      <c r="A7">
        <v>2023</v>
      </c>
      <c r="B7" s="4" t="s">
        <v>14</v>
      </c>
      <c r="C7" s="1">
        <v>1</v>
      </c>
      <c r="D7" s="1" t="s">
        <v>15</v>
      </c>
      <c r="E7" s="1" t="s">
        <v>12</v>
      </c>
      <c r="F7" s="1">
        <v>3</v>
      </c>
      <c r="G7" s="1">
        <v>160</v>
      </c>
      <c r="H7" s="1">
        <v>120</v>
      </c>
      <c r="I7" s="1">
        <v>72</v>
      </c>
    </row>
    <row r="8" spans="1:12" ht="14.25" customHeight="1" x14ac:dyDescent="0.25">
      <c r="A8">
        <v>2023</v>
      </c>
      <c r="B8" s="4" t="s">
        <v>14</v>
      </c>
      <c r="C8" s="1">
        <v>1</v>
      </c>
      <c r="D8" s="1" t="s">
        <v>16</v>
      </c>
      <c r="E8" s="1" t="s">
        <v>12</v>
      </c>
      <c r="F8" s="1">
        <v>1</v>
      </c>
      <c r="G8" s="1">
        <v>149</v>
      </c>
      <c r="H8" s="1">
        <v>113</v>
      </c>
      <c r="I8" s="1">
        <v>72</v>
      </c>
    </row>
    <row r="9" spans="1:12" ht="14.25" customHeight="1" x14ac:dyDescent="0.25">
      <c r="A9">
        <v>2023</v>
      </c>
      <c r="B9" s="4" t="s">
        <v>14</v>
      </c>
      <c r="C9" s="1">
        <v>1</v>
      </c>
      <c r="D9" s="1" t="s">
        <v>16</v>
      </c>
      <c r="E9" s="1" t="s">
        <v>12</v>
      </c>
      <c r="F9" s="1">
        <v>2</v>
      </c>
      <c r="G9" s="1">
        <v>149</v>
      </c>
      <c r="H9" s="1">
        <v>116</v>
      </c>
      <c r="I9" s="1">
        <v>72</v>
      </c>
    </row>
    <row r="10" spans="1:12" ht="14.25" customHeight="1" x14ac:dyDescent="0.25">
      <c r="A10">
        <v>2023</v>
      </c>
      <c r="B10" s="4" t="s">
        <v>14</v>
      </c>
      <c r="C10" s="1">
        <v>1</v>
      </c>
      <c r="D10" s="1" t="s">
        <v>16</v>
      </c>
      <c r="E10" s="1" t="s">
        <v>12</v>
      </c>
      <c r="F10" s="1">
        <v>3</v>
      </c>
      <c r="G10" s="1">
        <v>150</v>
      </c>
      <c r="H10" s="1">
        <v>118</v>
      </c>
      <c r="I10" s="1">
        <v>96</v>
      </c>
    </row>
    <row r="11" spans="1:12" ht="14.25" customHeight="1" x14ac:dyDescent="0.25">
      <c r="A11">
        <v>2023</v>
      </c>
      <c r="B11" s="4" t="s">
        <v>14</v>
      </c>
      <c r="C11" s="1">
        <v>1</v>
      </c>
      <c r="D11" s="1" t="s">
        <v>17</v>
      </c>
      <c r="E11" s="1" t="s">
        <v>12</v>
      </c>
      <c r="F11" s="1">
        <v>1</v>
      </c>
      <c r="G11" s="1">
        <v>135</v>
      </c>
      <c r="H11" s="1">
        <v>113</v>
      </c>
      <c r="I11" s="1">
        <v>156</v>
      </c>
    </row>
    <row r="12" spans="1:12" ht="14.25" customHeight="1" x14ac:dyDescent="0.25">
      <c r="A12">
        <v>2023</v>
      </c>
      <c r="B12" s="4" t="s">
        <v>14</v>
      </c>
      <c r="C12" s="1">
        <v>1</v>
      </c>
      <c r="D12" s="1" t="s">
        <v>17</v>
      </c>
      <c r="E12" s="1" t="s">
        <v>12</v>
      </c>
      <c r="F12" s="1">
        <v>2</v>
      </c>
      <c r="G12" s="1">
        <v>191</v>
      </c>
      <c r="H12" s="1">
        <v>115</v>
      </c>
      <c r="I12" s="1">
        <v>120</v>
      </c>
    </row>
    <row r="13" spans="1:12" ht="14.25" customHeight="1" x14ac:dyDescent="0.25">
      <c r="A13">
        <v>2023</v>
      </c>
      <c r="B13" s="4" t="s">
        <v>14</v>
      </c>
      <c r="C13" s="1">
        <v>1</v>
      </c>
      <c r="D13" s="1" t="s">
        <v>17</v>
      </c>
      <c r="E13" s="1" t="s">
        <v>12</v>
      </c>
      <c r="F13" s="1">
        <v>3</v>
      </c>
      <c r="G13" s="1">
        <v>160</v>
      </c>
      <c r="H13" s="1">
        <v>127</v>
      </c>
      <c r="I13" s="1">
        <v>84</v>
      </c>
    </row>
    <row r="14" spans="1:12" ht="14.25" customHeight="1" x14ac:dyDescent="0.25">
      <c r="A14">
        <v>2023</v>
      </c>
      <c r="B14" s="4" t="s">
        <v>14</v>
      </c>
      <c r="C14" s="1">
        <v>1</v>
      </c>
      <c r="D14" s="1" t="s">
        <v>18</v>
      </c>
      <c r="E14" s="1" t="s">
        <v>12</v>
      </c>
      <c r="F14" s="1">
        <v>1</v>
      </c>
      <c r="G14" s="1">
        <v>141</v>
      </c>
      <c r="H14" s="1">
        <v>118</v>
      </c>
      <c r="I14" s="1">
        <v>48</v>
      </c>
    </row>
    <row r="15" spans="1:12" ht="14.25" customHeight="1" x14ac:dyDescent="0.25">
      <c r="A15">
        <v>2023</v>
      </c>
      <c r="B15" s="4" t="s">
        <v>14</v>
      </c>
      <c r="C15" s="1">
        <v>1</v>
      </c>
      <c r="D15" s="1" t="s">
        <v>18</v>
      </c>
      <c r="E15" s="1" t="s">
        <v>12</v>
      </c>
      <c r="F15" s="1">
        <v>2</v>
      </c>
      <c r="G15" s="1">
        <v>154</v>
      </c>
      <c r="H15" s="5">
        <v>128</v>
      </c>
      <c r="I15" s="5">
        <v>84</v>
      </c>
    </row>
    <row r="16" spans="1:12" ht="14.25" customHeight="1" x14ac:dyDescent="0.25">
      <c r="A16">
        <v>2023</v>
      </c>
      <c r="B16" s="4" t="s">
        <v>14</v>
      </c>
      <c r="C16" s="1">
        <v>1</v>
      </c>
      <c r="D16" s="1" t="s">
        <v>18</v>
      </c>
      <c r="E16" s="1" t="s">
        <v>12</v>
      </c>
      <c r="F16" s="1">
        <v>3</v>
      </c>
      <c r="G16" s="1">
        <v>154</v>
      </c>
      <c r="H16" s="1">
        <v>128</v>
      </c>
      <c r="I16" s="1">
        <v>96</v>
      </c>
    </row>
    <row r="17" spans="1:9" ht="14.25" customHeight="1" x14ac:dyDescent="0.25">
      <c r="A17">
        <v>2023</v>
      </c>
      <c r="B17" s="4" t="s">
        <v>14</v>
      </c>
      <c r="C17" s="1">
        <v>1</v>
      </c>
      <c r="D17" s="1" t="s">
        <v>19</v>
      </c>
      <c r="E17" s="1" t="s">
        <v>12</v>
      </c>
      <c r="F17" s="1">
        <v>1</v>
      </c>
      <c r="G17" s="5">
        <v>0</v>
      </c>
      <c r="H17" s="1">
        <v>118</v>
      </c>
      <c r="I17" s="1">
        <v>96</v>
      </c>
    </row>
    <row r="18" spans="1:9" ht="14.25" customHeight="1" x14ac:dyDescent="0.25">
      <c r="A18">
        <v>2023</v>
      </c>
      <c r="B18" s="4" t="s">
        <v>14</v>
      </c>
      <c r="C18" s="1">
        <v>1</v>
      </c>
      <c r="D18" s="1" t="s">
        <v>19</v>
      </c>
      <c r="E18" s="1" t="s">
        <v>12</v>
      </c>
      <c r="F18" s="1">
        <v>2</v>
      </c>
      <c r="G18" s="5">
        <v>0</v>
      </c>
      <c r="H18" s="1">
        <v>124</v>
      </c>
      <c r="I18" s="1">
        <v>96</v>
      </c>
    </row>
    <row r="19" spans="1:9" ht="14.25" customHeight="1" x14ac:dyDescent="0.25">
      <c r="A19">
        <v>2023</v>
      </c>
      <c r="B19" s="4" t="s">
        <v>14</v>
      </c>
      <c r="C19" s="1">
        <v>1</v>
      </c>
      <c r="D19" s="1" t="s">
        <v>19</v>
      </c>
      <c r="E19" s="1" t="s">
        <v>12</v>
      </c>
      <c r="F19" s="1">
        <v>3</v>
      </c>
      <c r="G19" s="5">
        <v>0</v>
      </c>
      <c r="H19" s="1">
        <v>140</v>
      </c>
      <c r="I19" s="1">
        <v>60</v>
      </c>
    </row>
    <row r="20" spans="1:9" ht="14.25" customHeight="1" x14ac:dyDescent="0.25">
      <c r="A20">
        <v>2023</v>
      </c>
      <c r="B20" s="4" t="s">
        <v>14</v>
      </c>
      <c r="C20" s="1" t="s">
        <v>20</v>
      </c>
      <c r="D20" s="1" t="s">
        <v>21</v>
      </c>
      <c r="E20" s="1" t="s">
        <v>12</v>
      </c>
      <c r="F20" s="1">
        <v>1</v>
      </c>
      <c r="G20" s="1">
        <v>165</v>
      </c>
      <c r="H20" s="1">
        <v>115</v>
      </c>
      <c r="I20" s="5">
        <v>66</v>
      </c>
    </row>
    <row r="21" spans="1:9" ht="14.25" customHeight="1" x14ac:dyDescent="0.25">
      <c r="A21">
        <v>2023</v>
      </c>
      <c r="B21" s="4" t="s">
        <v>14</v>
      </c>
      <c r="C21" s="1" t="s">
        <v>20</v>
      </c>
      <c r="D21" s="1" t="s">
        <v>21</v>
      </c>
      <c r="E21" s="1" t="s">
        <v>12</v>
      </c>
      <c r="F21" s="1">
        <v>2</v>
      </c>
      <c r="G21" s="1">
        <v>198</v>
      </c>
      <c r="H21" s="1">
        <v>97</v>
      </c>
      <c r="I21" s="1">
        <v>72</v>
      </c>
    </row>
    <row r="22" spans="1:9" ht="14.25" customHeight="1" x14ac:dyDescent="0.25">
      <c r="A22">
        <v>2023</v>
      </c>
      <c r="B22" s="4" t="s">
        <v>14</v>
      </c>
      <c r="C22" s="1" t="s">
        <v>20</v>
      </c>
      <c r="D22" s="1" t="s">
        <v>21</v>
      </c>
      <c r="E22" s="1" t="s">
        <v>12</v>
      </c>
      <c r="F22" s="1">
        <v>3</v>
      </c>
      <c r="G22" s="5">
        <v>198</v>
      </c>
      <c r="H22" s="1">
        <v>110</v>
      </c>
      <c r="I22" s="1">
        <v>72</v>
      </c>
    </row>
    <row r="23" spans="1:9" ht="14.25" customHeight="1" x14ac:dyDescent="0.25">
      <c r="A23">
        <v>2023</v>
      </c>
      <c r="B23" s="4" t="s">
        <v>22</v>
      </c>
      <c r="C23" s="1">
        <v>1</v>
      </c>
      <c r="D23" s="1" t="s">
        <v>23</v>
      </c>
      <c r="E23" s="1" t="s">
        <v>12</v>
      </c>
      <c r="F23" s="1">
        <v>1</v>
      </c>
      <c r="G23" s="1">
        <v>129</v>
      </c>
      <c r="H23" s="1">
        <v>130</v>
      </c>
      <c r="I23" s="1">
        <v>84</v>
      </c>
    </row>
    <row r="24" spans="1:9" ht="14.25" customHeight="1" x14ac:dyDescent="0.25">
      <c r="A24">
        <v>2023</v>
      </c>
      <c r="B24" s="4" t="s">
        <v>22</v>
      </c>
      <c r="C24" s="1">
        <v>1</v>
      </c>
      <c r="D24" s="1" t="s">
        <v>23</v>
      </c>
      <c r="E24" s="1" t="s">
        <v>12</v>
      </c>
      <c r="F24" s="1">
        <v>2</v>
      </c>
      <c r="G24" s="1">
        <v>138</v>
      </c>
      <c r="H24" s="1">
        <v>134</v>
      </c>
      <c r="I24" s="1">
        <v>48</v>
      </c>
    </row>
    <row r="25" spans="1:9" ht="14.25" customHeight="1" x14ac:dyDescent="0.25">
      <c r="A25">
        <v>2023</v>
      </c>
      <c r="B25" s="4" t="s">
        <v>22</v>
      </c>
      <c r="C25" s="1">
        <v>1</v>
      </c>
      <c r="D25" s="1" t="s">
        <v>23</v>
      </c>
      <c r="E25" s="1" t="s">
        <v>12</v>
      </c>
      <c r="F25" s="1">
        <v>3</v>
      </c>
      <c r="G25" s="1">
        <v>126</v>
      </c>
      <c r="H25" s="1">
        <v>129</v>
      </c>
      <c r="I25" s="1">
        <v>48</v>
      </c>
    </row>
    <row r="26" spans="1:9" ht="14.25" customHeight="1" x14ac:dyDescent="0.25">
      <c r="A26">
        <v>2023</v>
      </c>
      <c r="B26" s="4" t="s">
        <v>24</v>
      </c>
      <c r="C26" s="1">
        <v>3</v>
      </c>
      <c r="D26" s="1" t="s">
        <v>25</v>
      </c>
      <c r="E26" s="1" t="s">
        <v>12</v>
      </c>
      <c r="F26" s="1">
        <v>1</v>
      </c>
      <c r="G26" s="1">
        <v>103</v>
      </c>
      <c r="H26" s="1">
        <v>117</v>
      </c>
      <c r="I26" s="1">
        <v>48</v>
      </c>
    </row>
    <row r="27" spans="1:9" ht="14.25" customHeight="1" x14ac:dyDescent="0.25">
      <c r="A27">
        <v>2023</v>
      </c>
      <c r="B27" s="4" t="s">
        <v>24</v>
      </c>
      <c r="C27" s="1">
        <v>3</v>
      </c>
      <c r="D27" s="1" t="s">
        <v>25</v>
      </c>
      <c r="E27" s="1" t="s">
        <v>12</v>
      </c>
      <c r="F27" s="1">
        <v>2</v>
      </c>
      <c r="G27" s="1">
        <v>103</v>
      </c>
      <c r="H27" s="1">
        <v>125</v>
      </c>
      <c r="I27" s="1">
        <v>36</v>
      </c>
    </row>
    <row r="28" spans="1:9" ht="14.25" customHeight="1" x14ac:dyDescent="0.25">
      <c r="A28">
        <v>2023</v>
      </c>
      <c r="B28" s="4" t="s">
        <v>24</v>
      </c>
      <c r="C28" s="1">
        <v>3</v>
      </c>
      <c r="D28" s="1" t="s">
        <v>25</v>
      </c>
      <c r="E28" s="1" t="s">
        <v>12</v>
      </c>
      <c r="F28" s="1">
        <v>3</v>
      </c>
      <c r="G28" s="1">
        <v>104</v>
      </c>
      <c r="H28" s="1">
        <v>114</v>
      </c>
      <c r="I28" s="1">
        <v>24</v>
      </c>
    </row>
    <row r="29" spans="1:9" ht="14.25" customHeight="1" x14ac:dyDescent="0.25">
      <c r="A29">
        <v>2023</v>
      </c>
      <c r="B29" s="4" t="s">
        <v>14</v>
      </c>
      <c r="C29" s="1">
        <v>1</v>
      </c>
      <c r="D29" s="1" t="s">
        <v>26</v>
      </c>
      <c r="E29" s="1" t="s">
        <v>12</v>
      </c>
      <c r="F29" s="1">
        <v>1</v>
      </c>
      <c r="G29" s="1">
        <v>182</v>
      </c>
      <c r="H29" s="1">
        <v>92</v>
      </c>
      <c r="I29" s="5">
        <v>72</v>
      </c>
    </row>
    <row r="30" spans="1:9" ht="14.25" customHeight="1" x14ac:dyDescent="0.25">
      <c r="A30">
        <v>2023</v>
      </c>
      <c r="B30" s="4" t="s">
        <v>14</v>
      </c>
      <c r="C30" s="1">
        <v>1</v>
      </c>
      <c r="D30" s="1" t="s">
        <v>26</v>
      </c>
      <c r="E30" s="1" t="s">
        <v>12</v>
      </c>
      <c r="F30" s="1">
        <v>2</v>
      </c>
      <c r="G30" s="1">
        <v>162</v>
      </c>
      <c r="H30" s="1">
        <v>101</v>
      </c>
      <c r="I30" s="1">
        <v>84</v>
      </c>
    </row>
    <row r="31" spans="1:9" ht="14.25" customHeight="1" x14ac:dyDescent="0.25">
      <c r="A31">
        <v>2023</v>
      </c>
      <c r="B31" s="4" t="s">
        <v>14</v>
      </c>
      <c r="C31" s="1">
        <v>1</v>
      </c>
      <c r="D31" s="1" t="s">
        <v>26</v>
      </c>
      <c r="E31" s="1" t="s">
        <v>12</v>
      </c>
      <c r="F31" s="1">
        <v>3</v>
      </c>
      <c r="G31" s="1">
        <v>162</v>
      </c>
      <c r="H31" s="1">
        <v>106</v>
      </c>
      <c r="I31" s="1">
        <v>48</v>
      </c>
    </row>
    <row r="32" spans="1:9" ht="14.25" customHeight="1" x14ac:dyDescent="0.25">
      <c r="A32">
        <v>2023</v>
      </c>
      <c r="B32" s="4" t="s">
        <v>14</v>
      </c>
      <c r="C32" s="1">
        <v>1</v>
      </c>
      <c r="D32" s="1" t="s">
        <v>27</v>
      </c>
      <c r="E32" s="1" t="s">
        <v>12</v>
      </c>
      <c r="F32" s="1">
        <v>1</v>
      </c>
      <c r="G32" s="1">
        <v>159</v>
      </c>
      <c r="H32" s="1">
        <v>108</v>
      </c>
      <c r="I32" s="5">
        <v>96</v>
      </c>
    </row>
    <row r="33" spans="1:9" ht="14.25" customHeight="1" x14ac:dyDescent="0.25">
      <c r="A33">
        <v>2023</v>
      </c>
      <c r="B33" s="4" t="s">
        <v>14</v>
      </c>
      <c r="C33" s="1">
        <v>1</v>
      </c>
      <c r="D33" s="1" t="s">
        <v>27</v>
      </c>
      <c r="E33" s="1" t="s">
        <v>12</v>
      </c>
      <c r="F33" s="1">
        <v>2</v>
      </c>
      <c r="G33" s="1">
        <v>153</v>
      </c>
      <c r="H33" s="1">
        <v>104</v>
      </c>
      <c r="I33" s="1">
        <v>96</v>
      </c>
    </row>
    <row r="34" spans="1:9" ht="14.25" customHeight="1" x14ac:dyDescent="0.25">
      <c r="A34">
        <v>2023</v>
      </c>
      <c r="B34" s="4" t="s">
        <v>14</v>
      </c>
      <c r="C34" s="1">
        <v>1</v>
      </c>
      <c r="D34" s="1" t="s">
        <v>27</v>
      </c>
      <c r="E34" s="1" t="s">
        <v>12</v>
      </c>
      <c r="F34" s="1">
        <v>3</v>
      </c>
      <c r="G34" s="1">
        <v>153</v>
      </c>
      <c r="H34" s="1">
        <v>125</v>
      </c>
      <c r="I34" s="1">
        <v>96</v>
      </c>
    </row>
    <row r="35" spans="1:9" ht="14.25" customHeight="1" x14ac:dyDescent="0.25">
      <c r="A35">
        <v>2023</v>
      </c>
      <c r="B35" s="4" t="s">
        <v>14</v>
      </c>
      <c r="C35" s="1">
        <v>1</v>
      </c>
      <c r="D35" s="1" t="s">
        <v>28</v>
      </c>
      <c r="E35" s="1" t="s">
        <v>12</v>
      </c>
      <c r="F35" s="1">
        <v>1</v>
      </c>
      <c r="G35" s="1">
        <v>151</v>
      </c>
      <c r="H35" s="1">
        <v>120</v>
      </c>
      <c r="I35" s="1">
        <v>84</v>
      </c>
    </row>
    <row r="36" spans="1:9" ht="14.25" customHeight="1" x14ac:dyDescent="0.25">
      <c r="A36">
        <v>2023</v>
      </c>
      <c r="B36" s="4" t="s">
        <v>14</v>
      </c>
      <c r="C36" s="1">
        <v>1</v>
      </c>
      <c r="D36" s="1" t="s">
        <v>28</v>
      </c>
      <c r="E36" s="1" t="s">
        <v>12</v>
      </c>
      <c r="F36" s="1">
        <v>2</v>
      </c>
      <c r="G36" s="1">
        <v>159</v>
      </c>
      <c r="H36" s="1">
        <v>120</v>
      </c>
      <c r="I36" s="1">
        <v>60</v>
      </c>
    </row>
    <row r="37" spans="1:9" ht="14.25" customHeight="1" x14ac:dyDescent="0.25">
      <c r="A37">
        <v>2023</v>
      </c>
      <c r="B37" s="4" t="s">
        <v>14</v>
      </c>
      <c r="C37" s="1">
        <v>1</v>
      </c>
      <c r="D37" s="1" t="s">
        <v>28</v>
      </c>
      <c r="E37" s="1" t="s">
        <v>12</v>
      </c>
      <c r="F37" s="1">
        <v>3</v>
      </c>
      <c r="G37" s="1">
        <v>153</v>
      </c>
      <c r="H37" s="1">
        <v>125</v>
      </c>
      <c r="I37" s="1">
        <v>36</v>
      </c>
    </row>
    <row r="38" spans="1:9" ht="14.25" customHeight="1" x14ac:dyDescent="0.25">
      <c r="A38">
        <v>2023</v>
      </c>
      <c r="B38" s="4" t="s">
        <v>14</v>
      </c>
      <c r="C38" s="1">
        <v>1</v>
      </c>
      <c r="D38" s="1" t="s">
        <v>29</v>
      </c>
      <c r="E38" s="1" t="s">
        <v>12</v>
      </c>
      <c r="F38" s="1">
        <v>1</v>
      </c>
      <c r="G38" s="1">
        <v>151</v>
      </c>
      <c r="H38" s="1">
        <v>127</v>
      </c>
      <c r="I38" s="1">
        <v>36</v>
      </c>
    </row>
    <row r="39" spans="1:9" ht="14.25" customHeight="1" x14ac:dyDescent="0.25">
      <c r="A39">
        <v>2023</v>
      </c>
      <c r="B39" s="4" t="s">
        <v>14</v>
      </c>
      <c r="C39" s="1">
        <v>1</v>
      </c>
      <c r="D39" s="1" t="s">
        <v>29</v>
      </c>
      <c r="E39" s="1" t="s">
        <v>12</v>
      </c>
      <c r="F39" s="1">
        <v>2</v>
      </c>
      <c r="G39" s="1">
        <v>143</v>
      </c>
      <c r="H39" s="1">
        <v>136</v>
      </c>
      <c r="I39" s="1">
        <v>48</v>
      </c>
    </row>
    <row r="40" spans="1:9" ht="14.25" customHeight="1" x14ac:dyDescent="0.25">
      <c r="A40">
        <v>2023</v>
      </c>
      <c r="B40" s="4" t="s">
        <v>14</v>
      </c>
      <c r="C40" s="1">
        <v>1</v>
      </c>
      <c r="D40" s="1" t="s">
        <v>29</v>
      </c>
      <c r="E40" s="1" t="s">
        <v>12</v>
      </c>
      <c r="F40" s="1">
        <v>3</v>
      </c>
      <c r="G40" s="1">
        <v>150</v>
      </c>
      <c r="H40" s="1">
        <v>106</v>
      </c>
      <c r="I40" s="1">
        <v>48</v>
      </c>
    </row>
    <row r="41" spans="1:9" ht="14.25" customHeight="1" x14ac:dyDescent="0.25">
      <c r="A41">
        <v>2023</v>
      </c>
      <c r="B41" s="4" t="s">
        <v>14</v>
      </c>
      <c r="C41" s="1">
        <v>1</v>
      </c>
      <c r="D41" s="1" t="s">
        <v>30</v>
      </c>
      <c r="E41" s="1" t="s">
        <v>12</v>
      </c>
      <c r="F41" s="1">
        <v>1</v>
      </c>
      <c r="G41" s="1">
        <v>153</v>
      </c>
      <c r="H41" s="1">
        <v>113</v>
      </c>
      <c r="I41" s="1">
        <v>96</v>
      </c>
    </row>
    <row r="42" spans="1:9" ht="14.25" customHeight="1" x14ac:dyDescent="0.25">
      <c r="A42">
        <v>2023</v>
      </c>
      <c r="B42" s="4" t="s">
        <v>14</v>
      </c>
      <c r="C42" s="1">
        <v>1</v>
      </c>
      <c r="D42" s="1" t="s">
        <v>30</v>
      </c>
      <c r="E42" s="1" t="s">
        <v>12</v>
      </c>
      <c r="F42" s="1">
        <v>2</v>
      </c>
      <c r="G42" s="1">
        <v>141</v>
      </c>
      <c r="H42" s="1">
        <v>113</v>
      </c>
      <c r="I42" s="1">
        <v>84</v>
      </c>
    </row>
    <row r="43" spans="1:9" ht="14.25" customHeight="1" x14ac:dyDescent="0.25">
      <c r="A43">
        <v>2023</v>
      </c>
      <c r="B43" s="4" t="s">
        <v>14</v>
      </c>
      <c r="C43" s="1">
        <v>1</v>
      </c>
      <c r="D43" s="1" t="s">
        <v>30</v>
      </c>
      <c r="E43" s="1" t="s">
        <v>12</v>
      </c>
      <c r="F43" s="1">
        <v>3</v>
      </c>
      <c r="G43" s="1">
        <v>153</v>
      </c>
      <c r="H43" s="1">
        <v>124</v>
      </c>
      <c r="I43" s="1">
        <v>60</v>
      </c>
    </row>
    <row r="44" spans="1:9" ht="14.25" customHeight="1" x14ac:dyDescent="0.25">
      <c r="A44">
        <v>2023</v>
      </c>
      <c r="B44" s="4" t="s">
        <v>14</v>
      </c>
      <c r="C44" s="1">
        <v>1</v>
      </c>
      <c r="D44" s="1" t="s">
        <v>31</v>
      </c>
      <c r="E44" s="1" t="s">
        <v>12</v>
      </c>
      <c r="F44" s="1">
        <v>1</v>
      </c>
      <c r="G44" s="5">
        <v>0</v>
      </c>
      <c r="H44" s="1">
        <v>99</v>
      </c>
      <c r="I44" s="5">
        <v>78</v>
      </c>
    </row>
    <row r="45" spans="1:9" ht="14.25" customHeight="1" x14ac:dyDescent="0.25">
      <c r="A45">
        <v>2023</v>
      </c>
      <c r="B45" s="4" t="s">
        <v>14</v>
      </c>
      <c r="C45" s="1">
        <v>1</v>
      </c>
      <c r="D45" s="1" t="s">
        <v>31</v>
      </c>
      <c r="E45" s="1" t="s">
        <v>12</v>
      </c>
      <c r="F45" s="1">
        <v>2</v>
      </c>
      <c r="G45" s="5">
        <v>0</v>
      </c>
      <c r="H45" s="1">
        <v>96</v>
      </c>
      <c r="I45" s="1">
        <v>84</v>
      </c>
    </row>
    <row r="46" spans="1:9" ht="14.25" customHeight="1" x14ac:dyDescent="0.25">
      <c r="A46">
        <v>2023</v>
      </c>
      <c r="B46" s="4" t="s">
        <v>14</v>
      </c>
      <c r="C46" s="1">
        <v>1</v>
      </c>
      <c r="D46" s="1" t="s">
        <v>31</v>
      </c>
      <c r="E46" s="1" t="s">
        <v>12</v>
      </c>
      <c r="F46" s="1">
        <v>3</v>
      </c>
      <c r="G46" s="5">
        <v>0</v>
      </c>
      <c r="H46" s="1">
        <v>105</v>
      </c>
      <c r="I46" s="1">
        <v>72</v>
      </c>
    </row>
    <row r="47" spans="1:9" ht="14.25" customHeight="1" x14ac:dyDescent="0.25">
      <c r="A47">
        <v>2023</v>
      </c>
      <c r="B47" s="4" t="s">
        <v>14</v>
      </c>
      <c r="C47" s="1">
        <v>1</v>
      </c>
      <c r="D47" s="1" t="s">
        <v>32</v>
      </c>
      <c r="E47" s="1" t="s">
        <v>12</v>
      </c>
      <c r="F47" s="1">
        <v>1</v>
      </c>
      <c r="G47" s="1">
        <v>134</v>
      </c>
      <c r="H47" s="1">
        <v>116</v>
      </c>
      <c r="I47" s="1">
        <v>24</v>
      </c>
    </row>
    <row r="48" spans="1:9" ht="14.25" customHeight="1" x14ac:dyDescent="0.25">
      <c r="A48">
        <v>2023</v>
      </c>
      <c r="B48" s="4" t="s">
        <v>14</v>
      </c>
      <c r="C48" s="1">
        <v>1</v>
      </c>
      <c r="D48" s="1" t="s">
        <v>32</v>
      </c>
      <c r="E48" s="1" t="s">
        <v>12</v>
      </c>
      <c r="F48" s="1">
        <v>2</v>
      </c>
      <c r="G48" s="1">
        <v>137</v>
      </c>
      <c r="H48" s="1">
        <v>117</v>
      </c>
      <c r="I48" s="1">
        <v>48</v>
      </c>
    </row>
    <row r="49" spans="1:9" ht="14.25" customHeight="1" x14ac:dyDescent="0.25">
      <c r="A49">
        <v>2023</v>
      </c>
      <c r="B49" s="4" t="s">
        <v>14</v>
      </c>
      <c r="C49" s="1">
        <v>1</v>
      </c>
      <c r="D49" s="1" t="s">
        <v>32</v>
      </c>
      <c r="E49" s="1" t="s">
        <v>12</v>
      </c>
      <c r="F49" s="1">
        <v>3</v>
      </c>
      <c r="G49" s="1">
        <v>139</v>
      </c>
      <c r="H49" s="1">
        <v>118</v>
      </c>
      <c r="I49" s="1">
        <v>72</v>
      </c>
    </row>
    <row r="50" spans="1:9" ht="14.25" customHeight="1" x14ac:dyDescent="0.25">
      <c r="A50">
        <v>2023</v>
      </c>
      <c r="B50" s="4" t="s">
        <v>14</v>
      </c>
      <c r="C50" s="1">
        <v>1</v>
      </c>
      <c r="D50" s="1" t="s">
        <v>33</v>
      </c>
      <c r="E50" s="1" t="s">
        <v>12</v>
      </c>
      <c r="F50" s="1">
        <v>1</v>
      </c>
      <c r="G50" s="1">
        <v>143</v>
      </c>
      <c r="H50" s="1">
        <v>124</v>
      </c>
      <c r="I50" s="1">
        <v>72</v>
      </c>
    </row>
    <row r="51" spans="1:9" ht="14.25" customHeight="1" x14ac:dyDescent="0.25">
      <c r="A51">
        <v>2023</v>
      </c>
      <c r="B51" s="4" t="s">
        <v>14</v>
      </c>
      <c r="C51" s="1">
        <v>1</v>
      </c>
      <c r="D51" s="1" t="s">
        <v>33</v>
      </c>
      <c r="E51" s="1" t="s">
        <v>12</v>
      </c>
      <c r="F51" s="1">
        <v>2</v>
      </c>
      <c r="G51" s="1">
        <v>116</v>
      </c>
      <c r="H51" s="1">
        <v>115</v>
      </c>
      <c r="I51" s="1">
        <v>36</v>
      </c>
    </row>
    <row r="52" spans="1:9" ht="14.25" customHeight="1" x14ac:dyDescent="0.25">
      <c r="A52">
        <v>2023</v>
      </c>
      <c r="B52" s="4" t="s">
        <v>14</v>
      </c>
      <c r="C52" s="1">
        <v>1</v>
      </c>
      <c r="D52" s="1" t="s">
        <v>33</v>
      </c>
      <c r="E52" s="1" t="s">
        <v>12</v>
      </c>
      <c r="F52" s="1">
        <v>3</v>
      </c>
      <c r="G52" s="1">
        <v>153</v>
      </c>
      <c r="H52" s="1">
        <v>113</v>
      </c>
      <c r="I52" s="1">
        <v>36</v>
      </c>
    </row>
    <row r="53" spans="1:9" ht="14.25" customHeight="1" x14ac:dyDescent="0.25">
      <c r="A53">
        <v>2023</v>
      </c>
      <c r="B53" s="4" t="s">
        <v>34</v>
      </c>
      <c r="C53" s="1">
        <v>1</v>
      </c>
      <c r="D53" s="1" t="s">
        <v>35</v>
      </c>
      <c r="E53" s="1" t="s">
        <v>12</v>
      </c>
      <c r="F53" s="1">
        <v>1</v>
      </c>
      <c r="G53" s="1">
        <v>159</v>
      </c>
      <c r="H53" s="1">
        <v>86</v>
      </c>
      <c r="I53" s="1">
        <v>108</v>
      </c>
    </row>
    <row r="54" spans="1:9" ht="14.25" customHeight="1" x14ac:dyDescent="0.25">
      <c r="A54">
        <v>2023</v>
      </c>
      <c r="B54" s="4" t="s">
        <v>34</v>
      </c>
      <c r="C54" s="1">
        <v>1</v>
      </c>
      <c r="D54" s="1" t="s">
        <v>35</v>
      </c>
      <c r="E54" s="1" t="s">
        <v>12</v>
      </c>
      <c r="F54" s="1">
        <v>2</v>
      </c>
      <c r="G54" s="1">
        <v>163</v>
      </c>
      <c r="H54" s="1">
        <v>101</v>
      </c>
      <c r="I54" s="1">
        <v>60</v>
      </c>
    </row>
    <row r="55" spans="1:9" ht="14.25" customHeight="1" x14ac:dyDescent="0.25">
      <c r="A55">
        <v>2023</v>
      </c>
      <c r="B55" s="4" t="s">
        <v>34</v>
      </c>
      <c r="C55" s="1">
        <v>1</v>
      </c>
      <c r="D55" s="1" t="s">
        <v>35</v>
      </c>
      <c r="E55" s="1" t="s">
        <v>12</v>
      </c>
      <c r="F55" s="1">
        <v>3</v>
      </c>
      <c r="G55" s="1">
        <v>159</v>
      </c>
      <c r="H55" s="1">
        <v>106</v>
      </c>
      <c r="I55" s="1">
        <v>72</v>
      </c>
    </row>
    <row r="56" spans="1:9" ht="14.25" customHeight="1" x14ac:dyDescent="0.25">
      <c r="A56">
        <v>2023</v>
      </c>
      <c r="B56" s="4" t="s">
        <v>14</v>
      </c>
      <c r="C56" s="4">
        <v>1</v>
      </c>
      <c r="D56" s="1" t="s">
        <v>36</v>
      </c>
      <c r="E56" s="1" t="s">
        <v>12</v>
      </c>
      <c r="F56" s="1">
        <v>1</v>
      </c>
      <c r="G56" s="5">
        <v>0</v>
      </c>
      <c r="H56" s="1">
        <v>102</v>
      </c>
      <c r="I56" s="1">
        <v>60</v>
      </c>
    </row>
    <row r="57" spans="1:9" ht="14.25" customHeight="1" x14ac:dyDescent="0.25">
      <c r="A57">
        <v>2023</v>
      </c>
      <c r="B57" s="4" t="s">
        <v>14</v>
      </c>
      <c r="C57" s="4">
        <v>1</v>
      </c>
      <c r="D57" s="1" t="s">
        <v>36</v>
      </c>
      <c r="E57" s="1" t="s">
        <v>12</v>
      </c>
      <c r="F57" s="1">
        <v>2</v>
      </c>
      <c r="G57" s="5">
        <v>0</v>
      </c>
      <c r="H57" s="1">
        <v>101</v>
      </c>
      <c r="I57" s="1">
        <v>84</v>
      </c>
    </row>
    <row r="58" spans="1:9" ht="14.25" customHeight="1" x14ac:dyDescent="0.25">
      <c r="A58">
        <v>2023</v>
      </c>
      <c r="B58" s="4" t="s">
        <v>14</v>
      </c>
      <c r="C58" s="4">
        <v>1</v>
      </c>
      <c r="D58" s="1" t="s">
        <v>36</v>
      </c>
      <c r="E58" s="1" t="s">
        <v>12</v>
      </c>
      <c r="F58" s="1">
        <v>3</v>
      </c>
      <c r="G58" s="5">
        <v>0</v>
      </c>
      <c r="H58" s="1">
        <v>100</v>
      </c>
      <c r="I58" s="1">
        <v>84</v>
      </c>
    </row>
    <row r="59" spans="1:9" ht="14.25" customHeight="1" x14ac:dyDescent="0.25">
      <c r="A59">
        <v>2023</v>
      </c>
      <c r="B59" s="4" t="s">
        <v>14</v>
      </c>
      <c r="C59" s="4">
        <v>1</v>
      </c>
      <c r="D59" s="1" t="s">
        <v>37</v>
      </c>
      <c r="E59" s="1" t="s">
        <v>12</v>
      </c>
      <c r="F59" s="1">
        <v>1</v>
      </c>
      <c r="G59" s="5">
        <v>0</v>
      </c>
      <c r="H59" s="1">
        <v>92</v>
      </c>
      <c r="I59" s="1">
        <v>120</v>
      </c>
    </row>
    <row r="60" spans="1:9" ht="14.25" customHeight="1" x14ac:dyDescent="0.25">
      <c r="A60">
        <v>2023</v>
      </c>
      <c r="B60" s="4" t="s">
        <v>14</v>
      </c>
      <c r="C60" s="4">
        <v>1</v>
      </c>
      <c r="D60" s="1" t="s">
        <v>37</v>
      </c>
      <c r="E60" s="1" t="s">
        <v>12</v>
      </c>
      <c r="F60" s="1">
        <v>2</v>
      </c>
      <c r="G60" s="5">
        <v>0</v>
      </c>
      <c r="H60" s="1">
        <v>86</v>
      </c>
      <c r="I60" s="1">
        <v>108</v>
      </c>
    </row>
    <row r="61" spans="1:9" ht="14.25" customHeight="1" x14ac:dyDescent="0.25">
      <c r="A61">
        <v>2023</v>
      </c>
      <c r="B61" s="4" t="s">
        <v>14</v>
      </c>
      <c r="C61" s="4">
        <v>1</v>
      </c>
      <c r="D61" s="1" t="s">
        <v>37</v>
      </c>
      <c r="E61" s="1" t="s">
        <v>12</v>
      </c>
      <c r="F61" s="1">
        <v>3</v>
      </c>
      <c r="G61" s="5">
        <v>0</v>
      </c>
      <c r="H61" s="1">
        <v>83</v>
      </c>
      <c r="I61" s="1">
        <v>96</v>
      </c>
    </row>
    <row r="62" spans="1:9" ht="14.25" customHeight="1" x14ac:dyDescent="0.25">
      <c r="A62">
        <v>2023</v>
      </c>
      <c r="B62" s="4" t="s">
        <v>14</v>
      </c>
      <c r="C62" s="4">
        <v>1</v>
      </c>
      <c r="D62" s="1" t="s">
        <v>38</v>
      </c>
      <c r="E62" s="1" t="s">
        <v>12</v>
      </c>
      <c r="F62" s="1">
        <v>1</v>
      </c>
      <c r="G62" s="1">
        <v>153</v>
      </c>
      <c r="H62" s="1">
        <v>123</v>
      </c>
      <c r="I62" s="1">
        <v>72</v>
      </c>
    </row>
    <row r="63" spans="1:9" ht="14.25" customHeight="1" x14ac:dyDescent="0.25">
      <c r="A63">
        <v>2023</v>
      </c>
      <c r="B63" s="4" t="s">
        <v>14</v>
      </c>
      <c r="C63" s="4">
        <v>1</v>
      </c>
      <c r="D63" s="1" t="s">
        <v>38</v>
      </c>
      <c r="E63" s="1" t="s">
        <v>12</v>
      </c>
      <c r="F63" s="1">
        <v>2</v>
      </c>
      <c r="G63" s="1">
        <v>138</v>
      </c>
      <c r="H63" s="1">
        <v>121</v>
      </c>
      <c r="I63" s="1">
        <v>72</v>
      </c>
    </row>
    <row r="64" spans="1:9" ht="14.25" customHeight="1" x14ac:dyDescent="0.25">
      <c r="A64">
        <v>2023</v>
      </c>
      <c r="B64" s="4" t="s">
        <v>14</v>
      </c>
      <c r="C64" s="4">
        <v>1</v>
      </c>
      <c r="D64" s="1" t="s">
        <v>38</v>
      </c>
      <c r="E64" s="1" t="s">
        <v>12</v>
      </c>
      <c r="F64" s="1">
        <v>3</v>
      </c>
      <c r="G64" s="1">
        <v>141</v>
      </c>
      <c r="H64" s="1">
        <v>121</v>
      </c>
      <c r="I64" s="1">
        <v>36</v>
      </c>
    </row>
    <row r="65" spans="1:9" ht="14.25" customHeight="1" x14ac:dyDescent="0.25">
      <c r="A65">
        <v>2023</v>
      </c>
      <c r="B65" s="4" t="s">
        <v>14</v>
      </c>
      <c r="C65" s="4">
        <v>1</v>
      </c>
      <c r="D65" s="1" t="s">
        <v>39</v>
      </c>
      <c r="E65" s="1" t="s">
        <v>12</v>
      </c>
      <c r="F65" s="1">
        <v>1</v>
      </c>
      <c r="G65" s="1">
        <v>151</v>
      </c>
      <c r="H65" s="1">
        <v>115</v>
      </c>
      <c r="I65" s="1">
        <v>96</v>
      </c>
    </row>
    <row r="66" spans="1:9" ht="14.25" customHeight="1" x14ac:dyDescent="0.25">
      <c r="A66">
        <v>2023</v>
      </c>
      <c r="B66" s="4" t="s">
        <v>14</v>
      </c>
      <c r="C66" s="4">
        <v>1</v>
      </c>
      <c r="D66" s="1" t="s">
        <v>39</v>
      </c>
      <c r="E66" s="1" t="s">
        <v>12</v>
      </c>
      <c r="F66" s="1">
        <v>2</v>
      </c>
      <c r="G66" s="1">
        <v>153</v>
      </c>
      <c r="H66" s="1">
        <v>117</v>
      </c>
      <c r="I66" s="1">
        <v>60</v>
      </c>
    </row>
    <row r="67" spans="1:9" ht="14.25" customHeight="1" x14ac:dyDescent="0.25">
      <c r="A67">
        <v>2023</v>
      </c>
      <c r="B67" s="4" t="s">
        <v>14</v>
      </c>
      <c r="C67" s="4">
        <v>1</v>
      </c>
      <c r="D67" s="1" t="s">
        <v>39</v>
      </c>
      <c r="E67" s="1" t="s">
        <v>12</v>
      </c>
      <c r="F67" s="1">
        <v>3</v>
      </c>
      <c r="G67" s="1">
        <v>154</v>
      </c>
      <c r="H67" s="1">
        <v>100</v>
      </c>
      <c r="I67" s="1">
        <v>72</v>
      </c>
    </row>
    <row r="68" spans="1:9" ht="14.25" customHeight="1" x14ac:dyDescent="0.25">
      <c r="A68">
        <v>2023</v>
      </c>
      <c r="B68" s="4" t="s">
        <v>14</v>
      </c>
      <c r="C68" s="4">
        <v>1</v>
      </c>
      <c r="D68" s="1" t="s">
        <v>40</v>
      </c>
      <c r="E68" s="1" t="s">
        <v>12</v>
      </c>
      <c r="F68" s="1">
        <v>1</v>
      </c>
      <c r="G68" s="1">
        <v>136</v>
      </c>
      <c r="H68" s="1">
        <v>121</v>
      </c>
      <c r="I68" s="1">
        <v>36</v>
      </c>
    </row>
    <row r="69" spans="1:9" ht="14.25" customHeight="1" x14ac:dyDescent="0.25">
      <c r="A69">
        <v>2023</v>
      </c>
      <c r="B69" s="4" t="s">
        <v>14</v>
      </c>
      <c r="C69" s="4">
        <v>1</v>
      </c>
      <c r="D69" s="1" t="s">
        <v>40</v>
      </c>
      <c r="E69" s="1" t="s">
        <v>12</v>
      </c>
      <c r="F69" s="1">
        <v>2</v>
      </c>
      <c r="G69" s="1">
        <v>139</v>
      </c>
      <c r="H69" s="1">
        <v>115</v>
      </c>
      <c r="I69" s="1">
        <v>84</v>
      </c>
    </row>
    <row r="70" spans="1:9" ht="14.25" customHeight="1" x14ac:dyDescent="0.25">
      <c r="A70">
        <v>2023</v>
      </c>
      <c r="B70" s="4" t="s">
        <v>14</v>
      </c>
      <c r="C70" s="4">
        <v>1</v>
      </c>
      <c r="D70" s="1" t="s">
        <v>40</v>
      </c>
      <c r="E70" s="1" t="s">
        <v>12</v>
      </c>
      <c r="F70" s="1">
        <v>3</v>
      </c>
      <c r="G70" s="1">
        <v>139</v>
      </c>
      <c r="H70" s="1">
        <v>118</v>
      </c>
      <c r="I70" s="1">
        <v>48</v>
      </c>
    </row>
    <row r="71" spans="1:9" ht="14.25" customHeight="1" x14ac:dyDescent="0.25">
      <c r="A71">
        <v>2023</v>
      </c>
      <c r="B71" s="4" t="s">
        <v>14</v>
      </c>
      <c r="C71" s="4">
        <v>1</v>
      </c>
      <c r="D71" s="1" t="s">
        <v>41</v>
      </c>
      <c r="E71" s="1" t="s">
        <v>12</v>
      </c>
      <c r="F71" s="1">
        <v>1</v>
      </c>
      <c r="G71" s="1">
        <v>139</v>
      </c>
      <c r="H71" s="1">
        <v>100</v>
      </c>
      <c r="I71" s="1">
        <v>36</v>
      </c>
    </row>
    <row r="72" spans="1:9" ht="14.25" customHeight="1" x14ac:dyDescent="0.25">
      <c r="A72">
        <v>2023</v>
      </c>
      <c r="B72" s="4" t="s">
        <v>14</v>
      </c>
      <c r="C72" s="4">
        <v>1</v>
      </c>
      <c r="D72" s="1" t="s">
        <v>41</v>
      </c>
      <c r="E72" s="1" t="s">
        <v>12</v>
      </c>
      <c r="F72" s="1">
        <v>2</v>
      </c>
      <c r="G72" s="1">
        <v>135</v>
      </c>
      <c r="H72" s="1">
        <v>104</v>
      </c>
      <c r="I72" s="1">
        <v>48</v>
      </c>
    </row>
    <row r="73" spans="1:9" ht="14.25" customHeight="1" x14ac:dyDescent="0.25">
      <c r="A73">
        <v>2023</v>
      </c>
      <c r="B73" s="4" t="s">
        <v>14</v>
      </c>
      <c r="C73" s="4">
        <v>1</v>
      </c>
      <c r="D73" s="1" t="s">
        <v>41</v>
      </c>
      <c r="E73" s="1" t="s">
        <v>12</v>
      </c>
      <c r="F73" s="1">
        <v>3</v>
      </c>
      <c r="G73" s="1">
        <v>139</v>
      </c>
      <c r="H73" s="1">
        <v>94</v>
      </c>
      <c r="I73" s="1">
        <v>48</v>
      </c>
    </row>
    <row r="74" spans="1:9" ht="14.25" customHeight="1" x14ac:dyDescent="0.25">
      <c r="A74">
        <v>2023</v>
      </c>
      <c r="B74" s="4" t="s">
        <v>14</v>
      </c>
      <c r="C74" s="4">
        <v>1</v>
      </c>
      <c r="D74" s="1" t="s">
        <v>42</v>
      </c>
      <c r="E74" s="1" t="s">
        <v>12</v>
      </c>
      <c r="F74" s="1">
        <v>1</v>
      </c>
      <c r="G74" s="1">
        <v>140</v>
      </c>
      <c r="H74" s="1">
        <v>104</v>
      </c>
      <c r="I74" s="1">
        <v>96</v>
      </c>
    </row>
    <row r="75" spans="1:9" ht="14.25" customHeight="1" x14ac:dyDescent="0.25">
      <c r="A75">
        <v>2023</v>
      </c>
      <c r="B75" s="4" t="s">
        <v>14</v>
      </c>
      <c r="C75" s="4">
        <v>1</v>
      </c>
      <c r="D75" s="1" t="s">
        <v>42</v>
      </c>
      <c r="E75" s="1" t="s">
        <v>12</v>
      </c>
      <c r="F75" s="1">
        <v>2</v>
      </c>
      <c r="G75" s="1">
        <v>152</v>
      </c>
      <c r="H75" s="1">
        <v>118</v>
      </c>
      <c r="I75" s="1">
        <v>84</v>
      </c>
    </row>
    <row r="76" spans="1:9" ht="14.25" customHeight="1" x14ac:dyDescent="0.25">
      <c r="A76">
        <v>2023</v>
      </c>
      <c r="B76" s="4" t="s">
        <v>14</v>
      </c>
      <c r="C76" s="4">
        <v>1</v>
      </c>
      <c r="D76" s="1" t="s">
        <v>42</v>
      </c>
      <c r="E76" s="1" t="s">
        <v>12</v>
      </c>
      <c r="F76" s="1">
        <v>3</v>
      </c>
      <c r="G76" s="1">
        <v>139</v>
      </c>
      <c r="H76" s="1">
        <v>123</v>
      </c>
      <c r="I76" s="1">
        <v>84</v>
      </c>
    </row>
    <row r="77" spans="1:9" ht="14.25" customHeight="1" x14ac:dyDescent="0.25">
      <c r="A77">
        <v>2023</v>
      </c>
      <c r="B77" s="4" t="s">
        <v>14</v>
      </c>
      <c r="C77" s="4">
        <v>1</v>
      </c>
      <c r="D77" s="1" t="s">
        <v>43</v>
      </c>
      <c r="E77" s="1" t="s">
        <v>12</v>
      </c>
      <c r="F77" s="1">
        <v>1</v>
      </c>
      <c r="G77" s="1">
        <v>139</v>
      </c>
      <c r="H77" s="1">
        <v>98</v>
      </c>
      <c r="I77" s="1">
        <v>60</v>
      </c>
    </row>
    <row r="78" spans="1:9" ht="14.25" customHeight="1" x14ac:dyDescent="0.25">
      <c r="A78">
        <v>2023</v>
      </c>
      <c r="B78" s="4" t="s">
        <v>14</v>
      </c>
      <c r="C78" s="4">
        <v>1</v>
      </c>
      <c r="D78" s="1" t="s">
        <v>43</v>
      </c>
      <c r="E78" s="1" t="s">
        <v>12</v>
      </c>
      <c r="F78" s="1">
        <v>2</v>
      </c>
      <c r="G78" s="1">
        <v>140</v>
      </c>
      <c r="H78" s="1">
        <v>97</v>
      </c>
      <c r="I78" s="1">
        <v>60</v>
      </c>
    </row>
    <row r="79" spans="1:9" ht="14.25" customHeight="1" x14ac:dyDescent="0.25">
      <c r="A79">
        <v>2023</v>
      </c>
      <c r="B79" s="4" t="s">
        <v>14</v>
      </c>
      <c r="C79" s="4">
        <v>1</v>
      </c>
      <c r="D79" s="1" t="s">
        <v>43</v>
      </c>
      <c r="E79" s="1" t="s">
        <v>12</v>
      </c>
      <c r="F79" s="1">
        <v>3</v>
      </c>
      <c r="G79" s="1">
        <v>128</v>
      </c>
      <c r="H79" s="1">
        <v>95</v>
      </c>
      <c r="I79" s="1">
        <v>48</v>
      </c>
    </row>
    <row r="80" spans="1:9" ht="14.25" customHeight="1" x14ac:dyDescent="0.25">
      <c r="A80">
        <v>2023</v>
      </c>
      <c r="B80" s="4" t="s">
        <v>14</v>
      </c>
      <c r="C80" s="1">
        <v>1</v>
      </c>
      <c r="D80" s="1" t="s">
        <v>44</v>
      </c>
      <c r="E80" s="1" t="s">
        <v>12</v>
      </c>
      <c r="F80" s="1">
        <v>1</v>
      </c>
      <c r="G80" s="1">
        <v>141</v>
      </c>
      <c r="H80" s="1">
        <v>124</v>
      </c>
      <c r="I80" s="1">
        <v>36</v>
      </c>
    </row>
    <row r="81" spans="1:9" ht="14.25" customHeight="1" x14ac:dyDescent="0.25">
      <c r="A81">
        <v>2023</v>
      </c>
      <c r="B81" s="4" t="s">
        <v>14</v>
      </c>
      <c r="C81" s="1">
        <v>1</v>
      </c>
      <c r="D81" s="1" t="s">
        <v>44</v>
      </c>
      <c r="E81" s="1" t="s">
        <v>12</v>
      </c>
      <c r="F81" s="1">
        <v>2</v>
      </c>
      <c r="G81" s="1">
        <v>154</v>
      </c>
      <c r="H81" s="1">
        <v>124</v>
      </c>
      <c r="I81" s="1">
        <v>36</v>
      </c>
    </row>
    <row r="82" spans="1:9" ht="14.25" customHeight="1" x14ac:dyDescent="0.25">
      <c r="A82">
        <v>2023</v>
      </c>
      <c r="B82" s="4" t="s">
        <v>14</v>
      </c>
      <c r="C82" s="1">
        <v>1</v>
      </c>
      <c r="D82" s="1" t="s">
        <v>44</v>
      </c>
      <c r="E82" s="1" t="s">
        <v>12</v>
      </c>
      <c r="F82" s="1">
        <v>3</v>
      </c>
      <c r="G82" s="1">
        <v>154</v>
      </c>
      <c r="H82" s="1">
        <v>127</v>
      </c>
      <c r="I82" s="1">
        <v>36</v>
      </c>
    </row>
    <row r="83" spans="1:9" ht="14.25" customHeight="1" x14ac:dyDescent="0.25">
      <c r="A83">
        <v>2023</v>
      </c>
      <c r="B83" s="4" t="s">
        <v>14</v>
      </c>
      <c r="C83" s="1">
        <v>1</v>
      </c>
      <c r="D83" s="1" t="s">
        <v>45</v>
      </c>
      <c r="E83" s="1" t="s">
        <v>12</v>
      </c>
      <c r="F83" s="1">
        <v>1</v>
      </c>
      <c r="G83" s="1">
        <v>135</v>
      </c>
      <c r="H83" s="1">
        <v>87</v>
      </c>
      <c r="I83" s="1">
        <v>60</v>
      </c>
    </row>
    <row r="84" spans="1:9" ht="14.25" customHeight="1" x14ac:dyDescent="0.25">
      <c r="A84">
        <v>2023</v>
      </c>
      <c r="B84" s="4" t="s">
        <v>14</v>
      </c>
      <c r="C84" s="1">
        <v>1</v>
      </c>
      <c r="D84" s="1" t="s">
        <v>45</v>
      </c>
      <c r="E84" s="1" t="s">
        <v>12</v>
      </c>
      <c r="F84" s="1">
        <v>2</v>
      </c>
      <c r="G84" s="1">
        <v>140</v>
      </c>
      <c r="H84" s="1">
        <v>99</v>
      </c>
      <c r="I84" s="1">
        <v>84</v>
      </c>
    </row>
    <row r="85" spans="1:9" ht="14.25" customHeight="1" x14ac:dyDescent="0.25">
      <c r="A85">
        <v>2023</v>
      </c>
      <c r="B85" s="4" t="s">
        <v>14</v>
      </c>
      <c r="C85" s="1">
        <v>1</v>
      </c>
      <c r="D85" s="1" t="s">
        <v>45</v>
      </c>
      <c r="E85" s="1" t="s">
        <v>12</v>
      </c>
      <c r="F85" s="1">
        <v>3</v>
      </c>
      <c r="G85" s="1">
        <v>143</v>
      </c>
      <c r="H85" s="1">
        <v>103</v>
      </c>
      <c r="I85" s="1">
        <v>36</v>
      </c>
    </row>
    <row r="86" spans="1:9" ht="14.25" customHeight="1" x14ac:dyDescent="0.25">
      <c r="A86">
        <v>2023</v>
      </c>
      <c r="B86" s="4" t="s">
        <v>14</v>
      </c>
      <c r="C86" s="1">
        <v>2</v>
      </c>
      <c r="D86" s="1" t="s">
        <v>46</v>
      </c>
      <c r="E86" s="1" t="s">
        <v>12</v>
      </c>
      <c r="F86" s="1">
        <v>1</v>
      </c>
      <c r="G86" s="1">
        <v>79</v>
      </c>
      <c r="H86" s="1">
        <v>106</v>
      </c>
      <c r="I86" s="1">
        <v>36</v>
      </c>
    </row>
    <row r="87" spans="1:9" ht="14.25" customHeight="1" x14ac:dyDescent="0.25">
      <c r="A87">
        <v>2023</v>
      </c>
      <c r="B87" s="4" t="s">
        <v>14</v>
      </c>
      <c r="C87" s="1">
        <v>2</v>
      </c>
      <c r="D87" s="1" t="s">
        <v>46</v>
      </c>
      <c r="E87" s="1" t="s">
        <v>12</v>
      </c>
      <c r="F87" s="1">
        <v>2</v>
      </c>
      <c r="G87" s="1">
        <v>79</v>
      </c>
      <c r="H87" s="1">
        <v>110</v>
      </c>
      <c r="I87" s="1">
        <v>72</v>
      </c>
    </row>
    <row r="88" spans="1:9" ht="14.25" customHeight="1" x14ac:dyDescent="0.25">
      <c r="A88">
        <v>2023</v>
      </c>
      <c r="B88" s="4" t="s">
        <v>14</v>
      </c>
      <c r="C88" s="1">
        <v>2</v>
      </c>
      <c r="D88" s="1" t="s">
        <v>46</v>
      </c>
      <c r="E88" s="1" t="s">
        <v>12</v>
      </c>
      <c r="F88" s="1">
        <v>3</v>
      </c>
      <c r="G88" s="1">
        <v>80</v>
      </c>
      <c r="H88" s="1">
        <v>118</v>
      </c>
      <c r="I88" s="5">
        <v>48</v>
      </c>
    </row>
    <row r="89" spans="1:9" ht="14.25" customHeight="1" x14ac:dyDescent="0.25">
      <c r="A89">
        <v>2023</v>
      </c>
      <c r="B89" s="4" t="s">
        <v>14</v>
      </c>
      <c r="C89" s="1">
        <v>1</v>
      </c>
      <c r="D89" s="1" t="s">
        <v>47</v>
      </c>
      <c r="E89" s="1" t="s">
        <v>12</v>
      </c>
      <c r="F89" s="1">
        <v>1</v>
      </c>
      <c r="G89" s="1">
        <v>159</v>
      </c>
      <c r="H89" s="1">
        <v>107</v>
      </c>
      <c r="I89" s="1">
        <v>60</v>
      </c>
    </row>
    <row r="90" spans="1:9" ht="14.25" customHeight="1" x14ac:dyDescent="0.25">
      <c r="A90">
        <v>2023</v>
      </c>
      <c r="B90" s="4" t="s">
        <v>14</v>
      </c>
      <c r="C90" s="1">
        <v>1</v>
      </c>
      <c r="D90" s="1" t="s">
        <v>47</v>
      </c>
      <c r="E90" s="1" t="s">
        <v>12</v>
      </c>
      <c r="F90" s="1">
        <v>2</v>
      </c>
      <c r="G90" s="1">
        <v>159</v>
      </c>
      <c r="H90" s="1">
        <v>114</v>
      </c>
      <c r="I90" s="1">
        <v>48</v>
      </c>
    </row>
    <row r="91" spans="1:9" ht="14.25" customHeight="1" x14ac:dyDescent="0.25">
      <c r="A91">
        <v>2023</v>
      </c>
      <c r="B91" s="4" t="s">
        <v>14</v>
      </c>
      <c r="C91" s="1">
        <v>1</v>
      </c>
      <c r="D91" s="1" t="s">
        <v>47</v>
      </c>
      <c r="E91" s="1" t="s">
        <v>12</v>
      </c>
      <c r="F91" s="1">
        <v>3</v>
      </c>
      <c r="G91" s="1">
        <v>159</v>
      </c>
      <c r="H91" s="1">
        <v>129</v>
      </c>
      <c r="I91" s="1">
        <v>84</v>
      </c>
    </row>
    <row r="92" spans="1:9" ht="14.25" customHeight="1" x14ac:dyDescent="0.25">
      <c r="A92">
        <v>2023</v>
      </c>
      <c r="B92" s="4" t="s">
        <v>14</v>
      </c>
      <c r="C92" s="1">
        <v>1</v>
      </c>
      <c r="D92" s="1" t="s">
        <v>48</v>
      </c>
      <c r="E92" s="1" t="s">
        <v>12</v>
      </c>
      <c r="F92" s="1">
        <v>1</v>
      </c>
      <c r="G92" s="1">
        <v>128</v>
      </c>
      <c r="H92" s="1">
        <v>130</v>
      </c>
      <c r="I92" s="1">
        <v>108</v>
      </c>
    </row>
    <row r="93" spans="1:9" ht="14.25" customHeight="1" x14ac:dyDescent="0.25">
      <c r="A93">
        <v>2023</v>
      </c>
      <c r="B93" s="4" t="s">
        <v>14</v>
      </c>
      <c r="C93" s="1">
        <v>1</v>
      </c>
      <c r="D93" s="1" t="s">
        <v>48</v>
      </c>
      <c r="E93" s="1" t="s">
        <v>12</v>
      </c>
      <c r="F93" s="1">
        <v>2</v>
      </c>
      <c r="G93" s="1">
        <v>137</v>
      </c>
      <c r="H93" s="1">
        <v>121</v>
      </c>
      <c r="I93" s="1">
        <v>72</v>
      </c>
    </row>
    <row r="94" spans="1:9" ht="14.25" customHeight="1" x14ac:dyDescent="0.25">
      <c r="A94">
        <v>2023</v>
      </c>
      <c r="B94" s="4" t="s">
        <v>14</v>
      </c>
      <c r="C94" s="1">
        <v>1</v>
      </c>
      <c r="D94" s="1" t="s">
        <v>48</v>
      </c>
      <c r="E94" s="1" t="s">
        <v>12</v>
      </c>
      <c r="F94" s="1">
        <v>3</v>
      </c>
      <c r="G94" s="1">
        <v>138</v>
      </c>
      <c r="H94" s="1">
        <v>132</v>
      </c>
      <c r="I94" s="1">
        <v>84</v>
      </c>
    </row>
    <row r="95" spans="1:9" ht="14.25" customHeight="1" x14ac:dyDescent="0.25">
      <c r="A95">
        <v>2023</v>
      </c>
      <c r="B95" s="4" t="s">
        <v>49</v>
      </c>
      <c r="C95" s="1">
        <v>4</v>
      </c>
      <c r="D95" s="1" t="s">
        <v>50</v>
      </c>
      <c r="E95" s="1" t="s">
        <v>12</v>
      </c>
      <c r="F95" s="1">
        <v>1</v>
      </c>
      <c r="G95" s="1">
        <v>102</v>
      </c>
      <c r="H95" s="1">
        <v>118</v>
      </c>
      <c r="I95" s="1">
        <v>36</v>
      </c>
    </row>
    <row r="96" spans="1:9" ht="14.25" customHeight="1" x14ac:dyDescent="0.25">
      <c r="A96">
        <v>2023</v>
      </c>
      <c r="B96" s="4" t="s">
        <v>49</v>
      </c>
      <c r="C96" s="1">
        <v>4</v>
      </c>
      <c r="D96" s="1" t="s">
        <v>50</v>
      </c>
      <c r="E96" s="1" t="s">
        <v>12</v>
      </c>
      <c r="F96" s="1">
        <v>2</v>
      </c>
      <c r="G96" s="1">
        <v>105</v>
      </c>
      <c r="H96" s="1">
        <v>104</v>
      </c>
      <c r="I96" s="1">
        <v>36</v>
      </c>
    </row>
    <row r="97" spans="1:9" ht="14.25" customHeight="1" x14ac:dyDescent="0.25">
      <c r="A97">
        <v>2023</v>
      </c>
      <c r="B97" s="4" t="s">
        <v>49</v>
      </c>
      <c r="C97" s="1">
        <v>4</v>
      </c>
      <c r="D97" s="1" t="s">
        <v>50</v>
      </c>
      <c r="E97" s="1" t="s">
        <v>12</v>
      </c>
      <c r="F97" s="1">
        <v>3</v>
      </c>
      <c r="G97" s="1">
        <v>100</v>
      </c>
      <c r="H97" s="1">
        <v>109</v>
      </c>
      <c r="I97" s="1">
        <v>36</v>
      </c>
    </row>
    <row r="98" spans="1:9" ht="14.25" customHeight="1" x14ac:dyDescent="0.25">
      <c r="A98">
        <v>2023</v>
      </c>
      <c r="B98" s="4" t="s">
        <v>49</v>
      </c>
      <c r="C98" s="1">
        <v>5</v>
      </c>
      <c r="D98" s="1" t="s">
        <v>51</v>
      </c>
      <c r="E98" s="1" t="s">
        <v>12</v>
      </c>
      <c r="F98" s="1">
        <v>1</v>
      </c>
      <c r="G98" s="1">
        <v>108</v>
      </c>
      <c r="H98" s="1">
        <v>103</v>
      </c>
      <c r="I98" s="1">
        <v>12</v>
      </c>
    </row>
    <row r="99" spans="1:9" ht="14.25" customHeight="1" x14ac:dyDescent="0.25">
      <c r="A99">
        <v>2023</v>
      </c>
      <c r="B99" s="4" t="s">
        <v>49</v>
      </c>
      <c r="C99" s="1">
        <v>5</v>
      </c>
      <c r="D99" s="1" t="s">
        <v>51</v>
      </c>
      <c r="E99" s="1" t="s">
        <v>12</v>
      </c>
      <c r="F99" s="1">
        <v>2</v>
      </c>
      <c r="G99" s="1">
        <v>103</v>
      </c>
      <c r="H99" s="1">
        <v>103</v>
      </c>
      <c r="I99" s="1">
        <v>36</v>
      </c>
    </row>
    <row r="100" spans="1:9" ht="14.25" customHeight="1" x14ac:dyDescent="0.25">
      <c r="A100">
        <v>2023</v>
      </c>
      <c r="B100" s="4" t="s">
        <v>49</v>
      </c>
      <c r="C100" s="1">
        <v>5</v>
      </c>
      <c r="D100" s="1" t="s">
        <v>51</v>
      </c>
      <c r="E100" s="1" t="s">
        <v>12</v>
      </c>
      <c r="F100" s="1">
        <v>3</v>
      </c>
      <c r="G100" s="1">
        <v>108</v>
      </c>
      <c r="H100" s="5">
        <v>104</v>
      </c>
      <c r="I100" s="1">
        <v>0</v>
      </c>
    </row>
    <row r="101" spans="1:9" ht="14.25" customHeight="1" x14ac:dyDescent="0.25">
      <c r="A101">
        <v>2023</v>
      </c>
      <c r="B101" s="4" t="s">
        <v>52</v>
      </c>
      <c r="C101" s="1">
        <v>4</v>
      </c>
      <c r="D101" s="1" t="s">
        <v>53</v>
      </c>
      <c r="E101" s="1" t="s">
        <v>12</v>
      </c>
      <c r="F101" s="1">
        <v>1</v>
      </c>
      <c r="G101" s="1">
        <v>100</v>
      </c>
      <c r="H101" s="1">
        <v>108</v>
      </c>
      <c r="I101" s="1">
        <v>72</v>
      </c>
    </row>
    <row r="102" spans="1:9" ht="14.25" customHeight="1" x14ac:dyDescent="0.25">
      <c r="A102">
        <v>2023</v>
      </c>
      <c r="B102" s="4" t="s">
        <v>52</v>
      </c>
      <c r="C102" s="1">
        <v>4</v>
      </c>
      <c r="D102" s="1" t="s">
        <v>53</v>
      </c>
      <c r="E102" s="1" t="s">
        <v>12</v>
      </c>
      <c r="F102" s="1">
        <v>2</v>
      </c>
      <c r="G102" s="5">
        <v>100</v>
      </c>
      <c r="H102" s="1">
        <v>119</v>
      </c>
      <c r="I102" s="1">
        <v>72</v>
      </c>
    </row>
    <row r="103" spans="1:9" ht="14.25" customHeight="1" x14ac:dyDescent="0.25">
      <c r="A103">
        <v>2023</v>
      </c>
      <c r="B103" s="4" t="s">
        <v>52</v>
      </c>
      <c r="C103" s="1">
        <v>4</v>
      </c>
      <c r="D103" s="1" t="s">
        <v>53</v>
      </c>
      <c r="E103" s="1" t="s">
        <v>12</v>
      </c>
      <c r="F103" s="1">
        <v>3</v>
      </c>
      <c r="G103" s="1">
        <v>98</v>
      </c>
      <c r="H103" s="1">
        <v>110</v>
      </c>
      <c r="I103" s="1">
        <v>60</v>
      </c>
    </row>
    <row r="104" spans="1:9" ht="14.25" customHeight="1" x14ac:dyDescent="0.25">
      <c r="A104">
        <v>2023</v>
      </c>
      <c r="B104" s="4" t="s">
        <v>49</v>
      </c>
      <c r="C104" s="1">
        <v>4</v>
      </c>
      <c r="D104" s="1" t="s">
        <v>54</v>
      </c>
      <c r="E104" s="1" t="s">
        <v>12</v>
      </c>
      <c r="F104" s="1">
        <v>1</v>
      </c>
      <c r="G104" s="1">
        <v>118</v>
      </c>
      <c r="H104" s="1">
        <v>119</v>
      </c>
      <c r="I104" s="1">
        <v>48</v>
      </c>
    </row>
    <row r="105" spans="1:9" ht="14.25" customHeight="1" x14ac:dyDescent="0.25">
      <c r="A105">
        <v>2023</v>
      </c>
      <c r="B105" s="4" t="s">
        <v>49</v>
      </c>
      <c r="C105" s="1">
        <v>4</v>
      </c>
      <c r="D105" s="1" t="s">
        <v>54</v>
      </c>
      <c r="E105" s="1" t="s">
        <v>12</v>
      </c>
      <c r="F105" s="1">
        <v>2</v>
      </c>
      <c r="G105" s="1">
        <v>118</v>
      </c>
      <c r="H105" s="1">
        <v>122</v>
      </c>
      <c r="I105" s="1">
        <v>72</v>
      </c>
    </row>
    <row r="106" spans="1:9" ht="14.25" customHeight="1" x14ac:dyDescent="0.25">
      <c r="A106">
        <v>2023</v>
      </c>
      <c r="B106" s="4" t="s">
        <v>49</v>
      </c>
      <c r="C106" s="1">
        <v>4</v>
      </c>
      <c r="D106" s="1" t="s">
        <v>54</v>
      </c>
      <c r="E106" s="1" t="s">
        <v>12</v>
      </c>
      <c r="F106" s="1">
        <v>3</v>
      </c>
      <c r="G106" s="1">
        <v>114</v>
      </c>
      <c r="H106" s="1">
        <v>121</v>
      </c>
      <c r="I106" s="1">
        <v>96</v>
      </c>
    </row>
    <row r="107" spans="1:9" ht="14.25" customHeight="1" x14ac:dyDescent="0.25">
      <c r="A107">
        <v>2023</v>
      </c>
      <c r="B107" s="4" t="s">
        <v>55</v>
      </c>
      <c r="C107" s="1">
        <v>2</v>
      </c>
      <c r="D107" s="1" t="s">
        <v>56</v>
      </c>
      <c r="E107" s="1" t="s">
        <v>12</v>
      </c>
      <c r="F107" s="1">
        <v>1</v>
      </c>
      <c r="G107" s="1">
        <v>104</v>
      </c>
      <c r="H107" s="1">
        <v>132</v>
      </c>
      <c r="I107" s="1">
        <v>72</v>
      </c>
    </row>
    <row r="108" spans="1:9" ht="14.25" customHeight="1" x14ac:dyDescent="0.25">
      <c r="A108">
        <v>2023</v>
      </c>
      <c r="B108" s="4" t="s">
        <v>55</v>
      </c>
      <c r="C108" s="1">
        <v>2</v>
      </c>
      <c r="D108" s="1" t="s">
        <v>56</v>
      </c>
      <c r="E108" s="1" t="s">
        <v>12</v>
      </c>
      <c r="F108" s="1">
        <v>2</v>
      </c>
      <c r="G108" s="1">
        <v>105</v>
      </c>
      <c r="H108" s="1">
        <v>119</v>
      </c>
      <c r="I108" s="1">
        <v>48</v>
      </c>
    </row>
    <row r="109" spans="1:9" ht="14.25" customHeight="1" x14ac:dyDescent="0.25">
      <c r="A109">
        <v>2023</v>
      </c>
      <c r="B109" s="4" t="s">
        <v>55</v>
      </c>
      <c r="C109" s="1">
        <v>2</v>
      </c>
      <c r="D109" s="1" t="s">
        <v>56</v>
      </c>
      <c r="E109" s="1" t="s">
        <v>12</v>
      </c>
      <c r="F109" s="1">
        <v>3</v>
      </c>
      <c r="G109" s="1">
        <v>102</v>
      </c>
      <c r="H109" s="1">
        <v>150</v>
      </c>
      <c r="I109" s="1">
        <v>72</v>
      </c>
    </row>
    <row r="110" spans="1:9" ht="14.25" customHeight="1" x14ac:dyDescent="0.25">
      <c r="A110">
        <v>2023</v>
      </c>
      <c r="B110" s="4" t="s">
        <v>49</v>
      </c>
      <c r="C110" s="1">
        <v>3</v>
      </c>
      <c r="D110" s="1" t="s">
        <v>57</v>
      </c>
      <c r="E110" s="1" t="s">
        <v>12</v>
      </c>
      <c r="F110" s="1">
        <v>1</v>
      </c>
      <c r="G110" s="1">
        <v>87</v>
      </c>
      <c r="H110" s="1">
        <v>119</v>
      </c>
      <c r="I110" s="1">
        <v>84</v>
      </c>
    </row>
    <row r="111" spans="1:9" ht="14.25" customHeight="1" x14ac:dyDescent="0.25">
      <c r="A111">
        <v>2023</v>
      </c>
      <c r="B111" s="4" t="s">
        <v>49</v>
      </c>
      <c r="C111" s="1">
        <v>3</v>
      </c>
      <c r="D111" s="1" t="s">
        <v>57</v>
      </c>
      <c r="E111" s="1" t="s">
        <v>12</v>
      </c>
      <c r="F111" s="1">
        <v>2</v>
      </c>
      <c r="G111" s="1">
        <v>83</v>
      </c>
      <c r="H111" s="1">
        <v>119</v>
      </c>
      <c r="I111" s="1">
        <v>84</v>
      </c>
    </row>
    <row r="112" spans="1:9" ht="14.25" customHeight="1" x14ac:dyDescent="0.25">
      <c r="A112">
        <v>2023</v>
      </c>
      <c r="B112" s="4" t="s">
        <v>49</v>
      </c>
      <c r="C112" s="1">
        <v>3</v>
      </c>
      <c r="D112" s="1" t="s">
        <v>57</v>
      </c>
      <c r="E112" s="1" t="s">
        <v>12</v>
      </c>
      <c r="F112" s="1">
        <v>3</v>
      </c>
      <c r="G112" s="1">
        <v>85</v>
      </c>
      <c r="H112" s="1">
        <v>103</v>
      </c>
      <c r="I112" s="1">
        <v>60</v>
      </c>
    </row>
    <row r="113" spans="1:9" ht="14.25" customHeight="1" x14ac:dyDescent="0.25">
      <c r="A113">
        <v>2023</v>
      </c>
      <c r="B113" s="4" t="s">
        <v>58</v>
      </c>
      <c r="C113" s="1">
        <v>2</v>
      </c>
      <c r="D113" s="1" t="s">
        <v>59</v>
      </c>
      <c r="E113" s="1" t="s">
        <v>12</v>
      </c>
      <c r="F113" s="1">
        <v>1</v>
      </c>
      <c r="G113" s="1">
        <v>129</v>
      </c>
      <c r="H113" s="1">
        <v>128</v>
      </c>
      <c r="I113" s="1">
        <v>72</v>
      </c>
    </row>
    <row r="114" spans="1:9" ht="14.25" customHeight="1" x14ac:dyDescent="0.25">
      <c r="A114">
        <v>2023</v>
      </c>
      <c r="B114" s="4" t="s">
        <v>58</v>
      </c>
      <c r="C114" s="1">
        <v>2</v>
      </c>
      <c r="D114" s="1" t="s">
        <v>59</v>
      </c>
      <c r="E114" s="1" t="s">
        <v>12</v>
      </c>
      <c r="F114" s="1">
        <v>2</v>
      </c>
      <c r="G114" s="1">
        <v>138</v>
      </c>
      <c r="H114" s="1">
        <v>115</v>
      </c>
      <c r="I114" s="1">
        <v>60</v>
      </c>
    </row>
    <row r="115" spans="1:9" ht="14.25" customHeight="1" x14ac:dyDescent="0.25">
      <c r="A115">
        <v>2023</v>
      </c>
      <c r="B115" s="4" t="s">
        <v>58</v>
      </c>
      <c r="C115" s="1">
        <v>2</v>
      </c>
      <c r="D115" s="1" t="s">
        <v>59</v>
      </c>
      <c r="E115" s="1" t="s">
        <v>12</v>
      </c>
      <c r="F115" s="1">
        <v>3</v>
      </c>
      <c r="G115" s="1">
        <v>120</v>
      </c>
      <c r="H115" s="1">
        <v>115</v>
      </c>
      <c r="I115" s="1">
        <v>36</v>
      </c>
    </row>
    <row r="116" spans="1:9" ht="14.25" customHeight="1" x14ac:dyDescent="0.25">
      <c r="A116">
        <v>2023</v>
      </c>
      <c r="B116" s="4" t="s">
        <v>58</v>
      </c>
      <c r="C116" s="1">
        <v>2</v>
      </c>
      <c r="D116" s="1" t="s">
        <v>60</v>
      </c>
      <c r="E116" s="1" t="s">
        <v>12</v>
      </c>
      <c r="F116" s="1">
        <v>1</v>
      </c>
      <c r="G116" s="1">
        <v>140</v>
      </c>
      <c r="H116" s="1">
        <v>101</v>
      </c>
      <c r="I116" s="1">
        <v>36</v>
      </c>
    </row>
    <row r="117" spans="1:9" ht="14.25" customHeight="1" x14ac:dyDescent="0.25">
      <c r="A117">
        <v>2023</v>
      </c>
      <c r="B117" s="4" t="s">
        <v>58</v>
      </c>
      <c r="C117" s="1">
        <v>2</v>
      </c>
      <c r="D117" s="1" t="s">
        <v>60</v>
      </c>
      <c r="E117" s="1" t="s">
        <v>12</v>
      </c>
      <c r="F117" s="1">
        <v>2</v>
      </c>
      <c r="G117" s="1">
        <v>140</v>
      </c>
      <c r="H117" s="5">
        <v>107</v>
      </c>
      <c r="I117" s="1">
        <v>12</v>
      </c>
    </row>
    <row r="118" spans="1:9" ht="14.25" customHeight="1" x14ac:dyDescent="0.25">
      <c r="A118">
        <v>2023</v>
      </c>
      <c r="B118" s="4" t="s">
        <v>58</v>
      </c>
      <c r="C118" s="1">
        <v>2</v>
      </c>
      <c r="D118" s="1" t="s">
        <v>60</v>
      </c>
      <c r="E118" s="1" t="s">
        <v>12</v>
      </c>
      <c r="F118" s="1">
        <v>3</v>
      </c>
      <c r="G118" s="1">
        <v>139</v>
      </c>
      <c r="H118" s="1">
        <v>107</v>
      </c>
      <c r="I118" s="1">
        <v>48</v>
      </c>
    </row>
    <row r="119" spans="1:9" ht="14.25" customHeight="1" x14ac:dyDescent="0.25">
      <c r="A119">
        <v>2023</v>
      </c>
      <c r="B119" s="4" t="s">
        <v>58</v>
      </c>
      <c r="C119" s="1">
        <v>2</v>
      </c>
      <c r="D119" s="1" t="s">
        <v>61</v>
      </c>
      <c r="E119" s="1" t="s">
        <v>12</v>
      </c>
      <c r="F119" s="1">
        <v>1</v>
      </c>
      <c r="G119" s="1">
        <v>135</v>
      </c>
      <c r="H119" s="1">
        <v>120</v>
      </c>
      <c r="I119" s="5">
        <v>54</v>
      </c>
    </row>
    <row r="120" spans="1:9" ht="14.25" customHeight="1" x14ac:dyDescent="0.25">
      <c r="A120">
        <v>2023</v>
      </c>
      <c r="B120" s="4" t="s">
        <v>58</v>
      </c>
      <c r="C120" s="1">
        <v>2</v>
      </c>
      <c r="D120" s="1" t="s">
        <v>61</v>
      </c>
      <c r="E120" s="1" t="s">
        <v>12</v>
      </c>
      <c r="F120" s="1">
        <v>2</v>
      </c>
      <c r="G120" s="1">
        <v>141</v>
      </c>
      <c r="H120" s="1">
        <v>128</v>
      </c>
      <c r="I120" s="1">
        <v>48</v>
      </c>
    </row>
    <row r="121" spans="1:9" ht="14.25" customHeight="1" x14ac:dyDescent="0.25">
      <c r="A121">
        <v>2023</v>
      </c>
      <c r="B121" s="4" t="s">
        <v>58</v>
      </c>
      <c r="C121" s="1">
        <v>2</v>
      </c>
      <c r="D121" s="1" t="s">
        <v>61</v>
      </c>
      <c r="E121" s="1" t="s">
        <v>12</v>
      </c>
      <c r="F121" s="1">
        <v>3</v>
      </c>
      <c r="G121" s="1">
        <v>139</v>
      </c>
      <c r="H121" s="1">
        <v>115</v>
      </c>
      <c r="I121" s="1">
        <v>60</v>
      </c>
    </row>
    <row r="122" spans="1:9" ht="14.25" customHeight="1" x14ac:dyDescent="0.25">
      <c r="A122">
        <v>2023</v>
      </c>
      <c r="B122" s="4" t="s">
        <v>58</v>
      </c>
      <c r="C122" s="1">
        <v>2</v>
      </c>
      <c r="D122" s="1" t="s">
        <v>62</v>
      </c>
      <c r="E122" s="1" t="s">
        <v>12</v>
      </c>
      <c r="F122" s="1">
        <v>1</v>
      </c>
      <c r="G122" s="1">
        <v>149</v>
      </c>
      <c r="H122" s="1">
        <v>115</v>
      </c>
      <c r="I122" s="1">
        <v>36</v>
      </c>
    </row>
    <row r="123" spans="1:9" ht="14.25" customHeight="1" x14ac:dyDescent="0.25">
      <c r="A123">
        <v>2023</v>
      </c>
      <c r="B123" s="4" t="s">
        <v>58</v>
      </c>
      <c r="C123" s="1">
        <v>2</v>
      </c>
      <c r="D123" s="1" t="s">
        <v>62</v>
      </c>
      <c r="E123" s="1" t="s">
        <v>12</v>
      </c>
      <c r="F123" s="1">
        <v>2</v>
      </c>
      <c r="G123" s="1">
        <v>140</v>
      </c>
      <c r="H123" s="1">
        <v>114</v>
      </c>
      <c r="I123" s="1">
        <v>48</v>
      </c>
    </row>
    <row r="124" spans="1:9" ht="14.25" customHeight="1" x14ac:dyDescent="0.25">
      <c r="A124">
        <v>2023</v>
      </c>
      <c r="B124" s="4" t="s">
        <v>58</v>
      </c>
      <c r="C124" s="1">
        <v>2</v>
      </c>
      <c r="D124" s="1" t="s">
        <v>62</v>
      </c>
      <c r="E124" s="1" t="s">
        <v>12</v>
      </c>
      <c r="F124" s="1">
        <v>3</v>
      </c>
      <c r="G124" s="1">
        <v>139</v>
      </c>
      <c r="H124" s="1">
        <v>102</v>
      </c>
      <c r="I124" s="1">
        <v>12</v>
      </c>
    </row>
    <row r="125" spans="1:9" ht="14.25" customHeight="1" x14ac:dyDescent="0.25">
      <c r="A125">
        <v>2023</v>
      </c>
      <c r="B125" s="4" t="s">
        <v>52</v>
      </c>
      <c r="C125" s="1">
        <v>5</v>
      </c>
      <c r="D125" s="1" t="s">
        <v>63</v>
      </c>
      <c r="E125" s="1" t="s">
        <v>12</v>
      </c>
      <c r="F125" s="1">
        <v>1</v>
      </c>
      <c r="G125" s="1">
        <v>88</v>
      </c>
      <c r="H125" s="1">
        <v>117</v>
      </c>
      <c r="I125" s="1">
        <v>24</v>
      </c>
    </row>
    <row r="126" spans="1:9" ht="14.25" customHeight="1" x14ac:dyDescent="0.25">
      <c r="A126">
        <v>2023</v>
      </c>
      <c r="B126" s="4" t="s">
        <v>52</v>
      </c>
      <c r="C126" s="1">
        <v>5</v>
      </c>
      <c r="D126" s="1" t="s">
        <v>63</v>
      </c>
      <c r="E126" s="1" t="s">
        <v>12</v>
      </c>
      <c r="F126" s="1">
        <v>2</v>
      </c>
      <c r="G126" s="1">
        <v>91</v>
      </c>
      <c r="H126" s="1">
        <v>130</v>
      </c>
      <c r="I126" s="1">
        <v>48</v>
      </c>
    </row>
    <row r="127" spans="1:9" ht="14.25" customHeight="1" x14ac:dyDescent="0.25">
      <c r="A127">
        <v>2023</v>
      </c>
      <c r="B127" s="4" t="s">
        <v>52</v>
      </c>
      <c r="C127" s="1">
        <v>5</v>
      </c>
      <c r="D127" s="1" t="s">
        <v>63</v>
      </c>
      <c r="E127" s="1" t="s">
        <v>12</v>
      </c>
      <c r="F127" s="1">
        <v>3</v>
      </c>
      <c r="G127" s="1">
        <v>90</v>
      </c>
      <c r="H127" s="1">
        <v>122</v>
      </c>
      <c r="I127" s="1">
        <v>48</v>
      </c>
    </row>
    <row r="128" spans="1:9" ht="14.25" customHeight="1" x14ac:dyDescent="0.25">
      <c r="A128">
        <v>2023</v>
      </c>
      <c r="B128" s="4" t="s">
        <v>64</v>
      </c>
      <c r="C128" s="1">
        <v>2</v>
      </c>
      <c r="D128" s="1" t="s">
        <v>65</v>
      </c>
      <c r="E128" s="1" t="s">
        <v>12</v>
      </c>
      <c r="F128" s="1">
        <v>1</v>
      </c>
      <c r="G128" s="1">
        <v>79</v>
      </c>
      <c r="H128" s="1">
        <v>133</v>
      </c>
      <c r="I128" s="1">
        <v>108</v>
      </c>
    </row>
    <row r="129" spans="1:9" ht="14.25" customHeight="1" x14ac:dyDescent="0.25">
      <c r="A129">
        <v>2023</v>
      </c>
      <c r="B129" s="4" t="s">
        <v>64</v>
      </c>
      <c r="C129" s="1">
        <v>2</v>
      </c>
      <c r="D129" s="1" t="s">
        <v>65</v>
      </c>
      <c r="E129" s="1" t="s">
        <v>12</v>
      </c>
      <c r="F129" s="1">
        <v>2</v>
      </c>
      <c r="G129" s="1">
        <v>79</v>
      </c>
      <c r="H129" s="1">
        <v>134</v>
      </c>
      <c r="I129" s="1">
        <v>84</v>
      </c>
    </row>
    <row r="130" spans="1:9" ht="14.25" customHeight="1" x14ac:dyDescent="0.25">
      <c r="A130">
        <v>2023</v>
      </c>
      <c r="B130" s="4" t="s">
        <v>64</v>
      </c>
      <c r="C130" s="1">
        <v>2</v>
      </c>
      <c r="D130" s="1" t="s">
        <v>65</v>
      </c>
      <c r="E130" s="1" t="s">
        <v>12</v>
      </c>
      <c r="F130" s="1">
        <v>3</v>
      </c>
      <c r="G130" s="1">
        <v>79</v>
      </c>
      <c r="H130" s="1">
        <v>145</v>
      </c>
      <c r="I130" s="1">
        <v>72</v>
      </c>
    </row>
    <row r="131" spans="1:9" ht="14.25" customHeight="1" x14ac:dyDescent="0.25">
      <c r="A131">
        <v>2023</v>
      </c>
      <c r="B131" s="4" t="s">
        <v>66</v>
      </c>
      <c r="C131" s="1">
        <v>4</v>
      </c>
      <c r="D131" s="1" t="s">
        <v>67</v>
      </c>
      <c r="E131" s="1" t="s">
        <v>12</v>
      </c>
      <c r="F131" s="1">
        <v>1</v>
      </c>
      <c r="G131" s="1">
        <v>106</v>
      </c>
      <c r="H131" s="1">
        <v>103</v>
      </c>
      <c r="I131" s="1">
        <v>24</v>
      </c>
    </row>
    <row r="132" spans="1:9" ht="14.25" customHeight="1" x14ac:dyDescent="0.25">
      <c r="A132">
        <v>2023</v>
      </c>
      <c r="B132" s="4" t="s">
        <v>66</v>
      </c>
      <c r="C132" s="1">
        <v>4</v>
      </c>
      <c r="D132" s="1" t="s">
        <v>67</v>
      </c>
      <c r="E132" s="1" t="s">
        <v>12</v>
      </c>
      <c r="F132" s="1">
        <v>2</v>
      </c>
      <c r="G132" s="1">
        <v>107</v>
      </c>
      <c r="H132" s="1">
        <v>98</v>
      </c>
      <c r="I132" s="1">
        <v>12</v>
      </c>
    </row>
    <row r="133" spans="1:9" ht="14.25" customHeight="1" x14ac:dyDescent="0.25">
      <c r="A133">
        <v>2023</v>
      </c>
      <c r="B133" s="4" t="s">
        <v>66</v>
      </c>
      <c r="C133" s="1">
        <v>4</v>
      </c>
      <c r="D133" s="1" t="s">
        <v>67</v>
      </c>
      <c r="E133" s="1" t="s">
        <v>12</v>
      </c>
      <c r="F133" s="1">
        <v>3</v>
      </c>
      <c r="G133" s="1">
        <v>108</v>
      </c>
      <c r="H133" s="1">
        <v>105</v>
      </c>
      <c r="I133" s="1">
        <v>24</v>
      </c>
    </row>
    <row r="134" spans="1:9" ht="14.25" customHeight="1" x14ac:dyDescent="0.25">
      <c r="A134">
        <v>2023</v>
      </c>
      <c r="B134" s="4" t="s">
        <v>64</v>
      </c>
      <c r="C134" s="1">
        <v>2</v>
      </c>
      <c r="D134" s="1" t="s">
        <v>68</v>
      </c>
      <c r="E134" s="1" t="s">
        <v>12</v>
      </c>
      <c r="F134" s="1">
        <v>1</v>
      </c>
      <c r="G134" s="1">
        <v>87</v>
      </c>
      <c r="H134" s="1">
        <v>122</v>
      </c>
      <c r="I134" s="1">
        <v>48</v>
      </c>
    </row>
    <row r="135" spans="1:9" ht="14.25" customHeight="1" x14ac:dyDescent="0.25">
      <c r="A135">
        <v>2023</v>
      </c>
      <c r="B135" s="4" t="s">
        <v>64</v>
      </c>
      <c r="C135" s="1">
        <v>2</v>
      </c>
      <c r="D135" s="1" t="s">
        <v>68</v>
      </c>
      <c r="E135" s="1" t="s">
        <v>12</v>
      </c>
      <c r="F135" s="1">
        <v>2</v>
      </c>
      <c r="G135" s="5">
        <v>87</v>
      </c>
      <c r="H135" s="1">
        <v>125</v>
      </c>
      <c r="I135" s="1">
        <v>48</v>
      </c>
    </row>
    <row r="136" spans="1:9" ht="14.25" customHeight="1" x14ac:dyDescent="0.25">
      <c r="A136">
        <v>2023</v>
      </c>
      <c r="B136" s="4" t="s">
        <v>64</v>
      </c>
      <c r="C136" s="1">
        <v>2</v>
      </c>
      <c r="D136" s="1" t="s">
        <v>68</v>
      </c>
      <c r="E136" s="1" t="s">
        <v>12</v>
      </c>
      <c r="F136" s="1">
        <v>3</v>
      </c>
      <c r="G136" s="1">
        <v>87</v>
      </c>
      <c r="H136" s="1">
        <v>124</v>
      </c>
      <c r="I136" s="1">
        <v>72</v>
      </c>
    </row>
    <row r="137" spans="1:9" ht="14.25" customHeight="1" x14ac:dyDescent="0.25">
      <c r="A137">
        <v>2023</v>
      </c>
      <c r="B137" s="4" t="s">
        <v>69</v>
      </c>
      <c r="C137" s="1">
        <v>4</v>
      </c>
      <c r="D137" s="1" t="s">
        <v>70</v>
      </c>
      <c r="E137" s="1" t="s">
        <v>12</v>
      </c>
      <c r="F137" s="1">
        <v>1</v>
      </c>
      <c r="G137" s="1">
        <v>129</v>
      </c>
      <c r="H137" s="1">
        <v>95</v>
      </c>
      <c r="I137" s="1">
        <v>84</v>
      </c>
    </row>
    <row r="138" spans="1:9" ht="14.25" customHeight="1" x14ac:dyDescent="0.25">
      <c r="A138">
        <v>2023</v>
      </c>
      <c r="B138" s="4" t="s">
        <v>69</v>
      </c>
      <c r="C138" s="1">
        <v>4</v>
      </c>
      <c r="D138" s="1" t="s">
        <v>70</v>
      </c>
      <c r="E138" s="1" t="s">
        <v>12</v>
      </c>
      <c r="F138" s="1">
        <v>2</v>
      </c>
      <c r="G138" s="1">
        <v>130</v>
      </c>
      <c r="H138" s="1">
        <v>115</v>
      </c>
      <c r="I138" s="1">
        <v>72</v>
      </c>
    </row>
    <row r="139" spans="1:9" ht="14.25" customHeight="1" x14ac:dyDescent="0.25">
      <c r="A139">
        <v>2023</v>
      </c>
      <c r="B139" s="4" t="s">
        <v>69</v>
      </c>
      <c r="C139" s="1">
        <v>4</v>
      </c>
      <c r="D139" s="1" t="s">
        <v>70</v>
      </c>
      <c r="E139" s="1" t="s">
        <v>12</v>
      </c>
      <c r="F139" s="1">
        <v>3</v>
      </c>
      <c r="G139" s="1">
        <v>130</v>
      </c>
      <c r="H139" s="1">
        <v>109</v>
      </c>
      <c r="I139" s="1">
        <v>48</v>
      </c>
    </row>
    <row r="140" spans="1:9" ht="14.25" customHeight="1" x14ac:dyDescent="0.25">
      <c r="A140">
        <v>2023</v>
      </c>
      <c r="B140" s="4" t="s">
        <v>52</v>
      </c>
      <c r="C140" s="1">
        <v>5</v>
      </c>
      <c r="D140" s="1" t="s">
        <v>71</v>
      </c>
      <c r="E140" s="1" t="s">
        <v>12</v>
      </c>
      <c r="F140" s="1">
        <v>1</v>
      </c>
      <c r="G140" s="1">
        <v>97</v>
      </c>
      <c r="H140" s="1">
        <v>124</v>
      </c>
      <c r="I140" s="1">
        <v>48</v>
      </c>
    </row>
    <row r="141" spans="1:9" ht="14.25" customHeight="1" x14ac:dyDescent="0.25">
      <c r="A141">
        <v>2023</v>
      </c>
      <c r="B141" s="4" t="s">
        <v>52</v>
      </c>
      <c r="C141" s="1">
        <v>5</v>
      </c>
      <c r="D141" s="1" t="s">
        <v>71</v>
      </c>
      <c r="E141" s="1" t="s">
        <v>12</v>
      </c>
      <c r="F141" s="1">
        <v>2</v>
      </c>
      <c r="G141" s="1">
        <v>96</v>
      </c>
      <c r="H141" s="1">
        <v>137</v>
      </c>
      <c r="I141" s="5">
        <v>66</v>
      </c>
    </row>
    <row r="142" spans="1:9" ht="14.25" customHeight="1" x14ac:dyDescent="0.25">
      <c r="A142">
        <v>2023</v>
      </c>
      <c r="B142" s="4" t="s">
        <v>52</v>
      </c>
      <c r="C142" s="1">
        <v>5</v>
      </c>
      <c r="D142" s="1" t="s">
        <v>71</v>
      </c>
      <c r="E142" s="1" t="s">
        <v>12</v>
      </c>
      <c r="F142" s="1">
        <v>3</v>
      </c>
      <c r="G142" s="1">
        <v>96</v>
      </c>
      <c r="H142" s="1">
        <v>132</v>
      </c>
      <c r="I142" s="1">
        <v>48</v>
      </c>
    </row>
    <row r="143" spans="1:9" ht="14.25" customHeight="1" x14ac:dyDescent="0.25">
      <c r="A143">
        <v>2023</v>
      </c>
      <c r="B143" s="4" t="s">
        <v>69</v>
      </c>
      <c r="C143" s="1">
        <v>2</v>
      </c>
      <c r="D143" s="1" t="s">
        <v>72</v>
      </c>
      <c r="E143" s="1" t="s">
        <v>12</v>
      </c>
      <c r="F143" s="1">
        <v>1</v>
      </c>
      <c r="G143" s="1">
        <v>79</v>
      </c>
      <c r="H143" s="1">
        <v>110</v>
      </c>
      <c r="I143" s="1">
        <v>60</v>
      </c>
    </row>
    <row r="144" spans="1:9" ht="14.25" customHeight="1" x14ac:dyDescent="0.25">
      <c r="A144">
        <v>2023</v>
      </c>
      <c r="B144" s="4" t="s">
        <v>69</v>
      </c>
      <c r="C144" s="1">
        <v>2</v>
      </c>
      <c r="D144" s="1" t="s">
        <v>72</v>
      </c>
      <c r="E144" s="1" t="s">
        <v>12</v>
      </c>
      <c r="F144" s="1">
        <v>2</v>
      </c>
      <c r="G144" s="1">
        <v>79</v>
      </c>
      <c r="H144" s="1">
        <v>113</v>
      </c>
      <c r="I144" s="1">
        <v>72</v>
      </c>
    </row>
    <row r="145" spans="1:9" ht="14.25" customHeight="1" x14ac:dyDescent="0.25">
      <c r="A145">
        <v>2023</v>
      </c>
      <c r="B145" s="4" t="s">
        <v>69</v>
      </c>
      <c r="C145" s="1">
        <v>2</v>
      </c>
      <c r="D145" s="1" t="s">
        <v>72</v>
      </c>
      <c r="E145" s="1" t="s">
        <v>12</v>
      </c>
      <c r="F145" s="1">
        <v>3</v>
      </c>
      <c r="G145" s="1">
        <v>82</v>
      </c>
      <c r="H145" s="1">
        <v>114</v>
      </c>
      <c r="I145" s="1">
        <v>72</v>
      </c>
    </row>
    <row r="146" spans="1:9" ht="14.25" customHeight="1" x14ac:dyDescent="0.25">
      <c r="A146">
        <v>2023</v>
      </c>
      <c r="B146" s="4" t="s">
        <v>52</v>
      </c>
      <c r="C146" s="1">
        <v>4</v>
      </c>
      <c r="D146" s="1" t="s">
        <v>73</v>
      </c>
      <c r="E146" s="1" t="s">
        <v>12</v>
      </c>
      <c r="F146" s="1">
        <v>1</v>
      </c>
      <c r="G146" s="1">
        <v>105</v>
      </c>
      <c r="H146" s="1">
        <v>127</v>
      </c>
      <c r="I146" s="1">
        <v>72</v>
      </c>
    </row>
    <row r="147" spans="1:9" ht="14.25" customHeight="1" x14ac:dyDescent="0.25">
      <c r="A147">
        <v>2023</v>
      </c>
      <c r="B147" s="4" t="s">
        <v>52</v>
      </c>
      <c r="C147" s="1">
        <v>4</v>
      </c>
      <c r="D147" s="1" t="s">
        <v>73</v>
      </c>
      <c r="E147" s="1" t="s">
        <v>12</v>
      </c>
      <c r="F147" s="1">
        <v>2</v>
      </c>
      <c r="G147" s="1">
        <v>105</v>
      </c>
      <c r="H147" s="1">
        <v>143</v>
      </c>
      <c r="I147" s="1">
        <v>36</v>
      </c>
    </row>
    <row r="148" spans="1:9" ht="14.25" customHeight="1" x14ac:dyDescent="0.25">
      <c r="A148">
        <v>2023</v>
      </c>
      <c r="B148" s="4" t="s">
        <v>52</v>
      </c>
      <c r="C148" s="1">
        <v>4</v>
      </c>
      <c r="D148" s="1" t="s">
        <v>73</v>
      </c>
      <c r="E148" s="1" t="s">
        <v>12</v>
      </c>
      <c r="F148" s="1">
        <v>3</v>
      </c>
      <c r="G148" s="1">
        <v>107</v>
      </c>
      <c r="H148" s="1">
        <v>132</v>
      </c>
      <c r="I148" s="1">
        <v>36</v>
      </c>
    </row>
    <row r="149" spans="1:9" ht="14.25" customHeight="1" x14ac:dyDescent="0.25">
      <c r="A149">
        <v>2023</v>
      </c>
      <c r="B149" s="4" t="s">
        <v>69</v>
      </c>
      <c r="C149" s="1">
        <v>3</v>
      </c>
      <c r="D149" s="1" t="s">
        <v>74</v>
      </c>
      <c r="E149" s="1" t="s">
        <v>12</v>
      </c>
      <c r="F149" s="1">
        <v>1</v>
      </c>
      <c r="G149" s="1">
        <v>99</v>
      </c>
      <c r="H149" s="1">
        <v>115</v>
      </c>
      <c r="I149" s="1">
        <v>84</v>
      </c>
    </row>
    <row r="150" spans="1:9" ht="14.25" customHeight="1" x14ac:dyDescent="0.25">
      <c r="A150">
        <v>2023</v>
      </c>
      <c r="B150" s="4" t="s">
        <v>69</v>
      </c>
      <c r="C150" s="1">
        <v>3</v>
      </c>
      <c r="D150" s="1" t="s">
        <v>74</v>
      </c>
      <c r="E150" s="1" t="s">
        <v>12</v>
      </c>
      <c r="F150" s="1">
        <v>2</v>
      </c>
      <c r="G150" s="1">
        <v>98</v>
      </c>
      <c r="H150" s="1">
        <v>99</v>
      </c>
      <c r="I150" s="1">
        <v>48</v>
      </c>
    </row>
    <row r="151" spans="1:9" ht="14.25" customHeight="1" x14ac:dyDescent="0.25">
      <c r="A151">
        <v>2023</v>
      </c>
      <c r="B151" s="4" t="s">
        <v>69</v>
      </c>
      <c r="C151" s="1">
        <v>3</v>
      </c>
      <c r="D151" s="1" t="s">
        <v>74</v>
      </c>
      <c r="E151" s="1" t="s">
        <v>12</v>
      </c>
      <c r="F151" s="1">
        <v>3</v>
      </c>
      <c r="G151" s="1">
        <v>98</v>
      </c>
      <c r="H151" s="1">
        <v>105</v>
      </c>
      <c r="I151" s="1">
        <v>84</v>
      </c>
    </row>
    <row r="152" spans="1:9" ht="14.25" customHeight="1" x14ac:dyDescent="0.25">
      <c r="A152">
        <v>2023</v>
      </c>
      <c r="B152" s="4" t="s">
        <v>75</v>
      </c>
      <c r="C152" s="1">
        <v>4</v>
      </c>
      <c r="D152" s="1" t="s">
        <v>76</v>
      </c>
      <c r="E152" s="1" t="s">
        <v>12</v>
      </c>
      <c r="F152" s="1">
        <v>1</v>
      </c>
      <c r="G152" s="1">
        <v>113</v>
      </c>
      <c r="H152" s="1">
        <v>125</v>
      </c>
      <c r="I152" s="1">
        <v>60</v>
      </c>
    </row>
    <row r="153" spans="1:9" ht="14.25" customHeight="1" x14ac:dyDescent="0.25">
      <c r="A153">
        <v>2023</v>
      </c>
      <c r="B153" s="4" t="s">
        <v>75</v>
      </c>
      <c r="C153" s="1">
        <v>4</v>
      </c>
      <c r="D153" s="1" t="s">
        <v>76</v>
      </c>
      <c r="E153" s="1" t="s">
        <v>12</v>
      </c>
      <c r="F153" s="1">
        <v>2</v>
      </c>
      <c r="G153" s="1">
        <v>114</v>
      </c>
      <c r="H153" s="1">
        <v>106</v>
      </c>
      <c r="I153" s="1">
        <v>60</v>
      </c>
    </row>
    <row r="154" spans="1:9" ht="14.25" customHeight="1" x14ac:dyDescent="0.25">
      <c r="A154">
        <v>2023</v>
      </c>
      <c r="B154" s="4" t="s">
        <v>75</v>
      </c>
      <c r="C154" s="1">
        <v>4</v>
      </c>
      <c r="D154" s="1" t="s">
        <v>76</v>
      </c>
      <c r="E154" s="1" t="s">
        <v>12</v>
      </c>
      <c r="F154" s="1">
        <v>3</v>
      </c>
      <c r="G154" s="1">
        <v>114</v>
      </c>
      <c r="H154" s="1">
        <v>119</v>
      </c>
      <c r="I154" s="1">
        <v>84</v>
      </c>
    </row>
    <row r="155" spans="1:9" ht="14.25" customHeight="1" x14ac:dyDescent="0.25">
      <c r="A155">
        <v>2023</v>
      </c>
      <c r="B155" s="4" t="s">
        <v>75</v>
      </c>
      <c r="C155" s="1">
        <v>4</v>
      </c>
      <c r="D155" s="1" t="s">
        <v>77</v>
      </c>
      <c r="E155" s="1" t="s">
        <v>12</v>
      </c>
      <c r="F155" s="1">
        <v>1</v>
      </c>
      <c r="G155" s="1">
        <v>117</v>
      </c>
      <c r="H155" s="1">
        <v>114</v>
      </c>
      <c r="I155" s="5">
        <v>60</v>
      </c>
    </row>
    <row r="156" spans="1:9" ht="14.25" customHeight="1" x14ac:dyDescent="0.25">
      <c r="A156">
        <v>2023</v>
      </c>
      <c r="B156" s="4" t="s">
        <v>75</v>
      </c>
      <c r="C156" s="1">
        <v>4</v>
      </c>
      <c r="D156" s="1" t="s">
        <v>77</v>
      </c>
      <c r="E156" s="1" t="s">
        <v>12</v>
      </c>
      <c r="F156" s="1">
        <v>2</v>
      </c>
      <c r="G156" s="1">
        <v>116</v>
      </c>
      <c r="H156" s="1">
        <v>115</v>
      </c>
      <c r="I156" s="1">
        <v>48</v>
      </c>
    </row>
    <row r="157" spans="1:9" ht="14.25" customHeight="1" x14ac:dyDescent="0.25">
      <c r="A157">
        <v>2023</v>
      </c>
      <c r="B157" s="4" t="s">
        <v>75</v>
      </c>
      <c r="C157" s="1">
        <v>4</v>
      </c>
      <c r="D157" s="1" t="s">
        <v>77</v>
      </c>
      <c r="E157" s="1" t="s">
        <v>12</v>
      </c>
      <c r="F157" s="1">
        <v>3</v>
      </c>
      <c r="G157" s="1">
        <v>116</v>
      </c>
      <c r="H157" s="1">
        <v>100</v>
      </c>
      <c r="I157" s="1">
        <v>48</v>
      </c>
    </row>
    <row r="158" spans="1:9" ht="14.25" customHeight="1" x14ac:dyDescent="0.25">
      <c r="A158">
        <v>2023</v>
      </c>
      <c r="B158" s="4" t="s">
        <v>75</v>
      </c>
      <c r="C158" s="1">
        <v>4</v>
      </c>
      <c r="D158" s="1" t="s">
        <v>78</v>
      </c>
      <c r="E158" s="1" t="s">
        <v>12</v>
      </c>
      <c r="F158" s="1">
        <v>1</v>
      </c>
      <c r="G158" s="1">
        <v>140</v>
      </c>
      <c r="H158" s="1">
        <v>102</v>
      </c>
      <c r="I158" s="1">
        <v>48</v>
      </c>
    </row>
    <row r="159" spans="1:9" ht="14.25" customHeight="1" x14ac:dyDescent="0.25">
      <c r="A159">
        <v>2023</v>
      </c>
      <c r="B159" s="4" t="s">
        <v>75</v>
      </c>
      <c r="C159" s="1">
        <v>4</v>
      </c>
      <c r="D159" s="1" t="s">
        <v>78</v>
      </c>
      <c r="E159" s="1" t="s">
        <v>12</v>
      </c>
      <c r="F159" s="1">
        <v>2</v>
      </c>
      <c r="G159" s="1">
        <v>140</v>
      </c>
      <c r="H159" s="1">
        <v>102</v>
      </c>
      <c r="I159" s="1">
        <v>72</v>
      </c>
    </row>
    <row r="160" spans="1:9" ht="14.25" customHeight="1" x14ac:dyDescent="0.25">
      <c r="A160">
        <v>2023</v>
      </c>
      <c r="B160" s="4" t="s">
        <v>75</v>
      </c>
      <c r="C160" s="1">
        <v>4</v>
      </c>
      <c r="D160" s="1" t="s">
        <v>78</v>
      </c>
      <c r="E160" s="1" t="s">
        <v>12</v>
      </c>
      <c r="F160" s="1">
        <v>3</v>
      </c>
      <c r="G160" s="1">
        <v>140</v>
      </c>
      <c r="H160" s="1">
        <v>117</v>
      </c>
      <c r="I160" s="1">
        <v>72</v>
      </c>
    </row>
    <row r="161" spans="1:9" ht="14.25" customHeight="1" x14ac:dyDescent="0.25">
      <c r="A161">
        <v>2023</v>
      </c>
      <c r="B161" s="4" t="s">
        <v>75</v>
      </c>
      <c r="C161" s="1">
        <v>4</v>
      </c>
      <c r="D161" s="1" t="s">
        <v>79</v>
      </c>
      <c r="E161" s="1" t="s">
        <v>12</v>
      </c>
      <c r="F161" s="1">
        <v>1</v>
      </c>
      <c r="G161" s="1">
        <v>140</v>
      </c>
      <c r="H161" s="1">
        <v>130</v>
      </c>
      <c r="I161" s="5">
        <v>54</v>
      </c>
    </row>
    <row r="162" spans="1:9" ht="14.25" customHeight="1" x14ac:dyDescent="0.25">
      <c r="A162">
        <v>2023</v>
      </c>
      <c r="B162" s="4" t="s">
        <v>75</v>
      </c>
      <c r="C162" s="1">
        <v>4</v>
      </c>
      <c r="D162" s="1" t="s">
        <v>79</v>
      </c>
      <c r="E162" s="1" t="s">
        <v>12</v>
      </c>
      <c r="F162" s="1">
        <v>2</v>
      </c>
      <c r="G162" s="1">
        <v>110</v>
      </c>
      <c r="H162" s="1">
        <v>134</v>
      </c>
      <c r="I162" s="1">
        <v>60</v>
      </c>
    </row>
    <row r="163" spans="1:9" ht="14.25" customHeight="1" x14ac:dyDescent="0.25">
      <c r="A163">
        <v>2023</v>
      </c>
      <c r="B163" s="4" t="s">
        <v>75</v>
      </c>
      <c r="C163" s="1">
        <v>4</v>
      </c>
      <c r="D163" s="1" t="s">
        <v>79</v>
      </c>
      <c r="E163" s="1" t="s">
        <v>12</v>
      </c>
      <c r="F163" s="1">
        <v>3</v>
      </c>
      <c r="G163" s="1">
        <v>140</v>
      </c>
      <c r="H163" s="1">
        <v>140</v>
      </c>
      <c r="I163" s="1">
        <v>48</v>
      </c>
    </row>
    <row r="164" spans="1:9" ht="14.25" customHeight="1" x14ac:dyDescent="0.25">
      <c r="A164">
        <v>2023</v>
      </c>
      <c r="B164" s="4" t="s">
        <v>64</v>
      </c>
      <c r="C164" s="1">
        <v>3</v>
      </c>
      <c r="D164" s="1" t="s">
        <v>80</v>
      </c>
      <c r="E164" s="1" t="s">
        <v>12</v>
      </c>
      <c r="F164" s="1">
        <v>1</v>
      </c>
      <c r="G164" s="1">
        <v>91</v>
      </c>
      <c r="H164" s="1">
        <v>121</v>
      </c>
      <c r="I164" s="1">
        <v>36</v>
      </c>
    </row>
    <row r="165" spans="1:9" ht="14.25" customHeight="1" x14ac:dyDescent="0.25">
      <c r="A165">
        <v>2023</v>
      </c>
      <c r="B165" s="4" t="s">
        <v>64</v>
      </c>
      <c r="C165" s="1">
        <v>3</v>
      </c>
      <c r="D165" s="1" t="s">
        <v>80</v>
      </c>
      <c r="E165" s="1" t="s">
        <v>12</v>
      </c>
      <c r="F165" s="1">
        <v>2</v>
      </c>
      <c r="G165" s="1">
        <v>94</v>
      </c>
      <c r="H165" s="1">
        <v>126</v>
      </c>
      <c r="I165" s="1">
        <v>36</v>
      </c>
    </row>
    <row r="166" spans="1:9" ht="14.25" customHeight="1" x14ac:dyDescent="0.25">
      <c r="A166">
        <v>2023</v>
      </c>
      <c r="B166" s="4" t="s">
        <v>64</v>
      </c>
      <c r="C166" s="1">
        <v>3</v>
      </c>
      <c r="D166" s="1" t="s">
        <v>80</v>
      </c>
      <c r="E166" s="1" t="s">
        <v>12</v>
      </c>
      <c r="F166" s="1">
        <v>3</v>
      </c>
      <c r="G166" s="1">
        <v>98</v>
      </c>
      <c r="H166" s="1">
        <v>112</v>
      </c>
      <c r="I166" s="1">
        <v>36</v>
      </c>
    </row>
    <row r="167" spans="1:9" ht="14.25" customHeight="1" x14ac:dyDescent="0.25">
      <c r="A167">
        <v>2023</v>
      </c>
      <c r="B167" s="4" t="s">
        <v>81</v>
      </c>
      <c r="C167" s="1">
        <v>4</v>
      </c>
      <c r="D167" s="1" t="s">
        <v>82</v>
      </c>
      <c r="E167" s="1" t="s">
        <v>12</v>
      </c>
      <c r="F167" s="1">
        <v>1</v>
      </c>
      <c r="G167" s="1">
        <v>118</v>
      </c>
      <c r="H167" s="1">
        <v>145</v>
      </c>
      <c r="I167" s="1">
        <v>72</v>
      </c>
    </row>
    <row r="168" spans="1:9" ht="14.25" customHeight="1" x14ac:dyDescent="0.25">
      <c r="A168">
        <v>2023</v>
      </c>
      <c r="B168" s="4" t="s">
        <v>81</v>
      </c>
      <c r="C168" s="1">
        <v>4</v>
      </c>
      <c r="D168" s="1" t="s">
        <v>82</v>
      </c>
      <c r="E168" s="1" t="s">
        <v>12</v>
      </c>
      <c r="F168" s="1">
        <v>2</v>
      </c>
      <c r="G168" s="1">
        <v>117</v>
      </c>
      <c r="H168" s="1">
        <v>140</v>
      </c>
      <c r="I168" s="1">
        <v>84</v>
      </c>
    </row>
    <row r="169" spans="1:9" ht="14.25" customHeight="1" x14ac:dyDescent="0.25">
      <c r="A169">
        <v>2023</v>
      </c>
      <c r="B169" s="4" t="s">
        <v>81</v>
      </c>
      <c r="C169" s="1">
        <v>4</v>
      </c>
      <c r="D169" s="1" t="s">
        <v>82</v>
      </c>
      <c r="E169" s="1" t="s">
        <v>12</v>
      </c>
      <c r="F169" s="1">
        <v>3</v>
      </c>
      <c r="G169" s="1">
        <v>116</v>
      </c>
      <c r="H169" s="1">
        <v>135</v>
      </c>
      <c r="I169" s="1">
        <v>36</v>
      </c>
    </row>
    <row r="170" spans="1:9" ht="14.25" customHeight="1" x14ac:dyDescent="0.25">
      <c r="A170">
        <v>2023</v>
      </c>
      <c r="B170" s="4" t="s">
        <v>58</v>
      </c>
      <c r="C170" s="1">
        <v>2</v>
      </c>
      <c r="D170" s="1" t="s">
        <v>83</v>
      </c>
      <c r="E170" s="1" t="s">
        <v>12</v>
      </c>
      <c r="F170" s="1">
        <v>1</v>
      </c>
      <c r="G170" s="1">
        <v>139</v>
      </c>
      <c r="H170" s="1">
        <v>105</v>
      </c>
      <c r="I170" s="1">
        <v>48</v>
      </c>
    </row>
    <row r="171" spans="1:9" ht="14.25" customHeight="1" x14ac:dyDescent="0.25">
      <c r="A171">
        <v>2023</v>
      </c>
      <c r="B171" s="4" t="s">
        <v>58</v>
      </c>
      <c r="C171" s="1">
        <v>2</v>
      </c>
      <c r="D171" s="1" t="s">
        <v>83</v>
      </c>
      <c r="E171" s="1" t="s">
        <v>12</v>
      </c>
      <c r="F171" s="1">
        <v>2</v>
      </c>
      <c r="G171" s="1">
        <v>140</v>
      </c>
      <c r="H171" s="1">
        <v>117</v>
      </c>
      <c r="I171" s="1">
        <v>72</v>
      </c>
    </row>
    <row r="172" spans="1:9" ht="14.25" customHeight="1" x14ac:dyDescent="0.25">
      <c r="A172">
        <v>2023</v>
      </c>
      <c r="B172" s="4" t="s">
        <v>58</v>
      </c>
      <c r="C172" s="1">
        <v>2</v>
      </c>
      <c r="D172" s="1" t="s">
        <v>83</v>
      </c>
      <c r="E172" s="1" t="s">
        <v>12</v>
      </c>
      <c r="F172" s="1">
        <v>3</v>
      </c>
      <c r="G172" s="1">
        <v>140</v>
      </c>
      <c r="H172" s="1">
        <v>125</v>
      </c>
      <c r="I172" s="1">
        <v>24</v>
      </c>
    </row>
    <row r="173" spans="1:9" ht="14.25" customHeight="1" x14ac:dyDescent="0.25">
      <c r="A173">
        <v>2023</v>
      </c>
      <c r="B173" s="4" t="s">
        <v>58</v>
      </c>
      <c r="C173" s="1">
        <v>2</v>
      </c>
      <c r="D173" s="1" t="s">
        <v>84</v>
      </c>
      <c r="E173" s="1" t="s">
        <v>12</v>
      </c>
      <c r="F173" s="1">
        <v>1</v>
      </c>
      <c r="G173" s="1">
        <v>138</v>
      </c>
      <c r="H173" s="1">
        <v>108</v>
      </c>
      <c r="I173" s="1">
        <v>96</v>
      </c>
    </row>
    <row r="174" spans="1:9" ht="14.25" customHeight="1" x14ac:dyDescent="0.25">
      <c r="A174">
        <v>2023</v>
      </c>
      <c r="B174" s="4" t="s">
        <v>58</v>
      </c>
      <c r="C174" s="1">
        <v>2</v>
      </c>
      <c r="D174" s="1" t="s">
        <v>84</v>
      </c>
      <c r="E174" s="1" t="s">
        <v>12</v>
      </c>
      <c r="F174" s="1">
        <v>2</v>
      </c>
      <c r="G174" s="1">
        <v>138</v>
      </c>
      <c r="H174" s="1">
        <v>112</v>
      </c>
      <c r="I174" s="5">
        <v>60</v>
      </c>
    </row>
    <row r="175" spans="1:9" ht="14.25" customHeight="1" x14ac:dyDescent="0.25">
      <c r="A175">
        <v>2023</v>
      </c>
      <c r="B175" s="4" t="s">
        <v>58</v>
      </c>
      <c r="C175" s="1">
        <v>2</v>
      </c>
      <c r="D175" s="1" t="s">
        <v>84</v>
      </c>
      <c r="E175" s="1" t="s">
        <v>12</v>
      </c>
      <c r="F175" s="1">
        <v>3</v>
      </c>
      <c r="G175" s="1">
        <v>139</v>
      </c>
      <c r="H175" s="1">
        <v>109</v>
      </c>
      <c r="I175" s="1">
        <v>60</v>
      </c>
    </row>
    <row r="176" spans="1:9" ht="14.25" customHeight="1" x14ac:dyDescent="0.25">
      <c r="A176">
        <v>2023</v>
      </c>
      <c r="B176" s="4" t="s">
        <v>58</v>
      </c>
      <c r="C176" s="1">
        <v>2</v>
      </c>
      <c r="D176" s="1" t="s">
        <v>85</v>
      </c>
      <c r="E176" s="1" t="s">
        <v>12</v>
      </c>
      <c r="F176" s="1">
        <v>1</v>
      </c>
      <c r="G176" s="1">
        <v>128</v>
      </c>
      <c r="H176" s="1">
        <v>117</v>
      </c>
      <c r="I176" s="5">
        <v>84</v>
      </c>
    </row>
    <row r="177" spans="1:9" ht="14.25" customHeight="1" x14ac:dyDescent="0.25">
      <c r="A177">
        <v>2023</v>
      </c>
      <c r="B177" s="4" t="s">
        <v>58</v>
      </c>
      <c r="C177" s="1">
        <v>2</v>
      </c>
      <c r="D177" s="1" t="s">
        <v>85</v>
      </c>
      <c r="E177" s="1" t="s">
        <v>12</v>
      </c>
      <c r="F177" s="1">
        <v>2</v>
      </c>
      <c r="G177" s="1">
        <v>128</v>
      </c>
      <c r="H177" s="1">
        <v>116</v>
      </c>
      <c r="I177" s="5">
        <v>60</v>
      </c>
    </row>
    <row r="178" spans="1:9" ht="14.25" customHeight="1" x14ac:dyDescent="0.25">
      <c r="A178">
        <v>2023</v>
      </c>
      <c r="B178" s="4" t="s">
        <v>58</v>
      </c>
      <c r="C178" s="1">
        <v>2</v>
      </c>
      <c r="D178" s="1" t="s">
        <v>85</v>
      </c>
      <c r="E178" s="1" t="s">
        <v>12</v>
      </c>
      <c r="F178" s="1">
        <v>3</v>
      </c>
      <c r="G178" s="1">
        <v>125</v>
      </c>
      <c r="H178" s="1">
        <v>130</v>
      </c>
      <c r="I178" s="1">
        <v>48</v>
      </c>
    </row>
    <row r="179" spans="1:9" ht="14.25" customHeight="1" x14ac:dyDescent="0.25">
      <c r="A179">
        <v>2023</v>
      </c>
      <c r="B179" s="4" t="s">
        <v>58</v>
      </c>
      <c r="C179" s="1">
        <v>2</v>
      </c>
      <c r="D179" s="1" t="s">
        <v>86</v>
      </c>
      <c r="E179" s="1" t="s">
        <v>12</v>
      </c>
      <c r="F179" s="1">
        <v>1</v>
      </c>
      <c r="G179" s="1">
        <v>139</v>
      </c>
      <c r="H179" s="1">
        <v>126</v>
      </c>
      <c r="I179" s="1">
        <v>48</v>
      </c>
    </row>
    <row r="180" spans="1:9" ht="14.25" customHeight="1" x14ac:dyDescent="0.25">
      <c r="A180">
        <v>2023</v>
      </c>
      <c r="B180" s="4" t="s">
        <v>58</v>
      </c>
      <c r="C180" s="1">
        <v>2</v>
      </c>
      <c r="D180" s="1" t="s">
        <v>86</v>
      </c>
      <c r="E180" s="1" t="s">
        <v>12</v>
      </c>
      <c r="F180" s="1">
        <v>2</v>
      </c>
      <c r="G180" s="1">
        <v>138</v>
      </c>
      <c r="H180" s="1">
        <v>136</v>
      </c>
      <c r="I180" s="1">
        <v>36</v>
      </c>
    </row>
    <row r="181" spans="1:9" ht="14.25" customHeight="1" x14ac:dyDescent="0.25">
      <c r="A181">
        <v>2023</v>
      </c>
      <c r="B181" s="4" t="s">
        <v>58</v>
      </c>
      <c r="C181" s="1">
        <v>2</v>
      </c>
      <c r="D181" s="1" t="s">
        <v>86</v>
      </c>
      <c r="E181" s="1" t="s">
        <v>12</v>
      </c>
      <c r="F181" s="1">
        <v>3</v>
      </c>
      <c r="G181" s="1">
        <v>127</v>
      </c>
      <c r="H181" s="1">
        <v>142</v>
      </c>
      <c r="I181" s="1">
        <v>24</v>
      </c>
    </row>
    <row r="182" spans="1:9" ht="14.25" customHeight="1" x14ac:dyDescent="0.25">
      <c r="A182">
        <v>2023</v>
      </c>
      <c r="B182" s="4" t="s">
        <v>58</v>
      </c>
      <c r="C182" s="1">
        <v>2</v>
      </c>
      <c r="D182" s="1" t="s">
        <v>87</v>
      </c>
      <c r="E182" s="1" t="s">
        <v>12</v>
      </c>
      <c r="F182" s="1">
        <v>1</v>
      </c>
      <c r="G182" s="1">
        <v>153</v>
      </c>
      <c r="H182" s="1">
        <v>106</v>
      </c>
      <c r="I182" s="1">
        <v>108</v>
      </c>
    </row>
    <row r="183" spans="1:9" ht="14.25" customHeight="1" x14ac:dyDescent="0.25">
      <c r="A183">
        <v>2023</v>
      </c>
      <c r="B183" s="4" t="s">
        <v>58</v>
      </c>
      <c r="C183" s="1">
        <v>2</v>
      </c>
      <c r="D183" s="1" t="s">
        <v>87</v>
      </c>
      <c r="E183" s="1" t="s">
        <v>12</v>
      </c>
      <c r="F183" s="1">
        <v>2</v>
      </c>
      <c r="G183" s="1">
        <v>154</v>
      </c>
      <c r="H183" s="1">
        <v>118</v>
      </c>
      <c r="I183" s="1">
        <v>72</v>
      </c>
    </row>
    <row r="184" spans="1:9" ht="14.25" customHeight="1" x14ac:dyDescent="0.25">
      <c r="A184">
        <v>2023</v>
      </c>
      <c r="B184" s="4" t="s">
        <v>58</v>
      </c>
      <c r="C184" s="1">
        <v>2</v>
      </c>
      <c r="D184" s="1" t="s">
        <v>87</v>
      </c>
      <c r="E184" s="1" t="s">
        <v>12</v>
      </c>
      <c r="F184" s="1">
        <v>3</v>
      </c>
      <c r="G184" s="1">
        <v>132</v>
      </c>
      <c r="H184" s="1">
        <v>102</v>
      </c>
      <c r="I184" s="1">
        <v>72</v>
      </c>
    </row>
    <row r="185" spans="1:9" ht="14.25" customHeight="1" x14ac:dyDescent="0.25">
      <c r="A185">
        <v>2023</v>
      </c>
      <c r="B185" s="4" t="s">
        <v>64</v>
      </c>
      <c r="C185" s="1">
        <v>3</v>
      </c>
      <c r="D185" s="1" t="s">
        <v>88</v>
      </c>
      <c r="E185" s="1" t="s">
        <v>12</v>
      </c>
      <c r="F185" s="1">
        <v>1</v>
      </c>
      <c r="G185" s="1">
        <v>83</v>
      </c>
      <c r="H185" s="1">
        <v>124</v>
      </c>
      <c r="I185" s="1">
        <v>60</v>
      </c>
    </row>
    <row r="186" spans="1:9" ht="14.25" customHeight="1" x14ac:dyDescent="0.25">
      <c r="A186">
        <v>2023</v>
      </c>
      <c r="B186" s="4" t="s">
        <v>64</v>
      </c>
      <c r="C186" s="1">
        <v>3</v>
      </c>
      <c r="D186" s="1" t="s">
        <v>88</v>
      </c>
      <c r="E186" s="1" t="s">
        <v>12</v>
      </c>
      <c r="F186" s="1">
        <v>2</v>
      </c>
      <c r="G186" s="1">
        <v>83</v>
      </c>
      <c r="H186" s="1">
        <v>124</v>
      </c>
      <c r="I186" s="1">
        <v>60</v>
      </c>
    </row>
    <row r="187" spans="1:9" ht="14.25" customHeight="1" x14ac:dyDescent="0.25">
      <c r="A187">
        <v>2023</v>
      </c>
      <c r="B187" s="4" t="s">
        <v>64</v>
      </c>
      <c r="C187" s="1">
        <v>3</v>
      </c>
      <c r="D187" s="1" t="s">
        <v>88</v>
      </c>
      <c r="E187" s="1" t="s">
        <v>12</v>
      </c>
      <c r="F187" s="1">
        <v>3</v>
      </c>
      <c r="G187" s="1">
        <v>83</v>
      </c>
      <c r="H187" s="1">
        <v>116</v>
      </c>
      <c r="I187" s="1">
        <v>96</v>
      </c>
    </row>
    <row r="188" spans="1:9" ht="14.25" customHeight="1" x14ac:dyDescent="0.25">
      <c r="A188">
        <v>2023</v>
      </c>
      <c r="B188" s="4" t="s">
        <v>14</v>
      </c>
      <c r="C188" s="1">
        <v>1</v>
      </c>
      <c r="D188" s="1" t="s">
        <v>89</v>
      </c>
      <c r="E188" s="1" t="s">
        <v>12</v>
      </c>
      <c r="F188" s="1">
        <v>1</v>
      </c>
      <c r="G188" s="1">
        <v>137</v>
      </c>
      <c r="H188" s="1">
        <v>124</v>
      </c>
      <c r="I188" s="1">
        <v>36</v>
      </c>
    </row>
    <row r="189" spans="1:9" ht="14.25" customHeight="1" x14ac:dyDescent="0.25">
      <c r="A189">
        <v>2023</v>
      </c>
      <c r="B189" s="4" t="s">
        <v>14</v>
      </c>
      <c r="C189" s="1">
        <v>1</v>
      </c>
      <c r="D189" s="1" t="s">
        <v>89</v>
      </c>
      <c r="E189" s="1" t="s">
        <v>12</v>
      </c>
      <c r="F189" s="1">
        <v>2</v>
      </c>
      <c r="G189" s="1">
        <v>143</v>
      </c>
      <c r="H189" s="1">
        <v>118</v>
      </c>
      <c r="I189" s="1">
        <v>36</v>
      </c>
    </row>
    <row r="190" spans="1:9" ht="14.25" customHeight="1" x14ac:dyDescent="0.25">
      <c r="A190">
        <v>2023</v>
      </c>
      <c r="B190" s="4" t="s">
        <v>14</v>
      </c>
      <c r="C190" s="1">
        <v>1</v>
      </c>
      <c r="D190" s="1" t="s">
        <v>89</v>
      </c>
      <c r="E190" s="1" t="s">
        <v>12</v>
      </c>
      <c r="F190" s="1">
        <v>3</v>
      </c>
      <c r="G190" s="1">
        <v>153</v>
      </c>
      <c r="H190" s="1">
        <v>110</v>
      </c>
      <c r="I190" s="1">
        <v>36</v>
      </c>
    </row>
    <row r="191" spans="1:9" ht="14.25" customHeight="1" x14ac:dyDescent="0.25">
      <c r="A191">
        <v>2023</v>
      </c>
      <c r="B191" s="4" t="s">
        <v>14</v>
      </c>
      <c r="C191" s="1" t="s">
        <v>20</v>
      </c>
      <c r="D191" s="1" t="s">
        <v>90</v>
      </c>
      <c r="E191" s="1" t="s">
        <v>12</v>
      </c>
      <c r="F191" s="1">
        <v>1</v>
      </c>
      <c r="G191" s="1">
        <v>139</v>
      </c>
      <c r="H191" s="1">
        <v>116</v>
      </c>
      <c r="I191" s="1">
        <v>48</v>
      </c>
    </row>
    <row r="192" spans="1:9" ht="14.25" customHeight="1" x14ac:dyDescent="0.25">
      <c r="A192">
        <v>2023</v>
      </c>
      <c r="B192" s="4" t="s">
        <v>14</v>
      </c>
      <c r="C192" s="1" t="s">
        <v>20</v>
      </c>
      <c r="D192" s="1" t="s">
        <v>90</v>
      </c>
      <c r="E192" s="1" t="s">
        <v>12</v>
      </c>
      <c r="F192" s="1">
        <v>2</v>
      </c>
      <c r="G192" s="1">
        <v>140</v>
      </c>
      <c r="H192" s="1">
        <v>120</v>
      </c>
      <c r="I192" s="1">
        <v>60</v>
      </c>
    </row>
    <row r="193" spans="1:9" ht="14.25" customHeight="1" x14ac:dyDescent="0.25">
      <c r="A193">
        <v>2023</v>
      </c>
      <c r="B193" s="4" t="s">
        <v>14</v>
      </c>
      <c r="C193" s="1" t="s">
        <v>20</v>
      </c>
      <c r="D193" s="1" t="s">
        <v>90</v>
      </c>
      <c r="E193" s="1" t="s">
        <v>12</v>
      </c>
      <c r="F193" s="1">
        <v>3</v>
      </c>
      <c r="G193" s="1">
        <v>141</v>
      </c>
      <c r="H193" s="1">
        <v>121</v>
      </c>
      <c r="I193" s="1">
        <v>72</v>
      </c>
    </row>
    <row r="194" spans="1:9" ht="14.25" customHeight="1" x14ac:dyDescent="0.25">
      <c r="A194">
        <v>2023</v>
      </c>
      <c r="B194" s="4" t="s">
        <v>14</v>
      </c>
      <c r="C194" s="1">
        <v>1</v>
      </c>
      <c r="D194" s="1" t="s">
        <v>91</v>
      </c>
      <c r="E194" s="1" t="s">
        <v>12</v>
      </c>
      <c r="F194" s="1">
        <v>1</v>
      </c>
      <c r="G194" s="1">
        <v>140</v>
      </c>
      <c r="H194" s="1">
        <v>120</v>
      </c>
      <c r="I194" s="1">
        <v>108</v>
      </c>
    </row>
    <row r="195" spans="1:9" ht="14.25" customHeight="1" x14ac:dyDescent="0.25">
      <c r="A195">
        <v>2023</v>
      </c>
      <c r="B195" s="4" t="s">
        <v>14</v>
      </c>
      <c r="C195" s="1">
        <v>1</v>
      </c>
      <c r="D195" s="1" t="s">
        <v>91</v>
      </c>
      <c r="E195" s="1" t="s">
        <v>12</v>
      </c>
      <c r="F195" s="1">
        <v>2</v>
      </c>
      <c r="G195" s="1">
        <v>141</v>
      </c>
      <c r="H195" s="1">
        <v>123</v>
      </c>
      <c r="I195" s="1">
        <v>60</v>
      </c>
    </row>
    <row r="196" spans="1:9" ht="14.25" customHeight="1" x14ac:dyDescent="0.25">
      <c r="A196">
        <v>2023</v>
      </c>
      <c r="B196" s="4" t="s">
        <v>14</v>
      </c>
      <c r="C196" s="1">
        <v>1</v>
      </c>
      <c r="D196" s="1" t="s">
        <v>91</v>
      </c>
      <c r="E196" s="1" t="s">
        <v>12</v>
      </c>
      <c r="F196" s="1">
        <v>3</v>
      </c>
      <c r="G196" s="1">
        <v>141</v>
      </c>
      <c r="H196" s="1">
        <v>97</v>
      </c>
      <c r="I196" s="1">
        <v>84</v>
      </c>
    </row>
    <row r="197" spans="1:9" ht="14.25" customHeight="1" x14ac:dyDescent="0.25">
      <c r="A197">
        <v>2023</v>
      </c>
      <c r="B197" s="4" t="s">
        <v>14</v>
      </c>
      <c r="C197" s="1">
        <v>1</v>
      </c>
      <c r="D197" s="1" t="s">
        <v>92</v>
      </c>
      <c r="E197" s="1" t="s">
        <v>12</v>
      </c>
      <c r="F197" s="1">
        <v>1</v>
      </c>
      <c r="G197" s="1">
        <v>143</v>
      </c>
      <c r="H197" s="1">
        <v>113</v>
      </c>
      <c r="I197" s="1">
        <v>108</v>
      </c>
    </row>
    <row r="198" spans="1:9" ht="14.25" customHeight="1" x14ac:dyDescent="0.25">
      <c r="A198">
        <v>2023</v>
      </c>
      <c r="B198" s="4" t="s">
        <v>14</v>
      </c>
      <c r="C198" s="1">
        <v>1</v>
      </c>
      <c r="D198" s="1" t="s">
        <v>92</v>
      </c>
      <c r="E198" s="1" t="s">
        <v>12</v>
      </c>
      <c r="F198" s="1">
        <v>2</v>
      </c>
      <c r="G198" s="1">
        <v>152</v>
      </c>
      <c r="H198" s="1">
        <v>115</v>
      </c>
      <c r="I198" s="1">
        <v>60</v>
      </c>
    </row>
    <row r="199" spans="1:9" ht="14.25" customHeight="1" x14ac:dyDescent="0.25">
      <c r="A199">
        <v>2023</v>
      </c>
      <c r="B199" s="4" t="s">
        <v>14</v>
      </c>
      <c r="C199" s="1">
        <v>1</v>
      </c>
      <c r="D199" s="1" t="s">
        <v>92</v>
      </c>
      <c r="E199" s="1" t="s">
        <v>12</v>
      </c>
      <c r="F199" s="1">
        <v>3</v>
      </c>
      <c r="G199" s="1">
        <v>141</v>
      </c>
      <c r="H199" s="1">
        <v>107</v>
      </c>
      <c r="I199" s="1">
        <v>72</v>
      </c>
    </row>
    <row r="200" spans="1:9" ht="14.25" customHeight="1" x14ac:dyDescent="0.25">
      <c r="A200">
        <v>2023</v>
      </c>
      <c r="B200" s="4" t="s">
        <v>49</v>
      </c>
      <c r="C200" s="1">
        <v>5</v>
      </c>
      <c r="D200" s="1" t="s">
        <v>93</v>
      </c>
      <c r="E200" s="1" t="s">
        <v>12</v>
      </c>
      <c r="F200" s="1">
        <v>1</v>
      </c>
      <c r="G200" s="1">
        <v>89</v>
      </c>
      <c r="H200" s="1">
        <v>124</v>
      </c>
      <c r="I200" s="5">
        <v>72</v>
      </c>
    </row>
    <row r="201" spans="1:9" ht="14.25" customHeight="1" x14ac:dyDescent="0.25">
      <c r="A201">
        <v>2023</v>
      </c>
      <c r="B201" s="4" t="s">
        <v>49</v>
      </c>
      <c r="C201" s="1">
        <v>5</v>
      </c>
      <c r="D201" s="1" t="s">
        <v>93</v>
      </c>
      <c r="E201" s="1" t="s">
        <v>12</v>
      </c>
      <c r="F201" s="1">
        <v>2</v>
      </c>
      <c r="G201" s="1">
        <v>91</v>
      </c>
      <c r="H201" s="1">
        <v>115</v>
      </c>
      <c r="I201" s="1">
        <v>72</v>
      </c>
    </row>
    <row r="202" spans="1:9" ht="14.25" customHeight="1" x14ac:dyDescent="0.25">
      <c r="A202">
        <v>2023</v>
      </c>
      <c r="B202" s="4" t="s">
        <v>49</v>
      </c>
      <c r="C202" s="1">
        <v>5</v>
      </c>
      <c r="D202" s="1" t="s">
        <v>93</v>
      </c>
      <c r="E202" s="1" t="s">
        <v>12</v>
      </c>
      <c r="F202" s="1">
        <v>3</v>
      </c>
      <c r="G202" s="1">
        <v>89</v>
      </c>
      <c r="H202" s="1">
        <v>123</v>
      </c>
      <c r="I202" s="1">
        <v>84</v>
      </c>
    </row>
    <row r="203" spans="1:9" ht="14.25" customHeight="1" x14ac:dyDescent="0.25">
      <c r="A203">
        <v>2023</v>
      </c>
      <c r="B203" s="4" t="s">
        <v>94</v>
      </c>
      <c r="C203" s="1">
        <v>4</v>
      </c>
      <c r="D203" s="1" t="s">
        <v>95</v>
      </c>
      <c r="E203" s="1" t="s">
        <v>12</v>
      </c>
      <c r="F203" s="1">
        <v>1</v>
      </c>
      <c r="G203" s="1">
        <v>139</v>
      </c>
      <c r="H203" s="1">
        <v>94</v>
      </c>
      <c r="I203" s="1">
        <v>48</v>
      </c>
    </row>
    <row r="204" spans="1:9" ht="14.25" customHeight="1" x14ac:dyDescent="0.25">
      <c r="A204">
        <v>2023</v>
      </c>
      <c r="B204" s="4" t="s">
        <v>94</v>
      </c>
      <c r="C204" s="1">
        <v>4</v>
      </c>
      <c r="D204" s="1" t="s">
        <v>95</v>
      </c>
      <c r="E204" s="1" t="s">
        <v>12</v>
      </c>
      <c r="F204" s="1">
        <v>2</v>
      </c>
      <c r="G204" s="1">
        <v>139</v>
      </c>
      <c r="H204" s="1">
        <v>103</v>
      </c>
      <c r="I204" s="1">
        <v>48</v>
      </c>
    </row>
    <row r="205" spans="1:9" ht="14.25" customHeight="1" x14ac:dyDescent="0.25">
      <c r="A205">
        <v>2023</v>
      </c>
      <c r="B205" s="4" t="s">
        <v>94</v>
      </c>
      <c r="C205" s="1">
        <v>4</v>
      </c>
      <c r="D205" s="1" t="s">
        <v>95</v>
      </c>
      <c r="E205" s="1" t="s">
        <v>12</v>
      </c>
      <c r="F205" s="1">
        <v>3</v>
      </c>
      <c r="G205" s="1">
        <v>139</v>
      </c>
      <c r="H205" s="1">
        <v>113</v>
      </c>
      <c r="I205" s="1">
        <v>96</v>
      </c>
    </row>
    <row r="206" spans="1:9" ht="14.25" customHeight="1" x14ac:dyDescent="0.25">
      <c r="A206">
        <v>2023</v>
      </c>
      <c r="B206" s="4" t="s">
        <v>94</v>
      </c>
      <c r="C206" s="1">
        <v>5</v>
      </c>
      <c r="D206" s="1" t="s">
        <v>96</v>
      </c>
      <c r="E206" s="1" t="s">
        <v>12</v>
      </c>
      <c r="F206" s="1">
        <v>1</v>
      </c>
      <c r="G206" s="1">
        <v>100</v>
      </c>
      <c r="H206" s="1">
        <v>144</v>
      </c>
      <c r="I206" s="1">
        <v>36</v>
      </c>
    </row>
    <row r="207" spans="1:9" ht="14.25" customHeight="1" x14ac:dyDescent="0.25">
      <c r="A207">
        <v>2023</v>
      </c>
      <c r="B207" s="4" t="s">
        <v>94</v>
      </c>
      <c r="C207" s="1">
        <v>5</v>
      </c>
      <c r="D207" s="1" t="s">
        <v>96</v>
      </c>
      <c r="E207" s="1" t="s">
        <v>12</v>
      </c>
      <c r="F207" s="1">
        <v>2</v>
      </c>
      <c r="G207" s="1">
        <v>104</v>
      </c>
      <c r="H207" s="1">
        <v>134</v>
      </c>
      <c r="I207" s="1">
        <v>36</v>
      </c>
    </row>
    <row r="208" spans="1:9" ht="14.25" customHeight="1" x14ac:dyDescent="0.25">
      <c r="A208">
        <v>2023</v>
      </c>
      <c r="B208" s="4" t="s">
        <v>94</v>
      </c>
      <c r="C208" s="1">
        <v>5</v>
      </c>
      <c r="D208" s="1" t="s">
        <v>96</v>
      </c>
      <c r="E208" s="1" t="s">
        <v>12</v>
      </c>
      <c r="F208" s="1">
        <v>3</v>
      </c>
      <c r="G208" s="1">
        <v>113</v>
      </c>
      <c r="H208" s="1">
        <v>146</v>
      </c>
      <c r="I208" s="1">
        <v>36</v>
      </c>
    </row>
    <row r="209" spans="1:9" ht="14.25" customHeight="1" x14ac:dyDescent="0.25">
      <c r="A209">
        <v>2023</v>
      </c>
      <c r="B209" s="4" t="s">
        <v>94</v>
      </c>
      <c r="C209" s="1">
        <v>4</v>
      </c>
      <c r="D209" s="1" t="s">
        <v>97</v>
      </c>
      <c r="E209" s="1" t="s">
        <v>12</v>
      </c>
      <c r="F209" s="1">
        <v>1</v>
      </c>
      <c r="G209" s="1">
        <v>114</v>
      </c>
      <c r="H209" s="1">
        <v>126</v>
      </c>
      <c r="I209" s="1">
        <v>84</v>
      </c>
    </row>
    <row r="210" spans="1:9" ht="14.25" customHeight="1" x14ac:dyDescent="0.25">
      <c r="A210">
        <v>2023</v>
      </c>
      <c r="B210" s="4" t="s">
        <v>94</v>
      </c>
      <c r="C210" s="1">
        <v>4</v>
      </c>
      <c r="D210" s="1" t="s">
        <v>97</v>
      </c>
      <c r="E210" s="1" t="s">
        <v>12</v>
      </c>
      <c r="F210" s="1">
        <v>2</v>
      </c>
      <c r="G210" s="1">
        <v>117</v>
      </c>
      <c r="H210" s="1">
        <v>132</v>
      </c>
      <c r="I210" s="1">
        <v>84</v>
      </c>
    </row>
    <row r="211" spans="1:9" ht="14.25" customHeight="1" x14ac:dyDescent="0.25">
      <c r="A211">
        <v>2023</v>
      </c>
      <c r="B211" s="4" t="s">
        <v>94</v>
      </c>
      <c r="C211" s="1">
        <v>4</v>
      </c>
      <c r="D211" s="1" t="s">
        <v>97</v>
      </c>
      <c r="E211" s="1" t="s">
        <v>12</v>
      </c>
      <c r="F211" s="1">
        <v>3</v>
      </c>
      <c r="G211" s="1">
        <v>114</v>
      </c>
      <c r="H211" s="1">
        <v>133</v>
      </c>
      <c r="I211" s="5">
        <v>48</v>
      </c>
    </row>
    <row r="212" spans="1:9" ht="14.25" customHeight="1" x14ac:dyDescent="0.25">
      <c r="A212">
        <v>2023</v>
      </c>
      <c r="B212" s="4" t="s">
        <v>94</v>
      </c>
      <c r="C212" s="1">
        <v>4</v>
      </c>
      <c r="D212" s="1" t="s">
        <v>98</v>
      </c>
      <c r="E212" s="1" t="s">
        <v>12</v>
      </c>
      <c r="F212" s="1">
        <v>1</v>
      </c>
      <c r="G212" s="1">
        <v>111</v>
      </c>
      <c r="H212" s="1">
        <v>131</v>
      </c>
      <c r="I212" s="1">
        <v>48</v>
      </c>
    </row>
    <row r="213" spans="1:9" ht="14.25" customHeight="1" x14ac:dyDescent="0.25">
      <c r="A213">
        <v>2023</v>
      </c>
      <c r="B213" s="4" t="s">
        <v>94</v>
      </c>
      <c r="C213" s="1">
        <v>4</v>
      </c>
      <c r="D213" s="1" t="s">
        <v>98</v>
      </c>
      <c r="E213" s="1" t="s">
        <v>12</v>
      </c>
      <c r="F213" s="1">
        <v>2</v>
      </c>
      <c r="G213" s="1">
        <v>112</v>
      </c>
      <c r="H213" s="1">
        <v>127</v>
      </c>
      <c r="I213" s="1">
        <v>60</v>
      </c>
    </row>
    <row r="214" spans="1:9" ht="14.25" customHeight="1" x14ac:dyDescent="0.25">
      <c r="A214">
        <v>2023</v>
      </c>
      <c r="B214" s="4" t="s">
        <v>94</v>
      </c>
      <c r="C214" s="1">
        <v>4</v>
      </c>
      <c r="D214" s="1" t="s">
        <v>98</v>
      </c>
      <c r="E214" s="1" t="s">
        <v>12</v>
      </c>
      <c r="F214" s="1">
        <v>3</v>
      </c>
      <c r="G214" s="1">
        <v>111</v>
      </c>
      <c r="H214" s="1">
        <v>135</v>
      </c>
      <c r="I214" s="1">
        <v>48</v>
      </c>
    </row>
    <row r="215" spans="1:9" ht="14.25" customHeight="1" x14ac:dyDescent="0.25">
      <c r="A215">
        <v>2023</v>
      </c>
      <c r="B215" s="4" t="s">
        <v>94</v>
      </c>
      <c r="C215" s="1">
        <v>5</v>
      </c>
      <c r="D215" s="1" t="s">
        <v>99</v>
      </c>
      <c r="E215" s="1" t="s">
        <v>12</v>
      </c>
      <c r="F215" s="1">
        <v>1</v>
      </c>
      <c r="G215" s="1">
        <v>129</v>
      </c>
      <c r="H215" s="1">
        <v>110</v>
      </c>
      <c r="I215" s="1">
        <v>48</v>
      </c>
    </row>
    <row r="216" spans="1:9" ht="14.25" customHeight="1" x14ac:dyDescent="0.25">
      <c r="A216">
        <v>2023</v>
      </c>
      <c r="B216" s="4" t="s">
        <v>94</v>
      </c>
      <c r="C216" s="1">
        <v>5</v>
      </c>
      <c r="D216" s="1" t="s">
        <v>99</v>
      </c>
      <c r="E216" s="1" t="s">
        <v>12</v>
      </c>
      <c r="F216" s="1">
        <v>2</v>
      </c>
      <c r="G216" s="1">
        <v>122</v>
      </c>
      <c r="H216" s="1">
        <v>102</v>
      </c>
      <c r="I216" s="1">
        <v>36</v>
      </c>
    </row>
    <row r="217" spans="1:9" ht="14.25" customHeight="1" x14ac:dyDescent="0.25">
      <c r="A217">
        <v>2023</v>
      </c>
      <c r="B217" s="4" t="s">
        <v>94</v>
      </c>
      <c r="C217" s="1">
        <v>5</v>
      </c>
      <c r="D217" s="1" t="s">
        <v>99</v>
      </c>
      <c r="E217" s="1" t="s">
        <v>12</v>
      </c>
      <c r="F217" s="1">
        <v>3</v>
      </c>
      <c r="G217" s="1">
        <v>118</v>
      </c>
      <c r="H217" s="1">
        <v>119</v>
      </c>
      <c r="I217" s="5">
        <v>48</v>
      </c>
    </row>
    <row r="218" spans="1:9" ht="14.25" customHeight="1" x14ac:dyDescent="0.25">
      <c r="A218">
        <v>2023</v>
      </c>
      <c r="B218" s="4" t="s">
        <v>94</v>
      </c>
      <c r="C218" s="1">
        <v>4</v>
      </c>
      <c r="D218" s="1" t="s">
        <v>100</v>
      </c>
      <c r="E218" s="1" t="s">
        <v>12</v>
      </c>
      <c r="F218" s="1">
        <v>1</v>
      </c>
      <c r="G218" s="1">
        <v>139</v>
      </c>
      <c r="H218" s="1">
        <v>114</v>
      </c>
      <c r="I218" s="1">
        <v>60</v>
      </c>
    </row>
    <row r="219" spans="1:9" ht="14.25" customHeight="1" x14ac:dyDescent="0.25">
      <c r="A219">
        <v>2023</v>
      </c>
      <c r="B219" s="4" t="s">
        <v>94</v>
      </c>
      <c r="C219" s="1">
        <v>4</v>
      </c>
      <c r="D219" s="1" t="s">
        <v>100</v>
      </c>
      <c r="E219" s="1" t="s">
        <v>12</v>
      </c>
      <c r="F219" s="1">
        <v>2</v>
      </c>
      <c r="G219" s="1">
        <v>140</v>
      </c>
      <c r="H219" s="1">
        <v>121</v>
      </c>
      <c r="I219" s="1">
        <v>48</v>
      </c>
    </row>
    <row r="220" spans="1:9" ht="14.25" customHeight="1" x14ac:dyDescent="0.25">
      <c r="A220">
        <v>2023</v>
      </c>
      <c r="B220" s="4" t="s">
        <v>94</v>
      </c>
      <c r="C220" s="1">
        <v>4</v>
      </c>
      <c r="D220" s="1" t="s">
        <v>100</v>
      </c>
      <c r="E220" s="1" t="s">
        <v>12</v>
      </c>
      <c r="F220" s="1">
        <v>3</v>
      </c>
      <c r="G220" s="1">
        <v>140</v>
      </c>
      <c r="H220" s="1">
        <v>125</v>
      </c>
      <c r="I220" s="1">
        <v>48</v>
      </c>
    </row>
    <row r="221" spans="1:9" ht="14.25" customHeight="1" x14ac:dyDescent="0.25">
      <c r="A221">
        <v>2023</v>
      </c>
      <c r="B221" s="4" t="s">
        <v>94</v>
      </c>
      <c r="C221" s="1">
        <v>4</v>
      </c>
      <c r="D221" s="1" t="s">
        <v>101</v>
      </c>
      <c r="E221" s="1" t="s">
        <v>12</v>
      </c>
      <c r="F221" s="1">
        <v>1</v>
      </c>
      <c r="G221" s="1">
        <v>111</v>
      </c>
      <c r="H221" s="1">
        <v>120</v>
      </c>
      <c r="I221" s="5">
        <v>54</v>
      </c>
    </row>
    <row r="222" spans="1:9" ht="14.25" customHeight="1" x14ac:dyDescent="0.25">
      <c r="A222">
        <v>2023</v>
      </c>
      <c r="B222" s="4" t="s">
        <v>94</v>
      </c>
      <c r="C222" s="1">
        <v>4</v>
      </c>
      <c r="D222" s="1" t="s">
        <v>101</v>
      </c>
      <c r="E222" s="1" t="s">
        <v>12</v>
      </c>
      <c r="F222" s="1">
        <v>2</v>
      </c>
      <c r="G222" s="1">
        <v>86</v>
      </c>
      <c r="H222" s="1">
        <v>132</v>
      </c>
      <c r="I222" s="1">
        <v>48</v>
      </c>
    </row>
    <row r="223" spans="1:9" ht="14.25" customHeight="1" x14ac:dyDescent="0.25">
      <c r="A223">
        <v>2023</v>
      </c>
      <c r="B223" s="4" t="s">
        <v>94</v>
      </c>
      <c r="C223" s="1">
        <v>4</v>
      </c>
      <c r="D223" s="1" t="s">
        <v>101</v>
      </c>
      <c r="E223" s="1" t="s">
        <v>12</v>
      </c>
      <c r="F223" s="1">
        <v>3</v>
      </c>
      <c r="G223" s="1">
        <v>105</v>
      </c>
      <c r="H223" s="1">
        <v>128</v>
      </c>
      <c r="I223" s="1">
        <v>48</v>
      </c>
    </row>
    <row r="224" spans="1:9" ht="14.25" customHeight="1" x14ac:dyDescent="0.25">
      <c r="A224">
        <v>2023</v>
      </c>
      <c r="B224" s="4" t="s">
        <v>94</v>
      </c>
      <c r="C224" s="1">
        <v>4</v>
      </c>
      <c r="D224" s="1" t="s">
        <v>102</v>
      </c>
      <c r="E224" s="1" t="s">
        <v>12</v>
      </c>
      <c r="F224" s="1">
        <v>1</v>
      </c>
      <c r="G224" s="1">
        <v>108</v>
      </c>
      <c r="H224" s="1">
        <v>109</v>
      </c>
      <c r="I224" s="1">
        <v>36</v>
      </c>
    </row>
    <row r="225" spans="1:9" ht="14.25" customHeight="1" x14ac:dyDescent="0.25">
      <c r="A225">
        <v>2023</v>
      </c>
      <c r="B225" s="4" t="s">
        <v>94</v>
      </c>
      <c r="C225" s="1">
        <v>4</v>
      </c>
      <c r="D225" s="1" t="s">
        <v>102</v>
      </c>
      <c r="E225" s="1" t="s">
        <v>12</v>
      </c>
      <c r="F225" s="1">
        <v>2</v>
      </c>
      <c r="G225" s="1">
        <v>109</v>
      </c>
      <c r="H225" s="1">
        <v>119</v>
      </c>
      <c r="I225" s="1">
        <v>48</v>
      </c>
    </row>
    <row r="226" spans="1:9" ht="14.25" customHeight="1" x14ac:dyDescent="0.25">
      <c r="A226">
        <v>2023</v>
      </c>
      <c r="B226" s="4" t="s">
        <v>94</v>
      </c>
      <c r="C226" s="1">
        <v>4</v>
      </c>
      <c r="D226" s="1" t="s">
        <v>102</v>
      </c>
      <c r="E226" s="1" t="s">
        <v>12</v>
      </c>
      <c r="F226" s="1">
        <v>3</v>
      </c>
      <c r="G226" s="1">
        <v>109</v>
      </c>
      <c r="H226" s="1">
        <v>109</v>
      </c>
      <c r="I226" s="1">
        <v>24</v>
      </c>
    </row>
    <row r="227" spans="1:9" ht="14.25" customHeight="1" x14ac:dyDescent="0.25">
      <c r="A227">
        <v>2023</v>
      </c>
      <c r="B227" s="4" t="s">
        <v>94</v>
      </c>
      <c r="C227" s="1">
        <v>5</v>
      </c>
      <c r="D227" s="1" t="s">
        <v>103</v>
      </c>
      <c r="E227" s="1" t="s">
        <v>12</v>
      </c>
      <c r="F227" s="1">
        <v>1</v>
      </c>
      <c r="G227" s="1">
        <v>111</v>
      </c>
      <c r="H227" s="1">
        <v>119</v>
      </c>
      <c r="I227" s="1">
        <v>36</v>
      </c>
    </row>
    <row r="228" spans="1:9" ht="14.25" customHeight="1" x14ac:dyDescent="0.25">
      <c r="A228">
        <v>2023</v>
      </c>
      <c r="B228" s="4" t="s">
        <v>94</v>
      </c>
      <c r="C228" s="1">
        <v>5</v>
      </c>
      <c r="D228" s="1" t="s">
        <v>103</v>
      </c>
      <c r="E228" s="1" t="s">
        <v>12</v>
      </c>
      <c r="F228" s="1">
        <v>2</v>
      </c>
      <c r="G228" s="1">
        <v>113</v>
      </c>
      <c r="H228" s="1">
        <v>121</v>
      </c>
      <c r="I228" s="1">
        <v>36</v>
      </c>
    </row>
    <row r="229" spans="1:9" ht="14.25" customHeight="1" x14ac:dyDescent="0.25">
      <c r="A229">
        <v>2023</v>
      </c>
      <c r="B229" s="4" t="s">
        <v>94</v>
      </c>
      <c r="C229" s="1">
        <v>5</v>
      </c>
      <c r="D229" s="1" t="s">
        <v>103</v>
      </c>
      <c r="E229" s="1" t="s">
        <v>12</v>
      </c>
      <c r="F229" s="1">
        <v>3</v>
      </c>
      <c r="G229" s="1">
        <v>118</v>
      </c>
      <c r="H229" s="1">
        <v>113</v>
      </c>
      <c r="I229" s="1">
        <v>36</v>
      </c>
    </row>
    <row r="230" spans="1:9" ht="14.25" customHeight="1" x14ac:dyDescent="0.25">
      <c r="A230">
        <v>2023</v>
      </c>
      <c r="B230" s="4" t="s">
        <v>94</v>
      </c>
      <c r="C230" s="1">
        <v>4</v>
      </c>
      <c r="D230" s="1" t="s">
        <v>104</v>
      </c>
      <c r="E230" s="1" t="s">
        <v>12</v>
      </c>
      <c r="F230" s="1">
        <v>1</v>
      </c>
      <c r="G230" s="1">
        <v>137</v>
      </c>
      <c r="H230" s="1">
        <v>146</v>
      </c>
      <c r="I230" s="5">
        <v>58</v>
      </c>
    </row>
    <row r="231" spans="1:9" ht="14.25" customHeight="1" x14ac:dyDescent="0.25">
      <c r="A231">
        <v>2023</v>
      </c>
      <c r="B231" s="4" t="s">
        <v>94</v>
      </c>
      <c r="C231" s="1">
        <v>4</v>
      </c>
      <c r="D231" s="1" t="s">
        <v>104</v>
      </c>
      <c r="E231" s="1" t="s">
        <v>12</v>
      </c>
      <c r="F231" s="1">
        <v>2</v>
      </c>
      <c r="G231" s="1">
        <v>122</v>
      </c>
      <c r="H231" s="1">
        <v>138</v>
      </c>
      <c r="I231" s="1">
        <v>36</v>
      </c>
    </row>
    <row r="232" spans="1:9" ht="14.25" customHeight="1" x14ac:dyDescent="0.25">
      <c r="A232">
        <v>2023</v>
      </c>
      <c r="B232" s="4" t="s">
        <v>94</v>
      </c>
      <c r="C232" s="1">
        <v>4</v>
      </c>
      <c r="D232" s="1" t="s">
        <v>104</v>
      </c>
      <c r="E232" s="1" t="s">
        <v>12</v>
      </c>
      <c r="F232" s="1">
        <v>3</v>
      </c>
      <c r="G232" s="1">
        <v>118</v>
      </c>
      <c r="H232" s="1">
        <v>136</v>
      </c>
      <c r="I232" s="1">
        <v>72</v>
      </c>
    </row>
    <row r="233" spans="1:9" ht="14.25" customHeight="1" x14ac:dyDescent="0.25">
      <c r="A233">
        <v>2023</v>
      </c>
      <c r="B233" s="4" t="s">
        <v>94</v>
      </c>
      <c r="C233" s="1">
        <v>5</v>
      </c>
      <c r="D233" s="1" t="s">
        <v>105</v>
      </c>
      <c r="E233" s="1" t="s">
        <v>12</v>
      </c>
      <c r="F233" s="1">
        <v>1</v>
      </c>
      <c r="G233" s="1">
        <v>116</v>
      </c>
      <c r="H233" s="1">
        <v>108</v>
      </c>
      <c r="I233" s="1">
        <v>48</v>
      </c>
    </row>
    <row r="234" spans="1:9" ht="14.25" customHeight="1" x14ac:dyDescent="0.25">
      <c r="A234">
        <v>2023</v>
      </c>
      <c r="B234" s="4" t="s">
        <v>94</v>
      </c>
      <c r="C234" s="1">
        <v>5</v>
      </c>
      <c r="D234" s="1" t="s">
        <v>105</v>
      </c>
      <c r="E234" s="1" t="s">
        <v>12</v>
      </c>
      <c r="F234" s="1">
        <v>2</v>
      </c>
      <c r="G234" s="1">
        <v>120</v>
      </c>
      <c r="H234" s="1">
        <v>113</v>
      </c>
      <c r="I234" s="1">
        <v>36</v>
      </c>
    </row>
    <row r="235" spans="1:9" ht="14.25" customHeight="1" x14ac:dyDescent="0.25">
      <c r="A235">
        <v>2023</v>
      </c>
      <c r="B235" s="4" t="s">
        <v>94</v>
      </c>
      <c r="C235" s="1">
        <v>5</v>
      </c>
      <c r="D235" s="1" t="s">
        <v>105</v>
      </c>
      <c r="E235" s="1" t="s">
        <v>12</v>
      </c>
      <c r="F235" s="1">
        <v>3</v>
      </c>
      <c r="G235" s="1">
        <v>124</v>
      </c>
      <c r="H235" s="1">
        <v>110</v>
      </c>
      <c r="I235" s="1">
        <v>36</v>
      </c>
    </row>
    <row r="236" spans="1:9" ht="14.25" customHeight="1" x14ac:dyDescent="0.25">
      <c r="A236">
        <v>2023</v>
      </c>
      <c r="B236" s="4" t="s">
        <v>94</v>
      </c>
      <c r="C236" s="1">
        <v>4</v>
      </c>
      <c r="D236" s="1" t="s">
        <v>106</v>
      </c>
      <c r="E236" s="1" t="s">
        <v>12</v>
      </c>
      <c r="F236" s="1">
        <v>1</v>
      </c>
      <c r="G236" s="1">
        <v>114</v>
      </c>
      <c r="H236" s="1">
        <v>121</v>
      </c>
      <c r="I236" s="5">
        <v>60</v>
      </c>
    </row>
    <row r="237" spans="1:9" ht="14.25" customHeight="1" x14ac:dyDescent="0.25">
      <c r="A237">
        <v>2023</v>
      </c>
      <c r="B237" s="4" t="s">
        <v>94</v>
      </c>
      <c r="C237" s="1">
        <v>4</v>
      </c>
      <c r="D237" s="1" t="s">
        <v>106</v>
      </c>
      <c r="E237" s="1" t="s">
        <v>12</v>
      </c>
      <c r="F237" s="1">
        <v>2</v>
      </c>
      <c r="G237" s="1">
        <v>114</v>
      </c>
      <c r="H237" s="1">
        <v>128</v>
      </c>
      <c r="I237" s="1">
        <v>84</v>
      </c>
    </row>
    <row r="238" spans="1:9" ht="14.25" customHeight="1" x14ac:dyDescent="0.25">
      <c r="A238">
        <v>2023</v>
      </c>
      <c r="B238" s="4" t="s">
        <v>94</v>
      </c>
      <c r="C238" s="1">
        <v>4</v>
      </c>
      <c r="D238" s="1" t="s">
        <v>106</v>
      </c>
      <c r="E238" s="1" t="s">
        <v>12</v>
      </c>
      <c r="F238" s="1">
        <v>3</v>
      </c>
      <c r="G238" s="1">
        <v>114</v>
      </c>
      <c r="H238" s="1">
        <v>130</v>
      </c>
      <c r="I238" s="1">
        <v>48</v>
      </c>
    </row>
    <row r="239" spans="1:9" ht="14.25" customHeight="1" x14ac:dyDescent="0.25">
      <c r="A239">
        <v>2023</v>
      </c>
      <c r="B239" s="4" t="s">
        <v>94</v>
      </c>
      <c r="C239" s="1">
        <v>4</v>
      </c>
      <c r="D239" s="1" t="s">
        <v>107</v>
      </c>
      <c r="E239" s="1" t="s">
        <v>12</v>
      </c>
      <c r="F239" s="1">
        <v>1</v>
      </c>
      <c r="G239" s="1">
        <v>118</v>
      </c>
      <c r="H239" s="1">
        <v>99</v>
      </c>
      <c r="I239" s="1">
        <v>24</v>
      </c>
    </row>
    <row r="240" spans="1:9" ht="14.25" customHeight="1" x14ac:dyDescent="0.25">
      <c r="A240">
        <v>2023</v>
      </c>
      <c r="B240" s="4" t="s">
        <v>94</v>
      </c>
      <c r="C240" s="1">
        <v>4</v>
      </c>
      <c r="D240" s="1" t="s">
        <v>107</v>
      </c>
      <c r="E240" s="1" t="s">
        <v>12</v>
      </c>
      <c r="F240" s="1">
        <v>2</v>
      </c>
      <c r="G240" s="1">
        <v>128</v>
      </c>
      <c r="H240" s="1">
        <v>98</v>
      </c>
      <c r="I240" s="1">
        <v>0</v>
      </c>
    </row>
    <row r="241" spans="1:9" ht="14.25" customHeight="1" x14ac:dyDescent="0.25">
      <c r="A241">
        <v>2023</v>
      </c>
      <c r="B241" s="4" t="s">
        <v>94</v>
      </c>
      <c r="C241" s="1">
        <v>4</v>
      </c>
      <c r="D241" s="1" t="s">
        <v>107</v>
      </c>
      <c r="E241" s="1" t="s">
        <v>12</v>
      </c>
      <c r="F241" s="1">
        <v>3</v>
      </c>
      <c r="G241" s="1">
        <v>118</v>
      </c>
      <c r="H241" s="1">
        <v>85</v>
      </c>
      <c r="I241" s="1">
        <v>12</v>
      </c>
    </row>
    <row r="242" spans="1:9" ht="14.25" customHeight="1" x14ac:dyDescent="0.25">
      <c r="A242">
        <v>2023</v>
      </c>
      <c r="B242" s="4" t="s">
        <v>94</v>
      </c>
      <c r="C242" s="1">
        <v>4</v>
      </c>
      <c r="D242" s="1" t="s">
        <v>108</v>
      </c>
      <c r="E242" s="1" t="s">
        <v>12</v>
      </c>
      <c r="F242" s="1">
        <v>1</v>
      </c>
      <c r="G242" s="1">
        <v>105</v>
      </c>
      <c r="H242" s="1">
        <v>136</v>
      </c>
      <c r="I242" s="1">
        <v>108</v>
      </c>
    </row>
    <row r="243" spans="1:9" ht="14.25" customHeight="1" x14ac:dyDescent="0.25">
      <c r="A243">
        <v>2023</v>
      </c>
      <c r="B243" s="4" t="s">
        <v>94</v>
      </c>
      <c r="C243" s="1">
        <v>4</v>
      </c>
      <c r="D243" s="1" t="s">
        <v>108</v>
      </c>
      <c r="E243" s="1" t="s">
        <v>12</v>
      </c>
      <c r="F243" s="1">
        <v>2</v>
      </c>
      <c r="G243" s="1">
        <v>103</v>
      </c>
      <c r="H243" s="1">
        <v>135</v>
      </c>
      <c r="I243" s="1">
        <v>96</v>
      </c>
    </row>
    <row r="244" spans="1:9" ht="14.25" customHeight="1" x14ac:dyDescent="0.25">
      <c r="A244">
        <v>2023</v>
      </c>
      <c r="B244" s="4" t="s">
        <v>94</v>
      </c>
      <c r="C244" s="1">
        <v>4</v>
      </c>
      <c r="D244" s="1" t="s">
        <v>108</v>
      </c>
      <c r="E244" s="1" t="s">
        <v>12</v>
      </c>
      <c r="F244" s="1">
        <v>3</v>
      </c>
      <c r="G244" s="1">
        <v>111</v>
      </c>
      <c r="H244" s="1">
        <v>135</v>
      </c>
      <c r="I244" s="1">
        <v>60</v>
      </c>
    </row>
    <row r="245" spans="1:9" ht="14.25" customHeight="1" x14ac:dyDescent="0.25">
      <c r="A245">
        <v>2023</v>
      </c>
      <c r="B245" s="4" t="s">
        <v>94</v>
      </c>
      <c r="C245" s="1">
        <v>4</v>
      </c>
      <c r="D245" s="1" t="s">
        <v>109</v>
      </c>
      <c r="E245" s="1" t="s">
        <v>12</v>
      </c>
      <c r="F245" s="1">
        <v>1</v>
      </c>
      <c r="G245" s="1">
        <v>120</v>
      </c>
      <c r="H245" s="1">
        <v>125</v>
      </c>
      <c r="I245" s="1">
        <v>60</v>
      </c>
    </row>
    <row r="246" spans="1:9" ht="14.25" customHeight="1" x14ac:dyDescent="0.25">
      <c r="A246">
        <v>2023</v>
      </c>
      <c r="B246" s="4" t="s">
        <v>94</v>
      </c>
      <c r="C246" s="1">
        <v>4</v>
      </c>
      <c r="D246" s="1" t="s">
        <v>109</v>
      </c>
      <c r="E246" s="1" t="s">
        <v>12</v>
      </c>
      <c r="F246" s="1">
        <v>2</v>
      </c>
      <c r="G246" s="1">
        <v>121</v>
      </c>
      <c r="H246" s="1">
        <v>126</v>
      </c>
      <c r="I246" s="1">
        <v>60</v>
      </c>
    </row>
    <row r="247" spans="1:9" ht="14.25" customHeight="1" x14ac:dyDescent="0.25">
      <c r="A247">
        <v>2023</v>
      </c>
      <c r="B247" s="4" t="s">
        <v>94</v>
      </c>
      <c r="C247" s="1">
        <v>4</v>
      </c>
      <c r="D247" s="1" t="s">
        <v>109</v>
      </c>
      <c r="E247" s="1" t="s">
        <v>12</v>
      </c>
      <c r="F247" s="1">
        <v>3</v>
      </c>
      <c r="G247" s="1">
        <v>118</v>
      </c>
      <c r="H247" s="1">
        <v>111</v>
      </c>
      <c r="I247" s="1">
        <v>48</v>
      </c>
    </row>
    <row r="248" spans="1:9" ht="14.25" customHeight="1" x14ac:dyDescent="0.25">
      <c r="A248">
        <v>2023</v>
      </c>
      <c r="B248" s="4" t="s">
        <v>94</v>
      </c>
      <c r="C248" s="1">
        <v>4</v>
      </c>
      <c r="D248" s="1" t="s">
        <v>110</v>
      </c>
      <c r="E248" s="1" t="s">
        <v>12</v>
      </c>
      <c r="F248" s="1">
        <v>1</v>
      </c>
      <c r="G248" s="1">
        <v>119</v>
      </c>
      <c r="H248" s="1">
        <v>132</v>
      </c>
      <c r="I248" s="1">
        <v>96</v>
      </c>
    </row>
    <row r="249" spans="1:9" ht="14.25" customHeight="1" x14ac:dyDescent="0.25">
      <c r="A249">
        <v>2023</v>
      </c>
      <c r="B249" s="4" t="s">
        <v>94</v>
      </c>
      <c r="C249" s="1">
        <v>4</v>
      </c>
      <c r="D249" s="1" t="s">
        <v>110</v>
      </c>
      <c r="E249" s="1" t="s">
        <v>12</v>
      </c>
      <c r="F249" s="1">
        <v>2</v>
      </c>
      <c r="G249" s="1">
        <v>118</v>
      </c>
      <c r="H249" s="1">
        <v>138</v>
      </c>
      <c r="I249" s="1">
        <v>72</v>
      </c>
    </row>
    <row r="250" spans="1:9" ht="14.25" customHeight="1" x14ac:dyDescent="0.25">
      <c r="A250">
        <v>2023</v>
      </c>
      <c r="B250" s="4" t="s">
        <v>94</v>
      </c>
      <c r="C250" s="1">
        <v>4</v>
      </c>
      <c r="D250" s="1" t="s">
        <v>110</v>
      </c>
      <c r="E250" s="1" t="s">
        <v>12</v>
      </c>
      <c r="F250" s="1">
        <v>3</v>
      </c>
      <c r="G250" s="1">
        <v>114</v>
      </c>
      <c r="H250" s="1">
        <v>127</v>
      </c>
      <c r="I250" s="1">
        <v>84</v>
      </c>
    </row>
    <row r="251" spans="1:9" ht="14.25" customHeight="1" x14ac:dyDescent="0.25">
      <c r="A251">
        <v>2023</v>
      </c>
      <c r="B251" s="4" t="s">
        <v>94</v>
      </c>
      <c r="C251" s="1">
        <v>5</v>
      </c>
      <c r="D251" s="1" t="s">
        <v>111</v>
      </c>
      <c r="E251" s="1" t="s">
        <v>12</v>
      </c>
      <c r="F251" s="1">
        <v>1</v>
      </c>
      <c r="G251" s="1">
        <v>107</v>
      </c>
      <c r="H251" s="1">
        <v>144</v>
      </c>
      <c r="I251" s="1">
        <v>36</v>
      </c>
    </row>
    <row r="252" spans="1:9" ht="14.25" customHeight="1" x14ac:dyDescent="0.25">
      <c r="A252">
        <v>2023</v>
      </c>
      <c r="B252" s="4" t="s">
        <v>94</v>
      </c>
      <c r="C252" s="1">
        <v>5</v>
      </c>
      <c r="D252" s="1" t="s">
        <v>111</v>
      </c>
      <c r="E252" s="1" t="s">
        <v>12</v>
      </c>
      <c r="F252" s="1">
        <v>2</v>
      </c>
      <c r="G252" s="1">
        <v>109</v>
      </c>
      <c r="H252" s="1">
        <v>140</v>
      </c>
      <c r="I252" s="1">
        <v>12</v>
      </c>
    </row>
    <row r="253" spans="1:9" ht="14.25" customHeight="1" x14ac:dyDescent="0.25">
      <c r="A253">
        <v>2023</v>
      </c>
      <c r="B253" s="4" t="s">
        <v>94</v>
      </c>
      <c r="C253" s="1">
        <v>5</v>
      </c>
      <c r="D253" s="1" t="s">
        <v>111</v>
      </c>
      <c r="E253" s="1" t="s">
        <v>12</v>
      </c>
      <c r="F253" s="1">
        <v>3</v>
      </c>
      <c r="G253" s="1">
        <v>109</v>
      </c>
      <c r="H253" s="1">
        <v>150</v>
      </c>
      <c r="I253" s="1">
        <v>24</v>
      </c>
    </row>
    <row r="254" spans="1:9" ht="14.25" customHeight="1" x14ac:dyDescent="0.25">
      <c r="A254">
        <v>2023</v>
      </c>
      <c r="B254" s="4" t="s">
        <v>94</v>
      </c>
      <c r="C254" s="1">
        <v>4</v>
      </c>
      <c r="D254" s="1" t="s">
        <v>112</v>
      </c>
      <c r="E254" s="1" t="s">
        <v>12</v>
      </c>
      <c r="F254" s="1">
        <v>1</v>
      </c>
      <c r="G254" s="1">
        <v>107</v>
      </c>
      <c r="H254" s="1">
        <v>132</v>
      </c>
      <c r="I254" s="1">
        <v>84</v>
      </c>
    </row>
    <row r="255" spans="1:9" ht="14.25" customHeight="1" x14ac:dyDescent="0.25">
      <c r="A255">
        <v>2023</v>
      </c>
      <c r="B255" s="4" t="s">
        <v>94</v>
      </c>
      <c r="C255" s="1">
        <v>4</v>
      </c>
      <c r="D255" s="1" t="s">
        <v>112</v>
      </c>
      <c r="E255" s="1" t="s">
        <v>12</v>
      </c>
      <c r="F255" s="1">
        <v>2</v>
      </c>
      <c r="G255" s="1">
        <v>108</v>
      </c>
      <c r="H255" s="1">
        <v>126</v>
      </c>
      <c r="I255" s="5">
        <v>54</v>
      </c>
    </row>
    <row r="256" spans="1:9" ht="14.25" customHeight="1" x14ac:dyDescent="0.25">
      <c r="A256">
        <v>2023</v>
      </c>
      <c r="B256" s="4" t="s">
        <v>94</v>
      </c>
      <c r="C256" s="1">
        <v>4</v>
      </c>
      <c r="D256" s="1" t="s">
        <v>112</v>
      </c>
      <c r="E256" s="1" t="s">
        <v>12</v>
      </c>
      <c r="F256" s="1">
        <v>3</v>
      </c>
      <c r="G256" s="1">
        <v>111</v>
      </c>
      <c r="H256" s="1">
        <v>123</v>
      </c>
      <c r="I256" s="1">
        <v>48</v>
      </c>
    </row>
    <row r="257" spans="1:9" ht="14.25" customHeight="1" x14ac:dyDescent="0.25">
      <c r="A257">
        <v>2023</v>
      </c>
      <c r="B257" s="4" t="s">
        <v>94</v>
      </c>
      <c r="C257" s="1">
        <v>4</v>
      </c>
      <c r="D257" s="1" t="s">
        <v>113</v>
      </c>
      <c r="E257" s="1" t="s">
        <v>12</v>
      </c>
      <c r="F257" s="1">
        <v>1</v>
      </c>
      <c r="G257" s="1">
        <v>109</v>
      </c>
      <c r="H257" s="1">
        <v>120</v>
      </c>
      <c r="I257" s="1">
        <v>36</v>
      </c>
    </row>
    <row r="258" spans="1:9" ht="14.25" customHeight="1" x14ac:dyDescent="0.25">
      <c r="A258">
        <v>2023</v>
      </c>
      <c r="B258" s="4" t="s">
        <v>94</v>
      </c>
      <c r="C258" s="1">
        <v>4</v>
      </c>
      <c r="D258" s="1" t="s">
        <v>113</v>
      </c>
      <c r="E258" s="1" t="s">
        <v>12</v>
      </c>
      <c r="F258" s="1">
        <v>2</v>
      </c>
      <c r="G258" s="1">
        <v>109</v>
      </c>
      <c r="H258" s="1">
        <v>117</v>
      </c>
      <c r="I258" s="1">
        <v>48</v>
      </c>
    </row>
    <row r="259" spans="1:9" ht="14.25" customHeight="1" x14ac:dyDescent="0.25">
      <c r="A259">
        <v>2023</v>
      </c>
      <c r="B259" s="4" t="s">
        <v>94</v>
      </c>
      <c r="C259" s="1">
        <v>4</v>
      </c>
      <c r="D259" s="1" t="s">
        <v>113</v>
      </c>
      <c r="E259" s="1" t="s">
        <v>12</v>
      </c>
      <c r="F259" s="1">
        <v>3</v>
      </c>
      <c r="G259" s="1">
        <v>112</v>
      </c>
      <c r="H259" s="1">
        <v>135</v>
      </c>
      <c r="I259" s="1">
        <v>72</v>
      </c>
    </row>
    <row r="260" spans="1:9" ht="14.25" customHeight="1" x14ac:dyDescent="0.25">
      <c r="A260">
        <v>2023</v>
      </c>
      <c r="B260" s="4" t="s">
        <v>94</v>
      </c>
      <c r="C260" s="1">
        <v>4</v>
      </c>
      <c r="D260" s="1" t="s">
        <v>114</v>
      </c>
      <c r="E260" s="1" t="s">
        <v>12</v>
      </c>
      <c r="F260" s="1">
        <v>1</v>
      </c>
      <c r="G260" s="1">
        <v>118</v>
      </c>
      <c r="H260" s="1">
        <v>125</v>
      </c>
      <c r="I260" s="1">
        <v>72</v>
      </c>
    </row>
    <row r="261" spans="1:9" ht="14.25" customHeight="1" x14ac:dyDescent="0.25">
      <c r="A261">
        <v>2023</v>
      </c>
      <c r="B261" s="4" t="s">
        <v>94</v>
      </c>
      <c r="C261" s="1">
        <v>4</v>
      </c>
      <c r="D261" s="1" t="s">
        <v>114</v>
      </c>
      <c r="E261" s="1" t="s">
        <v>12</v>
      </c>
      <c r="F261" s="1">
        <v>2</v>
      </c>
      <c r="G261" s="1">
        <v>115</v>
      </c>
      <c r="H261" s="1">
        <v>118</v>
      </c>
      <c r="I261" s="1">
        <v>84</v>
      </c>
    </row>
    <row r="262" spans="1:9" ht="14.25" customHeight="1" x14ac:dyDescent="0.25">
      <c r="A262">
        <v>2023</v>
      </c>
      <c r="B262" s="4" t="s">
        <v>94</v>
      </c>
      <c r="C262" s="1">
        <v>4</v>
      </c>
      <c r="D262" s="1" t="s">
        <v>114</v>
      </c>
      <c r="E262" s="1" t="s">
        <v>12</v>
      </c>
      <c r="F262" s="1">
        <v>3</v>
      </c>
      <c r="G262" s="1">
        <v>114</v>
      </c>
      <c r="H262" s="1">
        <v>122</v>
      </c>
      <c r="I262" s="1">
        <v>60</v>
      </c>
    </row>
    <row r="263" spans="1:9" ht="14.25" customHeight="1" x14ac:dyDescent="0.25">
      <c r="A263">
        <v>2023</v>
      </c>
      <c r="B263" s="4" t="s">
        <v>94</v>
      </c>
      <c r="C263" s="1">
        <v>5</v>
      </c>
      <c r="D263" s="1" t="s">
        <v>115</v>
      </c>
      <c r="E263" s="1" t="s">
        <v>12</v>
      </c>
      <c r="F263" s="1">
        <v>1</v>
      </c>
      <c r="G263" s="1">
        <v>104</v>
      </c>
      <c r="H263" s="1">
        <v>134</v>
      </c>
      <c r="I263" s="1">
        <v>108</v>
      </c>
    </row>
    <row r="264" spans="1:9" ht="14.25" customHeight="1" x14ac:dyDescent="0.25">
      <c r="A264">
        <v>2023</v>
      </c>
      <c r="B264" s="4" t="s">
        <v>94</v>
      </c>
      <c r="C264" s="1">
        <v>5</v>
      </c>
      <c r="D264" s="1" t="s">
        <v>115</v>
      </c>
      <c r="E264" s="1" t="s">
        <v>12</v>
      </c>
      <c r="F264" s="1">
        <v>2</v>
      </c>
      <c r="G264" s="1">
        <v>109</v>
      </c>
      <c r="H264" s="1">
        <v>127</v>
      </c>
      <c r="I264" s="1">
        <v>72</v>
      </c>
    </row>
    <row r="265" spans="1:9" ht="14.25" customHeight="1" x14ac:dyDescent="0.25">
      <c r="A265">
        <v>2023</v>
      </c>
      <c r="B265" s="4" t="s">
        <v>94</v>
      </c>
      <c r="C265" s="1">
        <v>5</v>
      </c>
      <c r="D265" s="1" t="s">
        <v>115</v>
      </c>
      <c r="E265" s="1" t="s">
        <v>12</v>
      </c>
      <c r="F265" s="1">
        <v>3</v>
      </c>
      <c r="G265" s="1">
        <v>109</v>
      </c>
      <c r="H265" s="1">
        <v>116</v>
      </c>
      <c r="I265" s="1">
        <v>72</v>
      </c>
    </row>
    <row r="266" spans="1:9" ht="14.25" customHeight="1" x14ac:dyDescent="0.25">
      <c r="A266">
        <v>2023</v>
      </c>
      <c r="B266" s="4" t="s">
        <v>94</v>
      </c>
      <c r="C266" s="1">
        <v>4</v>
      </c>
      <c r="D266" s="1" t="s">
        <v>116</v>
      </c>
      <c r="E266" s="1" t="s">
        <v>12</v>
      </c>
      <c r="F266" s="1">
        <v>1</v>
      </c>
      <c r="G266" s="1">
        <v>128</v>
      </c>
      <c r="H266" s="1">
        <v>133</v>
      </c>
      <c r="I266" s="1">
        <v>96</v>
      </c>
    </row>
    <row r="267" spans="1:9" ht="14.25" customHeight="1" x14ac:dyDescent="0.25">
      <c r="A267">
        <v>2023</v>
      </c>
      <c r="B267" s="4" t="s">
        <v>94</v>
      </c>
      <c r="C267" s="1">
        <v>4</v>
      </c>
      <c r="D267" s="1" t="s">
        <v>116</v>
      </c>
      <c r="E267" s="1" t="s">
        <v>12</v>
      </c>
      <c r="F267" s="1">
        <v>2</v>
      </c>
      <c r="G267" s="1">
        <v>137</v>
      </c>
      <c r="H267" s="1">
        <v>124</v>
      </c>
      <c r="I267" s="1">
        <v>96</v>
      </c>
    </row>
    <row r="268" spans="1:9" ht="14.25" customHeight="1" x14ac:dyDescent="0.25">
      <c r="A268">
        <v>2023</v>
      </c>
      <c r="B268" s="4" t="s">
        <v>94</v>
      </c>
      <c r="C268" s="1">
        <v>4</v>
      </c>
      <c r="D268" s="1" t="s">
        <v>116</v>
      </c>
      <c r="E268" s="1" t="s">
        <v>12</v>
      </c>
      <c r="F268" s="1">
        <v>3</v>
      </c>
      <c r="G268" s="1">
        <v>127</v>
      </c>
      <c r="H268" s="1">
        <v>126</v>
      </c>
      <c r="I268" s="1">
        <v>72</v>
      </c>
    </row>
    <row r="269" spans="1:9" ht="14.25" customHeight="1" x14ac:dyDescent="0.25">
      <c r="A269">
        <v>2023</v>
      </c>
      <c r="B269" s="4" t="s">
        <v>94</v>
      </c>
      <c r="C269" s="1">
        <v>4</v>
      </c>
      <c r="D269" s="1" t="s">
        <v>117</v>
      </c>
      <c r="E269" s="1" t="s">
        <v>12</v>
      </c>
      <c r="F269" s="1">
        <v>1</v>
      </c>
      <c r="G269" s="1">
        <v>121</v>
      </c>
      <c r="H269" s="1">
        <v>132</v>
      </c>
      <c r="I269" s="1">
        <v>84</v>
      </c>
    </row>
    <row r="270" spans="1:9" ht="14.25" customHeight="1" x14ac:dyDescent="0.25">
      <c r="A270">
        <v>2023</v>
      </c>
      <c r="B270" s="4" t="s">
        <v>94</v>
      </c>
      <c r="C270" s="1">
        <v>4</v>
      </c>
      <c r="D270" s="1" t="s">
        <v>117</v>
      </c>
      <c r="E270" s="1" t="s">
        <v>12</v>
      </c>
      <c r="F270" s="1">
        <v>2</v>
      </c>
      <c r="G270" s="1">
        <v>121</v>
      </c>
      <c r="H270" s="1">
        <v>124</v>
      </c>
      <c r="I270" s="1">
        <v>96</v>
      </c>
    </row>
    <row r="271" spans="1:9" ht="14.25" customHeight="1" x14ac:dyDescent="0.25">
      <c r="A271">
        <v>2023</v>
      </c>
      <c r="B271" s="4" t="s">
        <v>94</v>
      </c>
      <c r="C271" s="1">
        <v>4</v>
      </c>
      <c r="D271" s="1" t="s">
        <v>117</v>
      </c>
      <c r="E271" s="1" t="s">
        <v>12</v>
      </c>
      <c r="F271" s="1">
        <v>3</v>
      </c>
      <c r="G271" s="1">
        <v>120</v>
      </c>
      <c r="H271" s="1">
        <v>150</v>
      </c>
      <c r="I271" s="1">
        <v>108</v>
      </c>
    </row>
    <row r="272" spans="1:9" ht="14.25" customHeight="1" x14ac:dyDescent="0.25">
      <c r="A272">
        <v>2023</v>
      </c>
      <c r="B272" s="4" t="s">
        <v>14</v>
      </c>
      <c r="C272" s="1">
        <v>1</v>
      </c>
      <c r="D272" s="1" t="s">
        <v>118</v>
      </c>
      <c r="E272" s="1" t="s">
        <v>12</v>
      </c>
      <c r="F272" s="1">
        <v>1</v>
      </c>
      <c r="G272" s="1">
        <v>137</v>
      </c>
      <c r="H272" s="1">
        <v>135</v>
      </c>
      <c r="I272" s="1">
        <v>84</v>
      </c>
    </row>
    <row r="273" spans="1:9" ht="14.25" customHeight="1" x14ac:dyDescent="0.25">
      <c r="A273">
        <v>2023</v>
      </c>
      <c r="B273" s="4" t="s">
        <v>14</v>
      </c>
      <c r="C273" s="1">
        <v>1</v>
      </c>
      <c r="D273" s="1" t="s">
        <v>118</v>
      </c>
      <c r="E273" s="1" t="s">
        <v>12</v>
      </c>
      <c r="F273" s="1">
        <v>2</v>
      </c>
      <c r="G273" s="1">
        <v>139</v>
      </c>
      <c r="H273" s="1">
        <v>139</v>
      </c>
      <c r="I273" s="1">
        <v>96</v>
      </c>
    </row>
    <row r="274" spans="1:9" ht="14.25" customHeight="1" x14ac:dyDescent="0.25">
      <c r="A274">
        <v>2023</v>
      </c>
      <c r="B274" s="4" t="s">
        <v>14</v>
      </c>
      <c r="C274" s="1">
        <v>1</v>
      </c>
      <c r="D274" s="1" t="s">
        <v>118</v>
      </c>
      <c r="E274" s="1" t="s">
        <v>12</v>
      </c>
      <c r="F274" s="1">
        <v>3</v>
      </c>
      <c r="G274" s="1">
        <v>128</v>
      </c>
      <c r="H274" s="1">
        <v>137</v>
      </c>
      <c r="I274" s="1">
        <v>48</v>
      </c>
    </row>
    <row r="275" spans="1:9" ht="14.25" customHeight="1" x14ac:dyDescent="0.25">
      <c r="A275">
        <v>2023</v>
      </c>
      <c r="B275" s="4" t="s">
        <v>94</v>
      </c>
      <c r="C275" s="1">
        <v>4</v>
      </c>
      <c r="D275" s="1" t="s">
        <v>119</v>
      </c>
      <c r="E275" s="1" t="s">
        <v>12</v>
      </c>
      <c r="F275" s="1">
        <v>1</v>
      </c>
      <c r="G275" s="1">
        <v>108</v>
      </c>
      <c r="H275" s="1">
        <v>132</v>
      </c>
      <c r="I275" s="1">
        <v>120</v>
      </c>
    </row>
    <row r="276" spans="1:9" ht="14.25" customHeight="1" x14ac:dyDescent="0.25">
      <c r="A276">
        <v>2023</v>
      </c>
      <c r="B276" s="4" t="s">
        <v>94</v>
      </c>
      <c r="C276" s="1">
        <v>4</v>
      </c>
      <c r="D276" s="1" t="s">
        <v>119</v>
      </c>
      <c r="E276" s="1" t="s">
        <v>12</v>
      </c>
      <c r="F276" s="1">
        <v>2</v>
      </c>
      <c r="G276" s="1">
        <v>108</v>
      </c>
      <c r="H276" s="1">
        <v>142</v>
      </c>
      <c r="I276" s="1">
        <v>96</v>
      </c>
    </row>
    <row r="277" spans="1:9" ht="14.25" customHeight="1" x14ac:dyDescent="0.25">
      <c r="A277">
        <v>2023</v>
      </c>
      <c r="B277" s="4" t="s">
        <v>94</v>
      </c>
      <c r="C277" s="1">
        <v>4</v>
      </c>
      <c r="D277" s="1" t="s">
        <v>119</v>
      </c>
      <c r="E277" s="1" t="s">
        <v>12</v>
      </c>
      <c r="F277" s="1">
        <v>3</v>
      </c>
      <c r="G277" s="1">
        <v>113</v>
      </c>
      <c r="H277" s="1">
        <v>130</v>
      </c>
      <c r="I277" s="1">
        <v>72</v>
      </c>
    </row>
    <row r="278" spans="1:9" ht="14.25" customHeight="1" x14ac:dyDescent="0.25">
      <c r="A278">
        <v>2023</v>
      </c>
      <c r="B278" s="4" t="s">
        <v>94</v>
      </c>
      <c r="C278" s="1">
        <v>4</v>
      </c>
      <c r="D278" s="1" t="s">
        <v>120</v>
      </c>
      <c r="E278" s="1" t="s">
        <v>12</v>
      </c>
      <c r="F278" s="1">
        <v>1</v>
      </c>
      <c r="G278" s="1">
        <v>109</v>
      </c>
      <c r="H278" s="1">
        <v>122</v>
      </c>
      <c r="I278" s="1">
        <v>72</v>
      </c>
    </row>
    <row r="279" spans="1:9" ht="14.25" customHeight="1" x14ac:dyDescent="0.25">
      <c r="A279">
        <v>2023</v>
      </c>
      <c r="B279" s="4" t="s">
        <v>94</v>
      </c>
      <c r="C279" s="1">
        <v>4</v>
      </c>
      <c r="D279" s="1" t="s">
        <v>120</v>
      </c>
      <c r="E279" s="1" t="s">
        <v>12</v>
      </c>
      <c r="F279" s="1">
        <v>2</v>
      </c>
      <c r="G279" s="1">
        <v>109</v>
      </c>
      <c r="H279" s="1">
        <v>130</v>
      </c>
      <c r="I279" s="1">
        <v>96</v>
      </c>
    </row>
    <row r="280" spans="1:9" ht="14.25" customHeight="1" x14ac:dyDescent="0.25">
      <c r="A280">
        <v>2023</v>
      </c>
      <c r="B280" s="4" t="s">
        <v>94</v>
      </c>
      <c r="C280" s="1">
        <v>4</v>
      </c>
      <c r="D280" s="1" t="s">
        <v>120</v>
      </c>
      <c r="E280" s="1" t="s">
        <v>12</v>
      </c>
      <c r="F280" s="1">
        <v>3</v>
      </c>
      <c r="G280" s="1">
        <v>114</v>
      </c>
      <c r="H280" s="1">
        <v>150</v>
      </c>
      <c r="I280" s="1">
        <v>60</v>
      </c>
    </row>
    <row r="281" spans="1:9" ht="14.25" customHeight="1" x14ac:dyDescent="0.25">
      <c r="A281">
        <v>2023</v>
      </c>
      <c r="B281" s="4" t="s">
        <v>94</v>
      </c>
      <c r="C281" s="1">
        <v>5</v>
      </c>
      <c r="D281" s="1" t="s">
        <v>121</v>
      </c>
      <c r="E281" s="1" t="s">
        <v>12</v>
      </c>
      <c r="F281" s="1">
        <v>1</v>
      </c>
      <c r="G281" s="1">
        <v>116</v>
      </c>
      <c r="H281" s="1">
        <v>126</v>
      </c>
      <c r="I281" s="1">
        <v>72</v>
      </c>
    </row>
    <row r="282" spans="1:9" ht="14.25" customHeight="1" x14ac:dyDescent="0.25">
      <c r="A282">
        <v>2023</v>
      </c>
      <c r="B282" s="4" t="s">
        <v>94</v>
      </c>
      <c r="C282" s="1">
        <v>5</v>
      </c>
      <c r="D282" s="1" t="s">
        <v>121</v>
      </c>
      <c r="E282" s="1" t="s">
        <v>12</v>
      </c>
      <c r="F282" s="1">
        <v>2</v>
      </c>
      <c r="G282" s="1">
        <v>110</v>
      </c>
      <c r="H282" s="1">
        <v>134</v>
      </c>
      <c r="I282" s="1">
        <v>24</v>
      </c>
    </row>
    <row r="283" spans="1:9" ht="14.25" customHeight="1" x14ac:dyDescent="0.25">
      <c r="A283">
        <v>2023</v>
      </c>
      <c r="B283" s="4" t="s">
        <v>94</v>
      </c>
      <c r="C283" s="1">
        <v>5</v>
      </c>
      <c r="D283" s="1" t="s">
        <v>121</v>
      </c>
      <c r="E283" s="1" t="s">
        <v>12</v>
      </c>
      <c r="F283" s="1">
        <v>3</v>
      </c>
      <c r="G283" s="1">
        <v>107</v>
      </c>
      <c r="H283" s="1">
        <v>128</v>
      </c>
      <c r="I283" s="1">
        <v>36</v>
      </c>
    </row>
    <row r="284" spans="1:9" ht="14.25" customHeight="1" x14ac:dyDescent="0.25">
      <c r="A284">
        <v>2023</v>
      </c>
      <c r="B284" s="4" t="s">
        <v>94</v>
      </c>
      <c r="C284" s="1">
        <v>4</v>
      </c>
      <c r="D284" s="1" t="s">
        <v>122</v>
      </c>
      <c r="E284" s="1" t="s">
        <v>12</v>
      </c>
      <c r="F284" s="1">
        <v>1</v>
      </c>
      <c r="G284" s="1">
        <v>118</v>
      </c>
      <c r="H284" s="1">
        <v>102</v>
      </c>
      <c r="I284" s="1">
        <v>72</v>
      </c>
    </row>
    <row r="285" spans="1:9" ht="14.25" customHeight="1" x14ac:dyDescent="0.25">
      <c r="A285">
        <v>2023</v>
      </c>
      <c r="B285" s="4" t="s">
        <v>94</v>
      </c>
      <c r="C285" s="1">
        <v>4</v>
      </c>
      <c r="D285" s="1" t="s">
        <v>122</v>
      </c>
      <c r="E285" s="1" t="s">
        <v>12</v>
      </c>
      <c r="F285" s="1">
        <v>2</v>
      </c>
      <c r="G285" s="1">
        <v>118</v>
      </c>
      <c r="H285" s="1">
        <v>116</v>
      </c>
      <c r="I285" s="1">
        <v>60</v>
      </c>
    </row>
    <row r="286" spans="1:9" ht="14.25" customHeight="1" x14ac:dyDescent="0.25">
      <c r="A286">
        <v>2023</v>
      </c>
      <c r="B286" s="4" t="s">
        <v>94</v>
      </c>
      <c r="C286" s="1">
        <v>4</v>
      </c>
      <c r="D286" s="1" t="s">
        <v>122</v>
      </c>
      <c r="E286" s="1" t="s">
        <v>12</v>
      </c>
      <c r="F286" s="1">
        <v>3</v>
      </c>
      <c r="G286" s="1">
        <v>120</v>
      </c>
      <c r="H286" s="1">
        <v>123</v>
      </c>
      <c r="I286" s="1">
        <v>72</v>
      </c>
    </row>
    <row r="287" spans="1:9" ht="14.25" customHeight="1" x14ac:dyDescent="0.25">
      <c r="A287">
        <v>2023</v>
      </c>
      <c r="B287" s="4" t="s">
        <v>94</v>
      </c>
      <c r="C287" s="1">
        <v>4</v>
      </c>
      <c r="D287" s="1" t="s">
        <v>123</v>
      </c>
      <c r="E287" s="1" t="s">
        <v>12</v>
      </c>
      <c r="F287" s="1">
        <v>1</v>
      </c>
      <c r="G287" s="1">
        <v>108</v>
      </c>
      <c r="H287" s="1">
        <v>126</v>
      </c>
      <c r="I287" s="1">
        <v>96</v>
      </c>
    </row>
    <row r="288" spans="1:9" ht="14.25" customHeight="1" x14ac:dyDescent="0.25">
      <c r="A288">
        <v>2023</v>
      </c>
      <c r="B288" s="4" t="s">
        <v>94</v>
      </c>
      <c r="C288" s="1">
        <v>4</v>
      </c>
      <c r="D288" s="1" t="s">
        <v>123</v>
      </c>
      <c r="E288" s="1" t="s">
        <v>12</v>
      </c>
      <c r="F288" s="1">
        <v>2</v>
      </c>
      <c r="G288" s="1">
        <v>104</v>
      </c>
      <c r="H288" s="1">
        <v>137</v>
      </c>
      <c r="I288" s="1">
        <v>72</v>
      </c>
    </row>
    <row r="289" spans="1:9" ht="14.25" customHeight="1" x14ac:dyDescent="0.25">
      <c r="A289">
        <v>2023</v>
      </c>
      <c r="B289" s="4" t="s">
        <v>94</v>
      </c>
      <c r="C289" s="1">
        <v>4</v>
      </c>
      <c r="D289" s="1" t="s">
        <v>123</v>
      </c>
      <c r="E289" s="1" t="s">
        <v>12</v>
      </c>
      <c r="F289" s="1">
        <v>3</v>
      </c>
      <c r="G289" s="1">
        <v>108</v>
      </c>
      <c r="H289" s="1">
        <v>137</v>
      </c>
      <c r="I289" s="1">
        <v>60</v>
      </c>
    </row>
    <row r="290" spans="1:9" ht="14.25" customHeight="1" x14ac:dyDescent="0.25">
      <c r="A290">
        <v>2023</v>
      </c>
      <c r="B290" s="4" t="s">
        <v>94</v>
      </c>
      <c r="C290" s="1">
        <v>4</v>
      </c>
      <c r="D290" s="1" t="s">
        <v>124</v>
      </c>
      <c r="E290" s="1" t="s">
        <v>12</v>
      </c>
      <c r="F290" s="1">
        <v>1</v>
      </c>
      <c r="G290" s="1">
        <v>102</v>
      </c>
      <c r="H290" s="1">
        <v>130</v>
      </c>
      <c r="I290" s="1">
        <v>72</v>
      </c>
    </row>
    <row r="291" spans="1:9" ht="14.25" customHeight="1" x14ac:dyDescent="0.25">
      <c r="A291">
        <v>2023</v>
      </c>
      <c r="B291" s="4" t="s">
        <v>94</v>
      </c>
      <c r="C291" s="1">
        <v>4</v>
      </c>
      <c r="D291" s="1" t="s">
        <v>124</v>
      </c>
      <c r="E291" s="1" t="s">
        <v>12</v>
      </c>
      <c r="F291" s="1">
        <v>2</v>
      </c>
      <c r="G291" s="1">
        <v>102</v>
      </c>
      <c r="H291" s="1">
        <v>124</v>
      </c>
      <c r="I291" s="1">
        <v>84</v>
      </c>
    </row>
    <row r="292" spans="1:9" ht="14.25" customHeight="1" x14ac:dyDescent="0.25">
      <c r="A292">
        <v>2023</v>
      </c>
      <c r="B292" s="4" t="s">
        <v>94</v>
      </c>
      <c r="C292" s="1">
        <v>4</v>
      </c>
      <c r="D292" s="1" t="s">
        <v>124</v>
      </c>
      <c r="E292" s="1" t="s">
        <v>12</v>
      </c>
      <c r="F292" s="1">
        <v>3</v>
      </c>
      <c r="G292" s="1">
        <v>102</v>
      </c>
      <c r="H292" s="1">
        <v>123</v>
      </c>
      <c r="I292" s="1">
        <v>48</v>
      </c>
    </row>
    <row r="293" spans="1:9" ht="14.25" customHeight="1" x14ac:dyDescent="0.25">
      <c r="A293">
        <v>2023</v>
      </c>
      <c r="B293" s="4" t="s">
        <v>94</v>
      </c>
      <c r="C293" s="1">
        <v>5</v>
      </c>
      <c r="D293" s="1" t="s">
        <v>125</v>
      </c>
      <c r="E293" s="1" t="s">
        <v>12</v>
      </c>
      <c r="F293" s="1">
        <v>1</v>
      </c>
      <c r="G293" s="1">
        <v>113</v>
      </c>
      <c r="H293" s="1">
        <v>143</v>
      </c>
      <c r="I293" s="1">
        <v>96</v>
      </c>
    </row>
    <row r="294" spans="1:9" ht="14.25" customHeight="1" x14ac:dyDescent="0.25">
      <c r="A294">
        <v>2023</v>
      </c>
      <c r="B294" s="4" t="s">
        <v>94</v>
      </c>
      <c r="C294" s="1">
        <v>5</v>
      </c>
      <c r="D294" s="1" t="s">
        <v>125</v>
      </c>
      <c r="E294" s="1" t="s">
        <v>12</v>
      </c>
      <c r="F294" s="1">
        <v>2</v>
      </c>
      <c r="G294" s="1">
        <v>108</v>
      </c>
      <c r="H294" s="1">
        <v>137</v>
      </c>
      <c r="I294" s="1">
        <v>72</v>
      </c>
    </row>
    <row r="295" spans="1:9" ht="14.25" customHeight="1" x14ac:dyDescent="0.25">
      <c r="A295">
        <v>2023</v>
      </c>
      <c r="B295" s="4" t="s">
        <v>94</v>
      </c>
      <c r="C295" s="1">
        <v>5</v>
      </c>
      <c r="D295" s="1" t="s">
        <v>125</v>
      </c>
      <c r="E295" s="1" t="s">
        <v>12</v>
      </c>
      <c r="F295" s="1">
        <v>3</v>
      </c>
      <c r="G295" s="1">
        <v>112</v>
      </c>
      <c r="H295" s="1">
        <v>134</v>
      </c>
      <c r="I295" s="1">
        <v>48</v>
      </c>
    </row>
    <row r="296" spans="1:9" ht="14.25" customHeight="1" x14ac:dyDescent="0.25">
      <c r="A296">
        <v>2023</v>
      </c>
      <c r="B296" s="4" t="s">
        <v>94</v>
      </c>
      <c r="C296" s="1">
        <v>5</v>
      </c>
      <c r="D296" s="1" t="s">
        <v>126</v>
      </c>
      <c r="E296" s="1" t="s">
        <v>12</v>
      </c>
      <c r="F296" s="1">
        <v>1</v>
      </c>
      <c r="G296" s="1">
        <v>98</v>
      </c>
      <c r="H296" s="1">
        <v>109</v>
      </c>
      <c r="I296" s="1">
        <v>84</v>
      </c>
    </row>
    <row r="297" spans="1:9" ht="14.25" customHeight="1" x14ac:dyDescent="0.25">
      <c r="A297">
        <v>2023</v>
      </c>
      <c r="B297" s="4" t="s">
        <v>94</v>
      </c>
      <c r="C297" s="1">
        <v>5</v>
      </c>
      <c r="D297" s="1" t="s">
        <v>126</v>
      </c>
      <c r="E297" s="1" t="s">
        <v>12</v>
      </c>
      <c r="F297" s="1">
        <v>2</v>
      </c>
      <c r="G297" s="1">
        <v>100</v>
      </c>
      <c r="H297" s="1">
        <v>110</v>
      </c>
      <c r="I297" s="1">
        <v>72</v>
      </c>
    </row>
    <row r="298" spans="1:9" ht="14.25" customHeight="1" x14ac:dyDescent="0.25">
      <c r="A298">
        <v>2023</v>
      </c>
      <c r="B298" s="4" t="s">
        <v>94</v>
      </c>
      <c r="C298" s="1">
        <v>5</v>
      </c>
      <c r="D298" s="1" t="s">
        <v>126</v>
      </c>
      <c r="E298" s="1" t="s">
        <v>12</v>
      </c>
      <c r="F298" s="1">
        <v>3</v>
      </c>
      <c r="G298" s="1">
        <v>99</v>
      </c>
      <c r="H298" s="1">
        <v>120</v>
      </c>
      <c r="I298" s="1">
        <v>60</v>
      </c>
    </row>
    <row r="299" spans="1:9" ht="14.25" customHeight="1" x14ac:dyDescent="0.25">
      <c r="A299">
        <v>2023</v>
      </c>
      <c r="B299" s="4" t="s">
        <v>94</v>
      </c>
      <c r="C299" s="1">
        <v>5</v>
      </c>
      <c r="D299" s="1" t="s">
        <v>127</v>
      </c>
      <c r="E299" s="1" t="s">
        <v>12</v>
      </c>
      <c r="F299" s="1">
        <v>1</v>
      </c>
      <c r="G299" s="1">
        <v>114</v>
      </c>
      <c r="H299" s="1">
        <v>127</v>
      </c>
      <c r="I299" s="1">
        <v>96</v>
      </c>
    </row>
    <row r="300" spans="1:9" ht="14.25" customHeight="1" x14ac:dyDescent="0.25">
      <c r="A300">
        <v>2023</v>
      </c>
      <c r="B300" s="4" t="s">
        <v>94</v>
      </c>
      <c r="C300" s="1">
        <v>5</v>
      </c>
      <c r="D300" s="1" t="s">
        <v>127</v>
      </c>
      <c r="E300" s="1" t="s">
        <v>12</v>
      </c>
      <c r="F300" s="1">
        <v>2</v>
      </c>
      <c r="G300" s="1">
        <v>114</v>
      </c>
      <c r="H300" s="1">
        <v>137</v>
      </c>
      <c r="I300" s="1">
        <v>60</v>
      </c>
    </row>
    <row r="301" spans="1:9" ht="14.25" customHeight="1" x14ac:dyDescent="0.25">
      <c r="A301">
        <v>2023</v>
      </c>
      <c r="B301" s="4" t="s">
        <v>94</v>
      </c>
      <c r="C301" s="1">
        <v>5</v>
      </c>
      <c r="D301" s="1" t="s">
        <v>127</v>
      </c>
      <c r="E301" s="1" t="s">
        <v>12</v>
      </c>
      <c r="F301" s="1">
        <v>3</v>
      </c>
      <c r="G301" s="1">
        <v>116</v>
      </c>
      <c r="H301" s="1">
        <v>127</v>
      </c>
      <c r="I301" s="1">
        <v>60</v>
      </c>
    </row>
    <row r="302" spans="1:9" ht="14.25" customHeight="1" x14ac:dyDescent="0.25">
      <c r="A302">
        <v>2023</v>
      </c>
      <c r="B302" s="4" t="s">
        <v>94</v>
      </c>
      <c r="C302" s="1">
        <v>5</v>
      </c>
      <c r="D302" s="1" t="s">
        <v>128</v>
      </c>
      <c r="E302" s="1" t="s">
        <v>12</v>
      </c>
      <c r="F302" s="1">
        <v>1</v>
      </c>
      <c r="G302" s="1">
        <v>107</v>
      </c>
      <c r="H302" s="1">
        <v>138</v>
      </c>
      <c r="I302" s="1">
        <v>48</v>
      </c>
    </row>
    <row r="303" spans="1:9" ht="14.25" customHeight="1" x14ac:dyDescent="0.25">
      <c r="A303">
        <v>2023</v>
      </c>
      <c r="B303" s="4" t="s">
        <v>94</v>
      </c>
      <c r="C303" s="1">
        <v>5</v>
      </c>
      <c r="D303" s="1" t="s">
        <v>128</v>
      </c>
      <c r="E303" s="1" t="s">
        <v>12</v>
      </c>
      <c r="F303" s="1">
        <v>2</v>
      </c>
      <c r="G303" s="1">
        <v>113</v>
      </c>
      <c r="H303" s="1">
        <v>132</v>
      </c>
      <c r="I303" s="1">
        <v>36</v>
      </c>
    </row>
    <row r="304" spans="1:9" ht="14.25" customHeight="1" x14ac:dyDescent="0.25">
      <c r="A304">
        <v>2023</v>
      </c>
      <c r="B304" s="4" t="s">
        <v>94</v>
      </c>
      <c r="C304" s="1">
        <v>5</v>
      </c>
      <c r="D304" s="1" t="s">
        <v>128</v>
      </c>
      <c r="E304" s="1" t="s">
        <v>12</v>
      </c>
      <c r="F304" s="1">
        <v>3</v>
      </c>
      <c r="G304" s="1">
        <v>113</v>
      </c>
      <c r="H304" s="1">
        <v>135</v>
      </c>
      <c r="I304" s="1">
        <v>48</v>
      </c>
    </row>
    <row r="305" spans="1:9" ht="14.25" customHeight="1" x14ac:dyDescent="0.25">
      <c r="A305">
        <v>2023</v>
      </c>
      <c r="B305" s="4" t="s">
        <v>94</v>
      </c>
      <c r="C305" s="1">
        <v>5</v>
      </c>
      <c r="D305" s="1" t="s">
        <v>129</v>
      </c>
      <c r="E305" s="1" t="s">
        <v>12</v>
      </c>
      <c r="F305" s="1">
        <v>1</v>
      </c>
      <c r="G305" s="1">
        <v>111</v>
      </c>
      <c r="H305" s="1">
        <v>126</v>
      </c>
      <c r="I305" s="1">
        <v>60</v>
      </c>
    </row>
    <row r="306" spans="1:9" ht="14.25" customHeight="1" x14ac:dyDescent="0.25">
      <c r="A306">
        <v>2023</v>
      </c>
      <c r="B306" s="4" t="s">
        <v>94</v>
      </c>
      <c r="C306" s="1">
        <v>5</v>
      </c>
      <c r="D306" s="1" t="s">
        <v>129</v>
      </c>
      <c r="E306" s="1" t="s">
        <v>12</v>
      </c>
      <c r="F306" s="1">
        <v>2</v>
      </c>
      <c r="G306" s="1">
        <v>109</v>
      </c>
      <c r="H306" s="1">
        <v>133</v>
      </c>
      <c r="I306" s="1">
        <v>60</v>
      </c>
    </row>
    <row r="307" spans="1:9" ht="14.25" customHeight="1" x14ac:dyDescent="0.25">
      <c r="A307">
        <v>2023</v>
      </c>
      <c r="B307" s="4" t="s">
        <v>94</v>
      </c>
      <c r="C307" s="1">
        <v>5</v>
      </c>
      <c r="D307" s="1" t="s">
        <v>129</v>
      </c>
      <c r="E307" s="1" t="s">
        <v>12</v>
      </c>
      <c r="F307" s="1">
        <v>3</v>
      </c>
      <c r="G307" s="1">
        <v>114</v>
      </c>
      <c r="H307" s="1">
        <v>131</v>
      </c>
      <c r="I307" s="1">
        <v>36</v>
      </c>
    </row>
    <row r="308" spans="1:9" ht="14.25" customHeight="1" x14ac:dyDescent="0.25">
      <c r="A308">
        <v>2023</v>
      </c>
      <c r="B308" s="4" t="s">
        <v>94</v>
      </c>
      <c r="C308" s="1">
        <v>5</v>
      </c>
      <c r="D308" s="1" t="s">
        <v>130</v>
      </c>
      <c r="E308" s="1" t="s">
        <v>12</v>
      </c>
      <c r="F308" s="1">
        <v>1</v>
      </c>
      <c r="G308" s="1">
        <v>99</v>
      </c>
      <c r="H308" s="1">
        <v>125</v>
      </c>
      <c r="I308" s="1">
        <v>96</v>
      </c>
    </row>
    <row r="309" spans="1:9" ht="14.25" customHeight="1" x14ac:dyDescent="0.25">
      <c r="A309">
        <v>2023</v>
      </c>
      <c r="B309" s="4" t="s">
        <v>94</v>
      </c>
      <c r="C309" s="1">
        <v>5</v>
      </c>
      <c r="D309" s="1" t="s">
        <v>130</v>
      </c>
      <c r="E309" s="1" t="s">
        <v>12</v>
      </c>
      <c r="F309" s="1">
        <v>2</v>
      </c>
      <c r="G309" s="1">
        <v>100</v>
      </c>
      <c r="H309" s="1">
        <v>140</v>
      </c>
      <c r="I309" s="1">
        <v>72</v>
      </c>
    </row>
    <row r="310" spans="1:9" ht="14.25" customHeight="1" x14ac:dyDescent="0.25">
      <c r="A310">
        <v>2023</v>
      </c>
      <c r="B310" s="4" t="s">
        <v>94</v>
      </c>
      <c r="C310" s="1">
        <v>5</v>
      </c>
      <c r="D310" s="1" t="s">
        <v>130</v>
      </c>
      <c r="E310" s="1" t="s">
        <v>12</v>
      </c>
      <c r="F310" s="1">
        <v>3</v>
      </c>
      <c r="G310" s="1">
        <v>105</v>
      </c>
      <c r="H310" s="1">
        <v>132</v>
      </c>
      <c r="I310" s="1">
        <v>72</v>
      </c>
    </row>
    <row r="311" spans="1:9" ht="14.25" customHeight="1" x14ac:dyDescent="0.25">
      <c r="A311">
        <v>2023</v>
      </c>
      <c r="B311" s="4" t="s">
        <v>94</v>
      </c>
      <c r="C311" s="1">
        <v>5</v>
      </c>
      <c r="D311" s="1" t="s">
        <v>131</v>
      </c>
      <c r="E311" s="1" t="s">
        <v>12</v>
      </c>
      <c r="F311" s="1">
        <v>1</v>
      </c>
      <c r="G311" s="1">
        <v>110</v>
      </c>
      <c r="H311" s="1">
        <v>143</v>
      </c>
      <c r="I311" s="1">
        <v>60</v>
      </c>
    </row>
    <row r="312" spans="1:9" ht="14.25" customHeight="1" x14ac:dyDescent="0.25">
      <c r="A312">
        <v>2023</v>
      </c>
      <c r="B312" s="4" t="s">
        <v>94</v>
      </c>
      <c r="C312" s="1">
        <v>5</v>
      </c>
      <c r="D312" s="1" t="s">
        <v>131</v>
      </c>
      <c r="E312" s="1" t="s">
        <v>12</v>
      </c>
      <c r="F312" s="1">
        <v>2</v>
      </c>
      <c r="G312" s="1">
        <v>111</v>
      </c>
      <c r="H312" s="1">
        <v>142</v>
      </c>
      <c r="I312" s="1">
        <v>72</v>
      </c>
    </row>
    <row r="313" spans="1:9" ht="14.25" customHeight="1" x14ac:dyDescent="0.25">
      <c r="A313">
        <v>2023</v>
      </c>
      <c r="B313" s="4" t="s">
        <v>94</v>
      </c>
      <c r="C313" s="1">
        <v>5</v>
      </c>
      <c r="D313" s="1" t="s">
        <v>131</v>
      </c>
      <c r="E313" s="1" t="s">
        <v>12</v>
      </c>
      <c r="F313" s="1">
        <v>3</v>
      </c>
      <c r="G313" s="1">
        <v>110</v>
      </c>
      <c r="H313" s="1">
        <v>130</v>
      </c>
      <c r="I313" s="1">
        <v>36</v>
      </c>
    </row>
    <row r="314" spans="1:9" ht="14.25" customHeight="1" x14ac:dyDescent="0.25">
      <c r="A314">
        <v>2023</v>
      </c>
      <c r="B314" s="4" t="s">
        <v>94</v>
      </c>
      <c r="C314" s="1">
        <v>5</v>
      </c>
      <c r="D314" s="1" t="s">
        <v>132</v>
      </c>
      <c r="E314" s="1" t="s">
        <v>12</v>
      </c>
      <c r="F314" s="1">
        <v>1</v>
      </c>
      <c r="G314" s="1">
        <v>104</v>
      </c>
      <c r="H314" s="1">
        <v>146</v>
      </c>
      <c r="I314" s="1">
        <v>48</v>
      </c>
    </row>
    <row r="315" spans="1:9" ht="14.25" customHeight="1" x14ac:dyDescent="0.25">
      <c r="A315">
        <v>2023</v>
      </c>
      <c r="B315" s="4" t="s">
        <v>94</v>
      </c>
      <c r="C315" s="1">
        <v>5</v>
      </c>
      <c r="D315" s="1" t="s">
        <v>132</v>
      </c>
      <c r="E315" s="1" t="s">
        <v>12</v>
      </c>
      <c r="F315" s="1">
        <v>2</v>
      </c>
      <c r="G315" s="1">
        <v>105</v>
      </c>
      <c r="H315" s="1">
        <v>138</v>
      </c>
      <c r="I315" s="1">
        <v>84</v>
      </c>
    </row>
    <row r="316" spans="1:9" ht="14.25" customHeight="1" x14ac:dyDescent="0.25">
      <c r="A316">
        <v>2023</v>
      </c>
      <c r="B316" s="4" t="s">
        <v>94</v>
      </c>
      <c r="C316" s="1">
        <v>5</v>
      </c>
      <c r="D316" s="1" t="s">
        <v>132</v>
      </c>
      <c r="E316" s="1" t="s">
        <v>12</v>
      </c>
      <c r="F316" s="1">
        <v>3</v>
      </c>
      <c r="G316" s="1">
        <v>103</v>
      </c>
      <c r="H316" s="1">
        <v>152</v>
      </c>
      <c r="I316" s="1">
        <v>48</v>
      </c>
    </row>
    <row r="317" spans="1:9" ht="14.25" customHeight="1" x14ac:dyDescent="0.25">
      <c r="A317">
        <v>2023</v>
      </c>
      <c r="B317" s="4" t="s">
        <v>94</v>
      </c>
      <c r="C317" s="1">
        <v>5</v>
      </c>
      <c r="D317" s="1" t="s">
        <v>133</v>
      </c>
      <c r="E317" s="1" t="s">
        <v>12</v>
      </c>
      <c r="F317" s="1">
        <v>1</v>
      </c>
      <c r="G317" s="1">
        <v>112</v>
      </c>
      <c r="H317" s="1">
        <v>117</v>
      </c>
      <c r="I317" s="1">
        <v>84</v>
      </c>
    </row>
    <row r="318" spans="1:9" ht="14.25" customHeight="1" x14ac:dyDescent="0.25">
      <c r="A318">
        <v>2023</v>
      </c>
      <c r="B318" s="4" t="s">
        <v>94</v>
      </c>
      <c r="C318" s="1">
        <v>5</v>
      </c>
      <c r="D318" s="1" t="s">
        <v>133</v>
      </c>
      <c r="E318" s="1" t="s">
        <v>12</v>
      </c>
      <c r="F318" s="1">
        <v>2</v>
      </c>
      <c r="G318" s="1">
        <v>113</v>
      </c>
      <c r="H318" s="1">
        <v>133</v>
      </c>
      <c r="I318" s="1">
        <v>72</v>
      </c>
    </row>
    <row r="319" spans="1:9" ht="14.25" customHeight="1" x14ac:dyDescent="0.25">
      <c r="A319">
        <v>2023</v>
      </c>
      <c r="B319" s="4" t="s">
        <v>94</v>
      </c>
      <c r="C319" s="1">
        <v>5</v>
      </c>
      <c r="D319" s="1" t="s">
        <v>133</v>
      </c>
      <c r="E319" s="1" t="s">
        <v>12</v>
      </c>
      <c r="F319" s="1">
        <v>3</v>
      </c>
      <c r="G319" s="1">
        <v>112</v>
      </c>
      <c r="H319" s="1">
        <v>135</v>
      </c>
      <c r="I319" s="1">
        <v>48</v>
      </c>
    </row>
    <row r="320" spans="1:9" ht="14.25" customHeight="1" x14ac:dyDescent="0.25">
      <c r="A320">
        <v>2023</v>
      </c>
      <c r="B320" s="4" t="s">
        <v>94</v>
      </c>
      <c r="C320" s="1">
        <v>5</v>
      </c>
      <c r="D320" s="1" t="s">
        <v>134</v>
      </c>
      <c r="E320" s="1" t="s">
        <v>12</v>
      </c>
      <c r="F320" s="1">
        <v>1</v>
      </c>
      <c r="G320" s="1">
        <v>104</v>
      </c>
      <c r="H320" s="1">
        <v>128</v>
      </c>
      <c r="I320" s="1">
        <v>36</v>
      </c>
    </row>
    <row r="321" spans="1:9" ht="14.25" customHeight="1" x14ac:dyDescent="0.25">
      <c r="A321">
        <v>2023</v>
      </c>
      <c r="B321" s="4" t="s">
        <v>94</v>
      </c>
      <c r="C321" s="1">
        <v>5</v>
      </c>
      <c r="D321" s="1" t="s">
        <v>134</v>
      </c>
      <c r="E321" s="1" t="s">
        <v>12</v>
      </c>
      <c r="F321" s="1">
        <v>2</v>
      </c>
      <c r="G321" s="1">
        <v>107</v>
      </c>
      <c r="H321" s="1">
        <v>132</v>
      </c>
      <c r="I321" s="1">
        <v>48</v>
      </c>
    </row>
    <row r="322" spans="1:9" ht="14.25" customHeight="1" x14ac:dyDescent="0.25">
      <c r="A322">
        <v>2023</v>
      </c>
      <c r="B322" s="4" t="s">
        <v>94</v>
      </c>
      <c r="C322" s="1">
        <v>5</v>
      </c>
      <c r="D322" s="1" t="s">
        <v>134</v>
      </c>
      <c r="E322" s="1" t="s">
        <v>12</v>
      </c>
      <c r="F322" s="1">
        <v>3</v>
      </c>
      <c r="G322" s="1">
        <v>111</v>
      </c>
      <c r="H322" s="1">
        <v>127</v>
      </c>
      <c r="I322" s="1">
        <v>48</v>
      </c>
    </row>
    <row r="323" spans="1:9" ht="14.25" customHeight="1" x14ac:dyDescent="0.25">
      <c r="A323">
        <v>2023</v>
      </c>
      <c r="B323" s="4" t="s">
        <v>94</v>
      </c>
      <c r="C323" s="1">
        <v>5</v>
      </c>
      <c r="D323" s="1" t="s">
        <v>135</v>
      </c>
      <c r="E323" s="1" t="s">
        <v>12</v>
      </c>
      <c r="F323" s="1">
        <v>1</v>
      </c>
      <c r="G323" s="1">
        <v>106</v>
      </c>
      <c r="H323" s="1">
        <v>146</v>
      </c>
      <c r="I323" s="5">
        <v>60</v>
      </c>
    </row>
    <row r="324" spans="1:9" ht="14.25" customHeight="1" x14ac:dyDescent="0.25">
      <c r="A324">
        <v>2023</v>
      </c>
      <c r="B324" s="4" t="s">
        <v>94</v>
      </c>
      <c r="C324" s="1">
        <v>5</v>
      </c>
      <c r="D324" s="1" t="s">
        <v>135</v>
      </c>
      <c r="E324" s="1" t="s">
        <v>12</v>
      </c>
      <c r="F324" s="1">
        <v>2</v>
      </c>
      <c r="G324" s="1">
        <v>107</v>
      </c>
      <c r="H324" s="1">
        <v>140</v>
      </c>
      <c r="I324" s="1">
        <v>48</v>
      </c>
    </row>
    <row r="325" spans="1:9" ht="14.25" customHeight="1" x14ac:dyDescent="0.25">
      <c r="A325">
        <v>2023</v>
      </c>
      <c r="B325" s="4" t="s">
        <v>94</v>
      </c>
      <c r="C325" s="1">
        <v>5</v>
      </c>
      <c r="D325" s="1" t="s">
        <v>135</v>
      </c>
      <c r="E325" s="1" t="s">
        <v>12</v>
      </c>
      <c r="F325" s="1">
        <v>3</v>
      </c>
      <c r="G325" s="1">
        <v>103</v>
      </c>
      <c r="H325" s="1">
        <v>144</v>
      </c>
      <c r="I325" s="1">
        <v>72</v>
      </c>
    </row>
    <row r="326" spans="1:9" ht="14.25" customHeight="1" x14ac:dyDescent="0.25">
      <c r="A326">
        <v>2023</v>
      </c>
      <c r="B326" s="4" t="s">
        <v>94</v>
      </c>
      <c r="C326" s="1">
        <v>5</v>
      </c>
      <c r="D326" s="1" t="s">
        <v>136</v>
      </c>
      <c r="E326" s="1" t="s">
        <v>12</v>
      </c>
      <c r="F326" s="1">
        <v>1</v>
      </c>
      <c r="G326" s="1">
        <v>107</v>
      </c>
      <c r="H326" s="1">
        <v>126</v>
      </c>
      <c r="I326" s="1">
        <v>36</v>
      </c>
    </row>
    <row r="327" spans="1:9" ht="14.25" customHeight="1" x14ac:dyDescent="0.25">
      <c r="A327">
        <v>2023</v>
      </c>
      <c r="B327" s="4" t="s">
        <v>94</v>
      </c>
      <c r="C327" s="1">
        <v>5</v>
      </c>
      <c r="D327" s="1" t="s">
        <v>136</v>
      </c>
      <c r="E327" s="1" t="s">
        <v>12</v>
      </c>
      <c r="F327" s="1">
        <v>2</v>
      </c>
      <c r="G327" s="1">
        <v>104</v>
      </c>
      <c r="H327" s="1">
        <v>133</v>
      </c>
      <c r="I327" s="1">
        <v>60</v>
      </c>
    </row>
    <row r="328" spans="1:9" ht="14.25" customHeight="1" x14ac:dyDescent="0.25">
      <c r="A328">
        <v>2023</v>
      </c>
      <c r="B328" s="4" t="s">
        <v>94</v>
      </c>
      <c r="C328" s="1">
        <v>5</v>
      </c>
      <c r="D328" s="1" t="s">
        <v>136</v>
      </c>
      <c r="E328" s="1" t="s">
        <v>12</v>
      </c>
      <c r="F328" s="1">
        <v>3</v>
      </c>
      <c r="G328" s="1">
        <v>107</v>
      </c>
      <c r="H328" s="1">
        <v>137</v>
      </c>
      <c r="I328" s="1">
        <v>60</v>
      </c>
    </row>
    <row r="329" spans="1:9" ht="14.25" customHeight="1" x14ac:dyDescent="0.25">
      <c r="A329">
        <v>2023</v>
      </c>
      <c r="B329" s="4" t="s">
        <v>94</v>
      </c>
      <c r="C329" s="1">
        <v>5</v>
      </c>
      <c r="D329" s="1" t="s">
        <v>137</v>
      </c>
      <c r="E329" s="1" t="s">
        <v>12</v>
      </c>
      <c r="F329" s="1">
        <v>1</v>
      </c>
      <c r="G329" s="1">
        <v>112</v>
      </c>
      <c r="H329" s="1">
        <v>144</v>
      </c>
      <c r="I329" s="1">
        <v>84</v>
      </c>
    </row>
    <row r="330" spans="1:9" ht="14.25" customHeight="1" x14ac:dyDescent="0.25">
      <c r="A330">
        <v>2023</v>
      </c>
      <c r="B330" s="4" t="s">
        <v>94</v>
      </c>
      <c r="C330" s="1">
        <v>5</v>
      </c>
      <c r="D330" s="1" t="s">
        <v>137</v>
      </c>
      <c r="E330" s="1" t="s">
        <v>12</v>
      </c>
      <c r="F330" s="1">
        <v>2</v>
      </c>
      <c r="G330" s="1">
        <v>113</v>
      </c>
      <c r="H330" s="1">
        <v>148</v>
      </c>
      <c r="I330" s="1">
        <v>48</v>
      </c>
    </row>
    <row r="331" spans="1:9" ht="14.25" customHeight="1" x14ac:dyDescent="0.25">
      <c r="A331">
        <v>2023</v>
      </c>
      <c r="B331" s="4" t="s">
        <v>94</v>
      </c>
      <c r="C331" s="1">
        <v>5</v>
      </c>
      <c r="D331" s="1" t="s">
        <v>137</v>
      </c>
      <c r="E331" s="1" t="s">
        <v>12</v>
      </c>
      <c r="F331" s="1">
        <v>3</v>
      </c>
      <c r="G331" s="1">
        <v>109</v>
      </c>
      <c r="H331" s="1">
        <v>142</v>
      </c>
      <c r="I331" s="1">
        <v>96</v>
      </c>
    </row>
    <row r="332" spans="1:9" ht="14.25" customHeight="1" x14ac:dyDescent="0.25">
      <c r="A332">
        <v>2023</v>
      </c>
      <c r="B332" s="4" t="s">
        <v>94</v>
      </c>
      <c r="C332" s="1">
        <v>5</v>
      </c>
      <c r="D332" s="1" t="s">
        <v>138</v>
      </c>
      <c r="E332" s="1" t="s">
        <v>12</v>
      </c>
      <c r="F332" s="1">
        <v>1</v>
      </c>
      <c r="G332" s="1">
        <v>115</v>
      </c>
      <c r="H332" s="1">
        <v>105</v>
      </c>
      <c r="I332" s="1">
        <v>60</v>
      </c>
    </row>
    <row r="333" spans="1:9" ht="14.25" customHeight="1" x14ac:dyDescent="0.25">
      <c r="A333">
        <v>2023</v>
      </c>
      <c r="B333" s="4" t="s">
        <v>94</v>
      </c>
      <c r="C333" s="1">
        <v>5</v>
      </c>
      <c r="D333" s="1" t="s">
        <v>138</v>
      </c>
      <c r="E333" s="1" t="s">
        <v>12</v>
      </c>
      <c r="F333" s="1">
        <v>2</v>
      </c>
      <c r="G333" s="1">
        <v>118</v>
      </c>
      <c r="H333" s="1">
        <v>110</v>
      </c>
      <c r="I333" s="1">
        <v>72</v>
      </c>
    </row>
    <row r="334" spans="1:9" ht="14.25" customHeight="1" x14ac:dyDescent="0.25">
      <c r="A334">
        <v>2023</v>
      </c>
      <c r="B334" s="4" t="s">
        <v>94</v>
      </c>
      <c r="C334" s="1">
        <v>5</v>
      </c>
      <c r="D334" s="1" t="s">
        <v>138</v>
      </c>
      <c r="E334" s="1" t="s">
        <v>12</v>
      </c>
      <c r="F334" s="1">
        <v>3</v>
      </c>
      <c r="G334" s="1">
        <v>114</v>
      </c>
      <c r="H334" s="1">
        <v>99</v>
      </c>
      <c r="I334" s="1">
        <v>48</v>
      </c>
    </row>
    <row r="335" spans="1:9" ht="14.25" customHeight="1" x14ac:dyDescent="0.25">
      <c r="A335">
        <v>2023</v>
      </c>
      <c r="B335" s="4" t="s">
        <v>94</v>
      </c>
      <c r="C335" s="1" t="s">
        <v>20</v>
      </c>
      <c r="D335" s="1" t="s">
        <v>139</v>
      </c>
      <c r="E335" s="1" t="s">
        <v>12</v>
      </c>
      <c r="F335" s="1">
        <v>1</v>
      </c>
      <c r="G335" s="1">
        <v>138</v>
      </c>
      <c r="H335" s="1">
        <v>120</v>
      </c>
      <c r="I335" s="5">
        <v>60</v>
      </c>
    </row>
    <row r="336" spans="1:9" ht="14.25" customHeight="1" x14ac:dyDescent="0.25">
      <c r="A336">
        <v>2023</v>
      </c>
      <c r="B336" s="4" t="s">
        <v>94</v>
      </c>
      <c r="C336" s="1" t="s">
        <v>20</v>
      </c>
      <c r="D336" s="1" t="s">
        <v>139</v>
      </c>
      <c r="E336" s="1" t="s">
        <v>12</v>
      </c>
      <c r="F336" s="1">
        <v>2</v>
      </c>
      <c r="G336" s="1">
        <v>139</v>
      </c>
      <c r="H336" s="1">
        <v>116</v>
      </c>
      <c r="I336" s="1">
        <v>60</v>
      </c>
    </row>
    <row r="337" spans="1:9" ht="14.25" customHeight="1" x14ac:dyDescent="0.25">
      <c r="A337">
        <v>2023</v>
      </c>
      <c r="B337" s="4" t="s">
        <v>94</v>
      </c>
      <c r="C337" s="1" t="s">
        <v>20</v>
      </c>
      <c r="D337" s="1" t="s">
        <v>139</v>
      </c>
      <c r="E337" s="1" t="s">
        <v>12</v>
      </c>
      <c r="F337" s="1">
        <v>3</v>
      </c>
      <c r="G337" s="1">
        <v>127</v>
      </c>
      <c r="H337" s="1">
        <v>129</v>
      </c>
      <c r="I337" s="1">
        <v>84</v>
      </c>
    </row>
    <row r="338" spans="1:9" ht="14.25" customHeight="1" x14ac:dyDescent="0.25">
      <c r="A338">
        <v>2023</v>
      </c>
      <c r="B338" s="4" t="s">
        <v>94</v>
      </c>
      <c r="C338" s="1">
        <v>5</v>
      </c>
      <c r="D338" s="1" t="s">
        <v>140</v>
      </c>
      <c r="E338" s="1" t="s">
        <v>12</v>
      </c>
      <c r="F338" s="1">
        <v>1</v>
      </c>
      <c r="G338" s="1">
        <v>107</v>
      </c>
      <c r="H338" s="1">
        <v>138</v>
      </c>
      <c r="I338" s="1">
        <v>60</v>
      </c>
    </row>
    <row r="339" spans="1:9" ht="14.25" customHeight="1" x14ac:dyDescent="0.25">
      <c r="A339">
        <v>2023</v>
      </c>
      <c r="B339" s="4" t="s">
        <v>94</v>
      </c>
      <c r="C339" s="1">
        <v>5</v>
      </c>
      <c r="D339" s="1" t="s">
        <v>140</v>
      </c>
      <c r="E339" s="1" t="s">
        <v>12</v>
      </c>
      <c r="F339" s="1">
        <v>2</v>
      </c>
      <c r="G339" s="1">
        <v>105</v>
      </c>
      <c r="H339" s="1">
        <v>142</v>
      </c>
      <c r="I339" s="1">
        <v>48</v>
      </c>
    </row>
    <row r="340" spans="1:9" ht="14.25" customHeight="1" x14ac:dyDescent="0.25">
      <c r="A340">
        <v>2023</v>
      </c>
      <c r="B340" s="4" t="s">
        <v>94</v>
      </c>
      <c r="C340" s="1">
        <v>5</v>
      </c>
      <c r="D340" s="1" t="s">
        <v>140</v>
      </c>
      <c r="E340" s="1" t="s">
        <v>12</v>
      </c>
      <c r="F340" s="1">
        <v>3</v>
      </c>
      <c r="G340" s="1">
        <v>108</v>
      </c>
      <c r="H340" s="1">
        <v>138</v>
      </c>
      <c r="I340" s="1">
        <v>60</v>
      </c>
    </row>
    <row r="341" spans="1:9" ht="14.25" customHeight="1" x14ac:dyDescent="0.25">
      <c r="A341">
        <v>2023</v>
      </c>
      <c r="B341" s="4" t="s">
        <v>94</v>
      </c>
      <c r="C341" s="1">
        <v>5</v>
      </c>
      <c r="D341" s="1" t="s">
        <v>141</v>
      </c>
      <c r="E341" s="1" t="s">
        <v>12</v>
      </c>
      <c r="F341" s="1">
        <v>1</v>
      </c>
      <c r="G341" s="1">
        <v>110</v>
      </c>
      <c r="H341" s="1">
        <v>112</v>
      </c>
      <c r="I341" s="5">
        <v>66</v>
      </c>
    </row>
    <row r="342" spans="1:9" ht="14.25" customHeight="1" x14ac:dyDescent="0.25">
      <c r="A342">
        <v>2023</v>
      </c>
      <c r="B342" s="4" t="s">
        <v>94</v>
      </c>
      <c r="C342" s="1">
        <v>5</v>
      </c>
      <c r="D342" s="1" t="s">
        <v>141</v>
      </c>
      <c r="E342" s="1" t="s">
        <v>12</v>
      </c>
      <c r="F342" s="1">
        <v>2</v>
      </c>
      <c r="G342" s="1">
        <v>115</v>
      </c>
      <c r="H342" s="1">
        <v>98</v>
      </c>
      <c r="I342" s="1">
        <v>60</v>
      </c>
    </row>
    <row r="343" spans="1:9" ht="14.25" customHeight="1" x14ac:dyDescent="0.25">
      <c r="A343">
        <v>2023</v>
      </c>
      <c r="B343" s="4" t="s">
        <v>94</v>
      </c>
      <c r="C343" s="1">
        <v>5</v>
      </c>
      <c r="D343" s="1" t="s">
        <v>141</v>
      </c>
      <c r="E343" s="1" t="s">
        <v>12</v>
      </c>
      <c r="F343" s="1">
        <v>3</v>
      </c>
      <c r="G343" s="1">
        <v>114</v>
      </c>
      <c r="H343" s="1">
        <v>105</v>
      </c>
      <c r="I343" s="1">
        <v>96</v>
      </c>
    </row>
    <row r="344" spans="1:9" ht="14.25" customHeight="1" x14ac:dyDescent="0.25">
      <c r="A344">
        <v>2023</v>
      </c>
      <c r="B344" s="4" t="s">
        <v>14</v>
      </c>
      <c r="C344" s="1">
        <v>1</v>
      </c>
      <c r="D344" s="1" t="s">
        <v>142</v>
      </c>
      <c r="E344" s="1" t="s">
        <v>12</v>
      </c>
      <c r="F344" s="1">
        <v>1</v>
      </c>
      <c r="G344" s="5">
        <v>0</v>
      </c>
      <c r="H344" s="1">
        <v>107</v>
      </c>
      <c r="I344" s="1">
        <v>36</v>
      </c>
    </row>
    <row r="345" spans="1:9" ht="14.25" customHeight="1" x14ac:dyDescent="0.25">
      <c r="A345">
        <v>2023</v>
      </c>
      <c r="B345" s="4" t="s">
        <v>14</v>
      </c>
      <c r="C345" s="1">
        <v>1</v>
      </c>
      <c r="D345" s="1" t="s">
        <v>142</v>
      </c>
      <c r="E345" s="1" t="s">
        <v>12</v>
      </c>
      <c r="F345" s="1">
        <v>2</v>
      </c>
      <c r="G345" s="5">
        <v>0</v>
      </c>
      <c r="H345" s="1">
        <v>100</v>
      </c>
      <c r="I345" s="1">
        <v>24</v>
      </c>
    </row>
    <row r="346" spans="1:9" ht="14.25" customHeight="1" x14ac:dyDescent="0.25">
      <c r="A346">
        <v>2023</v>
      </c>
      <c r="B346" s="4" t="s">
        <v>14</v>
      </c>
      <c r="C346" s="1">
        <v>1</v>
      </c>
      <c r="D346" s="1" t="s">
        <v>142</v>
      </c>
      <c r="E346" s="1" t="s">
        <v>12</v>
      </c>
      <c r="F346" s="1">
        <v>3</v>
      </c>
      <c r="G346" s="5">
        <v>0</v>
      </c>
      <c r="H346" s="1">
        <v>103</v>
      </c>
      <c r="I346" s="1">
        <v>48</v>
      </c>
    </row>
    <row r="347" spans="1:9" ht="14.25" customHeight="1" x14ac:dyDescent="0.25">
      <c r="A347">
        <v>2023</v>
      </c>
      <c r="B347" s="4" t="s">
        <v>94</v>
      </c>
      <c r="C347" s="1">
        <v>5</v>
      </c>
      <c r="D347" s="1" t="s">
        <v>143</v>
      </c>
      <c r="E347" s="1" t="s">
        <v>12</v>
      </c>
      <c r="F347" s="1">
        <v>1</v>
      </c>
      <c r="G347" s="1">
        <v>100</v>
      </c>
      <c r="H347" s="1">
        <v>125</v>
      </c>
      <c r="I347" s="1">
        <v>36</v>
      </c>
    </row>
    <row r="348" spans="1:9" ht="14.25" customHeight="1" x14ac:dyDescent="0.25">
      <c r="A348">
        <v>2023</v>
      </c>
      <c r="B348" s="4" t="s">
        <v>94</v>
      </c>
      <c r="C348" s="1">
        <v>5</v>
      </c>
      <c r="D348" s="1" t="s">
        <v>143</v>
      </c>
      <c r="E348" s="1" t="s">
        <v>12</v>
      </c>
      <c r="F348" s="1">
        <v>2</v>
      </c>
      <c r="G348" s="1">
        <v>98</v>
      </c>
      <c r="H348" s="1">
        <v>106</v>
      </c>
      <c r="I348" s="1">
        <v>60</v>
      </c>
    </row>
    <row r="349" spans="1:9" ht="14.25" customHeight="1" x14ac:dyDescent="0.25">
      <c r="A349">
        <v>2023</v>
      </c>
      <c r="B349" s="4" t="s">
        <v>94</v>
      </c>
      <c r="C349" s="1">
        <v>5</v>
      </c>
      <c r="D349" s="1" t="s">
        <v>143</v>
      </c>
      <c r="E349" s="1" t="s">
        <v>12</v>
      </c>
      <c r="F349" s="1">
        <v>3</v>
      </c>
      <c r="G349" s="1">
        <v>98</v>
      </c>
      <c r="H349" s="1">
        <v>113</v>
      </c>
      <c r="I349" s="1">
        <v>48</v>
      </c>
    </row>
    <row r="350" spans="1:9" ht="14.25" customHeight="1" x14ac:dyDescent="0.25">
      <c r="A350">
        <v>2023</v>
      </c>
      <c r="B350" s="4" t="s">
        <v>94</v>
      </c>
      <c r="C350" s="1">
        <v>5</v>
      </c>
      <c r="D350" s="1" t="s">
        <v>144</v>
      </c>
      <c r="E350" s="1" t="s">
        <v>12</v>
      </c>
      <c r="F350" s="1">
        <v>1</v>
      </c>
      <c r="G350" s="1">
        <v>108</v>
      </c>
      <c r="H350" s="1">
        <v>144</v>
      </c>
      <c r="I350" s="1">
        <v>48</v>
      </c>
    </row>
    <row r="351" spans="1:9" ht="14.25" customHeight="1" x14ac:dyDescent="0.25">
      <c r="A351">
        <v>2023</v>
      </c>
      <c r="B351" s="4" t="s">
        <v>94</v>
      </c>
      <c r="C351" s="1">
        <v>5</v>
      </c>
      <c r="D351" s="1" t="s">
        <v>144</v>
      </c>
      <c r="E351" s="1" t="s">
        <v>12</v>
      </c>
      <c r="F351" s="1">
        <v>2</v>
      </c>
      <c r="G351" s="1">
        <v>108</v>
      </c>
      <c r="H351" s="1">
        <v>130</v>
      </c>
      <c r="I351" s="1">
        <v>24</v>
      </c>
    </row>
    <row r="352" spans="1:9" ht="14.25" customHeight="1" x14ac:dyDescent="0.25">
      <c r="A352">
        <v>2023</v>
      </c>
      <c r="B352" s="4" t="s">
        <v>94</v>
      </c>
      <c r="C352" s="1">
        <v>5</v>
      </c>
      <c r="D352" s="1" t="s">
        <v>144</v>
      </c>
      <c r="E352" s="1" t="s">
        <v>12</v>
      </c>
      <c r="F352" s="1">
        <v>3</v>
      </c>
      <c r="G352" s="1">
        <v>104</v>
      </c>
      <c r="H352" s="1">
        <v>146</v>
      </c>
      <c r="I352" s="1">
        <v>72</v>
      </c>
    </row>
    <row r="353" spans="1:9" ht="14.25" customHeight="1" x14ac:dyDescent="0.25">
      <c r="A353">
        <v>2023</v>
      </c>
      <c r="B353" s="4" t="s">
        <v>94</v>
      </c>
      <c r="C353" s="1">
        <v>5</v>
      </c>
      <c r="D353" s="1" t="s">
        <v>145</v>
      </c>
      <c r="E353" s="1" t="s">
        <v>12</v>
      </c>
      <c r="F353" s="1">
        <v>1</v>
      </c>
      <c r="G353" s="1">
        <v>91</v>
      </c>
      <c r="H353" s="1">
        <v>110</v>
      </c>
      <c r="I353" s="1">
        <v>48</v>
      </c>
    </row>
    <row r="354" spans="1:9" ht="14.25" customHeight="1" x14ac:dyDescent="0.25">
      <c r="A354">
        <v>2023</v>
      </c>
      <c r="B354" s="4" t="s">
        <v>94</v>
      </c>
      <c r="C354" s="1">
        <v>5</v>
      </c>
      <c r="D354" s="1" t="s">
        <v>145</v>
      </c>
      <c r="E354" s="1" t="s">
        <v>12</v>
      </c>
      <c r="F354" s="1">
        <v>2</v>
      </c>
      <c r="G354" s="1">
        <v>91</v>
      </c>
      <c r="H354" s="1">
        <v>121</v>
      </c>
      <c r="I354" s="1">
        <v>72</v>
      </c>
    </row>
    <row r="355" spans="1:9" ht="14.25" customHeight="1" x14ac:dyDescent="0.25">
      <c r="A355">
        <v>2023</v>
      </c>
      <c r="B355" s="4" t="s">
        <v>94</v>
      </c>
      <c r="C355" s="1">
        <v>5</v>
      </c>
      <c r="D355" s="1" t="s">
        <v>145</v>
      </c>
      <c r="E355" s="1" t="s">
        <v>12</v>
      </c>
      <c r="F355" s="1">
        <v>3</v>
      </c>
      <c r="G355" s="1">
        <v>91</v>
      </c>
      <c r="H355" s="1">
        <v>116</v>
      </c>
      <c r="I355" s="1">
        <v>36</v>
      </c>
    </row>
    <row r="356" spans="1:9" ht="14.25" customHeight="1" x14ac:dyDescent="0.25">
      <c r="A356">
        <v>2023</v>
      </c>
      <c r="B356" s="4" t="s">
        <v>94</v>
      </c>
      <c r="C356" s="1">
        <v>5</v>
      </c>
      <c r="D356" s="1" t="s">
        <v>146</v>
      </c>
      <c r="E356" s="1" t="s">
        <v>12</v>
      </c>
      <c r="F356" s="1">
        <v>1</v>
      </c>
      <c r="G356" s="1">
        <v>97</v>
      </c>
      <c r="H356" s="1">
        <v>120</v>
      </c>
      <c r="I356" s="1">
        <v>72</v>
      </c>
    </row>
    <row r="357" spans="1:9" ht="14.25" customHeight="1" x14ac:dyDescent="0.25">
      <c r="A357">
        <v>2023</v>
      </c>
      <c r="B357" s="4" t="s">
        <v>94</v>
      </c>
      <c r="C357" s="1">
        <v>5</v>
      </c>
      <c r="D357" s="1" t="s">
        <v>146</v>
      </c>
      <c r="E357" s="1" t="s">
        <v>12</v>
      </c>
      <c r="F357" s="1">
        <v>2</v>
      </c>
      <c r="G357" s="1">
        <v>102</v>
      </c>
      <c r="H357" s="1">
        <v>125</v>
      </c>
      <c r="I357" s="1">
        <v>84</v>
      </c>
    </row>
    <row r="358" spans="1:9" ht="14.25" customHeight="1" x14ac:dyDescent="0.25">
      <c r="A358">
        <v>2023</v>
      </c>
      <c r="B358" s="4" t="s">
        <v>94</v>
      </c>
      <c r="C358" s="1">
        <v>5</v>
      </c>
      <c r="D358" s="1" t="s">
        <v>146</v>
      </c>
      <c r="E358" s="1" t="s">
        <v>12</v>
      </c>
      <c r="F358" s="1">
        <v>3</v>
      </c>
      <c r="G358" s="1">
        <v>98</v>
      </c>
      <c r="H358" s="1">
        <v>137</v>
      </c>
      <c r="I358" s="1">
        <v>84</v>
      </c>
    </row>
    <row r="359" spans="1:9" ht="14.25" customHeight="1" x14ac:dyDescent="0.25">
      <c r="A359">
        <v>2023</v>
      </c>
      <c r="B359" s="4" t="s">
        <v>94</v>
      </c>
      <c r="C359" s="1">
        <v>5</v>
      </c>
      <c r="D359" s="1" t="s">
        <v>147</v>
      </c>
      <c r="E359" s="1" t="s">
        <v>12</v>
      </c>
      <c r="F359" s="1">
        <v>1</v>
      </c>
      <c r="G359" s="1">
        <v>110</v>
      </c>
      <c r="H359" s="1">
        <v>142</v>
      </c>
      <c r="I359" s="1">
        <v>60</v>
      </c>
    </row>
    <row r="360" spans="1:9" ht="14.25" customHeight="1" x14ac:dyDescent="0.25">
      <c r="A360">
        <v>2023</v>
      </c>
      <c r="B360" s="4" t="s">
        <v>94</v>
      </c>
      <c r="C360" s="1">
        <v>5</v>
      </c>
      <c r="D360" s="1" t="s">
        <v>147</v>
      </c>
      <c r="E360" s="1" t="s">
        <v>12</v>
      </c>
      <c r="F360" s="1">
        <v>2</v>
      </c>
      <c r="G360" s="1">
        <v>112</v>
      </c>
      <c r="H360" s="1">
        <v>125</v>
      </c>
      <c r="I360" s="1">
        <v>60</v>
      </c>
    </row>
    <row r="361" spans="1:9" ht="14.25" customHeight="1" x14ac:dyDescent="0.25">
      <c r="A361">
        <v>2023</v>
      </c>
      <c r="B361" s="4" t="s">
        <v>94</v>
      </c>
      <c r="C361" s="1">
        <v>5</v>
      </c>
      <c r="D361" s="1" t="s">
        <v>147</v>
      </c>
      <c r="E361" s="1" t="s">
        <v>12</v>
      </c>
      <c r="F361" s="1">
        <v>3</v>
      </c>
      <c r="G361" s="1">
        <v>113</v>
      </c>
      <c r="H361" s="1">
        <v>126</v>
      </c>
      <c r="I361" s="1">
        <v>36</v>
      </c>
    </row>
    <row r="362" spans="1:9" ht="14.25" customHeight="1" x14ac:dyDescent="0.25">
      <c r="A362">
        <v>2023</v>
      </c>
      <c r="B362" s="4" t="s">
        <v>94</v>
      </c>
      <c r="C362" s="1">
        <v>5</v>
      </c>
      <c r="D362" s="1" t="s">
        <v>148</v>
      </c>
      <c r="E362" s="1" t="s">
        <v>12</v>
      </c>
      <c r="F362" s="1">
        <v>1</v>
      </c>
      <c r="G362" s="1">
        <v>113</v>
      </c>
      <c r="H362" s="1">
        <v>127</v>
      </c>
      <c r="I362" s="1">
        <v>48</v>
      </c>
    </row>
    <row r="363" spans="1:9" ht="14.25" customHeight="1" x14ac:dyDescent="0.25">
      <c r="A363">
        <v>2023</v>
      </c>
      <c r="B363" s="4" t="s">
        <v>94</v>
      </c>
      <c r="C363" s="1">
        <v>5</v>
      </c>
      <c r="D363" s="1" t="s">
        <v>148</v>
      </c>
      <c r="E363" s="1" t="s">
        <v>12</v>
      </c>
      <c r="F363" s="1">
        <v>2</v>
      </c>
      <c r="G363" s="1">
        <v>113</v>
      </c>
      <c r="H363" s="1">
        <v>130</v>
      </c>
      <c r="I363" s="1">
        <v>24</v>
      </c>
    </row>
    <row r="364" spans="1:9" ht="14.25" customHeight="1" x14ac:dyDescent="0.25">
      <c r="A364">
        <v>2023</v>
      </c>
      <c r="B364" s="4" t="s">
        <v>94</v>
      </c>
      <c r="C364" s="1">
        <v>5</v>
      </c>
      <c r="D364" s="1" t="s">
        <v>148</v>
      </c>
      <c r="E364" s="1" t="s">
        <v>12</v>
      </c>
      <c r="F364" s="1">
        <v>3</v>
      </c>
      <c r="G364" s="1">
        <v>110</v>
      </c>
      <c r="H364" s="1">
        <v>121</v>
      </c>
      <c r="I364" s="1">
        <v>48</v>
      </c>
    </row>
    <row r="365" spans="1:9" ht="14.25" customHeight="1" x14ac:dyDescent="0.25">
      <c r="A365">
        <v>2023</v>
      </c>
      <c r="B365" s="4" t="s">
        <v>94</v>
      </c>
      <c r="C365" s="1">
        <v>5</v>
      </c>
      <c r="D365" s="1" t="s">
        <v>149</v>
      </c>
      <c r="E365" s="1" t="s">
        <v>12</v>
      </c>
      <c r="F365" s="1">
        <v>1</v>
      </c>
      <c r="G365" s="1">
        <v>107</v>
      </c>
      <c r="H365" s="1">
        <v>134</v>
      </c>
      <c r="I365" s="1">
        <v>60</v>
      </c>
    </row>
    <row r="366" spans="1:9" ht="14.25" customHeight="1" x14ac:dyDescent="0.25">
      <c r="A366">
        <v>2023</v>
      </c>
      <c r="B366" s="4" t="s">
        <v>94</v>
      </c>
      <c r="C366" s="1">
        <v>5</v>
      </c>
      <c r="D366" s="1" t="s">
        <v>149</v>
      </c>
      <c r="E366" s="1" t="s">
        <v>12</v>
      </c>
      <c r="F366" s="1">
        <v>2</v>
      </c>
      <c r="G366" s="1">
        <v>105</v>
      </c>
      <c r="H366" s="1">
        <v>137</v>
      </c>
      <c r="I366" s="1">
        <v>24</v>
      </c>
    </row>
    <row r="367" spans="1:9" ht="14.25" customHeight="1" x14ac:dyDescent="0.25">
      <c r="A367">
        <v>2023</v>
      </c>
      <c r="B367" s="4" t="s">
        <v>94</v>
      </c>
      <c r="C367" s="1">
        <v>5</v>
      </c>
      <c r="D367" s="1" t="s">
        <v>149</v>
      </c>
      <c r="E367" s="1" t="s">
        <v>12</v>
      </c>
      <c r="F367" s="1">
        <v>3</v>
      </c>
      <c r="G367" s="1">
        <v>109</v>
      </c>
      <c r="H367" s="1">
        <v>141</v>
      </c>
      <c r="I367" s="1">
        <v>48</v>
      </c>
    </row>
    <row r="368" spans="1:9" ht="14.25" customHeight="1" x14ac:dyDescent="0.25">
      <c r="A368">
        <v>2023</v>
      </c>
      <c r="B368" s="4" t="s">
        <v>94</v>
      </c>
      <c r="C368" s="1">
        <v>5</v>
      </c>
      <c r="D368" s="1" t="s">
        <v>150</v>
      </c>
      <c r="E368" s="1" t="s">
        <v>12</v>
      </c>
      <c r="F368" s="1">
        <v>1</v>
      </c>
      <c r="G368" s="1">
        <v>110</v>
      </c>
      <c r="H368" s="1">
        <v>140</v>
      </c>
      <c r="I368" s="1">
        <v>84</v>
      </c>
    </row>
    <row r="369" spans="1:9" ht="14.25" customHeight="1" x14ac:dyDescent="0.25">
      <c r="A369">
        <v>2023</v>
      </c>
      <c r="B369" s="4" t="s">
        <v>94</v>
      </c>
      <c r="C369" s="1">
        <v>5</v>
      </c>
      <c r="D369" s="1" t="s">
        <v>150</v>
      </c>
      <c r="E369" s="1" t="s">
        <v>12</v>
      </c>
      <c r="F369" s="1">
        <v>2</v>
      </c>
      <c r="G369" s="1">
        <v>112</v>
      </c>
      <c r="H369" s="1">
        <v>135</v>
      </c>
      <c r="I369" s="1">
        <v>72</v>
      </c>
    </row>
    <row r="370" spans="1:9" ht="14.25" customHeight="1" x14ac:dyDescent="0.25">
      <c r="A370">
        <v>2023</v>
      </c>
      <c r="B370" s="4" t="s">
        <v>94</v>
      </c>
      <c r="C370" s="1">
        <v>5</v>
      </c>
      <c r="D370" s="1" t="s">
        <v>150</v>
      </c>
      <c r="E370" s="1" t="s">
        <v>12</v>
      </c>
      <c r="F370" s="1">
        <v>3</v>
      </c>
      <c r="G370" s="1">
        <v>105</v>
      </c>
      <c r="H370" s="1">
        <v>125</v>
      </c>
      <c r="I370" s="1">
        <v>72</v>
      </c>
    </row>
    <row r="371" spans="1:9" ht="14.25" customHeight="1" x14ac:dyDescent="0.25">
      <c r="A371">
        <v>2023</v>
      </c>
      <c r="B371" s="4" t="s">
        <v>94</v>
      </c>
      <c r="C371" s="1">
        <v>5</v>
      </c>
      <c r="D371" s="1" t="s">
        <v>151</v>
      </c>
      <c r="E371" s="1" t="s">
        <v>12</v>
      </c>
      <c r="F371" s="1">
        <v>1</v>
      </c>
      <c r="G371" s="1">
        <v>107</v>
      </c>
      <c r="H371" s="1">
        <v>102</v>
      </c>
      <c r="I371" s="1">
        <v>60</v>
      </c>
    </row>
    <row r="372" spans="1:9" ht="14.25" customHeight="1" x14ac:dyDescent="0.25">
      <c r="A372">
        <v>2023</v>
      </c>
      <c r="B372" s="4" t="s">
        <v>94</v>
      </c>
      <c r="C372" s="1">
        <v>5</v>
      </c>
      <c r="D372" s="1" t="s">
        <v>151</v>
      </c>
      <c r="E372" s="1" t="s">
        <v>12</v>
      </c>
      <c r="F372" s="1">
        <v>2</v>
      </c>
      <c r="G372" s="1">
        <v>108</v>
      </c>
      <c r="H372" s="1">
        <v>113</v>
      </c>
      <c r="I372" s="1">
        <v>72</v>
      </c>
    </row>
    <row r="373" spans="1:9" ht="14.25" customHeight="1" x14ac:dyDescent="0.25">
      <c r="A373">
        <v>2023</v>
      </c>
      <c r="B373" s="4" t="s">
        <v>94</v>
      </c>
      <c r="C373" s="1">
        <v>5</v>
      </c>
      <c r="D373" s="1" t="s">
        <v>151</v>
      </c>
      <c r="E373" s="1" t="s">
        <v>12</v>
      </c>
      <c r="F373" s="1">
        <v>3</v>
      </c>
      <c r="G373" s="1">
        <v>104</v>
      </c>
      <c r="H373" s="1">
        <v>122</v>
      </c>
      <c r="I373" s="1">
        <v>84</v>
      </c>
    </row>
    <row r="374" spans="1:9" ht="14.25" customHeight="1" x14ac:dyDescent="0.25">
      <c r="A374">
        <v>2023</v>
      </c>
      <c r="B374" s="4" t="s">
        <v>94</v>
      </c>
      <c r="C374" s="1">
        <v>5</v>
      </c>
      <c r="D374" s="1" t="s">
        <v>152</v>
      </c>
      <c r="E374" s="1" t="s">
        <v>12</v>
      </c>
      <c r="F374" s="1">
        <v>1</v>
      </c>
      <c r="G374" s="1">
        <v>105</v>
      </c>
      <c r="H374" s="1">
        <v>132</v>
      </c>
      <c r="I374" s="1">
        <v>60</v>
      </c>
    </row>
    <row r="375" spans="1:9" ht="14.25" customHeight="1" x14ac:dyDescent="0.25">
      <c r="A375">
        <v>2023</v>
      </c>
      <c r="B375" s="4" t="s">
        <v>94</v>
      </c>
      <c r="C375" s="1">
        <v>5</v>
      </c>
      <c r="D375" s="1" t="s">
        <v>152</v>
      </c>
      <c r="E375" s="1" t="s">
        <v>12</v>
      </c>
      <c r="F375" s="1">
        <v>2</v>
      </c>
      <c r="G375" s="1">
        <v>109</v>
      </c>
      <c r="H375" s="1">
        <v>143</v>
      </c>
      <c r="I375" s="1">
        <v>48</v>
      </c>
    </row>
    <row r="376" spans="1:9" ht="14.25" customHeight="1" x14ac:dyDescent="0.25">
      <c r="A376">
        <v>2023</v>
      </c>
      <c r="B376" s="4" t="s">
        <v>94</v>
      </c>
      <c r="C376" s="1">
        <v>5</v>
      </c>
      <c r="D376" s="1" t="s">
        <v>152</v>
      </c>
      <c r="E376" s="1" t="s">
        <v>12</v>
      </c>
      <c r="F376" s="1">
        <v>3</v>
      </c>
      <c r="G376" s="1">
        <v>105</v>
      </c>
      <c r="H376" s="1">
        <v>140</v>
      </c>
      <c r="I376" s="5">
        <v>60</v>
      </c>
    </row>
    <row r="377" spans="1:9" ht="14.25" customHeight="1" x14ac:dyDescent="0.25">
      <c r="A377">
        <v>2023</v>
      </c>
      <c r="B377" s="4" t="s">
        <v>94</v>
      </c>
      <c r="C377" s="1">
        <v>4</v>
      </c>
      <c r="D377" s="1" t="s">
        <v>153</v>
      </c>
      <c r="E377" s="1" t="s">
        <v>12</v>
      </c>
      <c r="F377" s="1">
        <v>1</v>
      </c>
      <c r="G377" s="1">
        <v>102</v>
      </c>
      <c r="H377" s="1">
        <v>112</v>
      </c>
      <c r="I377" s="1">
        <v>120</v>
      </c>
    </row>
    <row r="378" spans="1:9" ht="14.25" customHeight="1" x14ac:dyDescent="0.25">
      <c r="A378">
        <v>2023</v>
      </c>
      <c r="B378" s="4" t="s">
        <v>94</v>
      </c>
      <c r="C378" s="1">
        <v>4</v>
      </c>
      <c r="D378" s="1" t="s">
        <v>153</v>
      </c>
      <c r="E378" s="1" t="s">
        <v>12</v>
      </c>
      <c r="F378" s="1">
        <v>2</v>
      </c>
      <c r="G378" s="1">
        <v>102</v>
      </c>
      <c r="H378" s="1">
        <v>126</v>
      </c>
      <c r="I378" s="1">
        <v>96</v>
      </c>
    </row>
    <row r="379" spans="1:9" ht="14.25" customHeight="1" x14ac:dyDescent="0.25">
      <c r="A379">
        <v>2023</v>
      </c>
      <c r="B379" s="4" t="s">
        <v>94</v>
      </c>
      <c r="C379" s="1">
        <v>4</v>
      </c>
      <c r="D379" s="1" t="s">
        <v>153</v>
      </c>
      <c r="E379" s="1" t="s">
        <v>12</v>
      </c>
      <c r="F379" s="1">
        <v>3</v>
      </c>
      <c r="G379" s="1">
        <v>103</v>
      </c>
      <c r="H379" s="1">
        <v>122</v>
      </c>
      <c r="I379" s="1">
        <v>84</v>
      </c>
    </row>
    <row r="380" spans="1:9" ht="14.25" customHeight="1" x14ac:dyDescent="0.25">
      <c r="A380">
        <v>2023</v>
      </c>
      <c r="B380" s="4" t="s">
        <v>94</v>
      </c>
      <c r="C380" s="1">
        <v>4</v>
      </c>
      <c r="D380" s="1" t="s">
        <v>154</v>
      </c>
      <c r="E380" s="1" t="s">
        <v>12</v>
      </c>
      <c r="F380" s="1">
        <v>1</v>
      </c>
      <c r="G380" s="1">
        <v>111</v>
      </c>
      <c r="H380" s="1">
        <v>127</v>
      </c>
      <c r="I380" s="1">
        <v>36</v>
      </c>
    </row>
    <row r="381" spans="1:9" ht="14.25" customHeight="1" x14ac:dyDescent="0.25">
      <c r="A381">
        <v>2023</v>
      </c>
      <c r="B381" s="4" t="s">
        <v>94</v>
      </c>
      <c r="C381" s="1">
        <v>4</v>
      </c>
      <c r="D381" s="1" t="s">
        <v>154</v>
      </c>
      <c r="E381" s="1" t="s">
        <v>12</v>
      </c>
      <c r="F381" s="1">
        <v>2</v>
      </c>
      <c r="G381" s="1">
        <v>109</v>
      </c>
      <c r="H381" s="1">
        <v>142</v>
      </c>
      <c r="I381" s="1">
        <v>48</v>
      </c>
    </row>
    <row r="382" spans="1:9" ht="14.25" customHeight="1" x14ac:dyDescent="0.25">
      <c r="A382">
        <v>2023</v>
      </c>
      <c r="B382" s="4" t="s">
        <v>94</v>
      </c>
      <c r="C382" s="1">
        <v>4</v>
      </c>
      <c r="D382" s="1" t="s">
        <v>154</v>
      </c>
      <c r="E382" s="1" t="s">
        <v>12</v>
      </c>
      <c r="F382" s="1">
        <v>3</v>
      </c>
      <c r="G382" s="1">
        <v>114</v>
      </c>
      <c r="H382" s="1">
        <v>139</v>
      </c>
      <c r="I382" s="1">
        <v>48</v>
      </c>
    </row>
    <row r="383" spans="1:9" ht="14.25" customHeight="1" x14ac:dyDescent="0.25">
      <c r="A383">
        <v>2023</v>
      </c>
      <c r="B383" s="4" t="s">
        <v>94</v>
      </c>
      <c r="C383" s="1">
        <v>5</v>
      </c>
      <c r="D383" s="1" t="s">
        <v>155</v>
      </c>
      <c r="E383" s="1" t="s">
        <v>12</v>
      </c>
      <c r="F383" s="1">
        <v>1</v>
      </c>
      <c r="G383" s="1">
        <v>110</v>
      </c>
      <c r="H383" s="1">
        <v>140</v>
      </c>
      <c r="I383" s="5">
        <v>54</v>
      </c>
    </row>
    <row r="384" spans="1:9" ht="14.25" customHeight="1" x14ac:dyDescent="0.25">
      <c r="A384">
        <v>2023</v>
      </c>
      <c r="B384" s="4" t="s">
        <v>94</v>
      </c>
      <c r="C384" s="1">
        <v>5</v>
      </c>
      <c r="D384" s="1" t="s">
        <v>155</v>
      </c>
      <c r="E384" s="1" t="s">
        <v>12</v>
      </c>
      <c r="F384" s="1">
        <v>2</v>
      </c>
      <c r="G384" s="1">
        <v>122</v>
      </c>
      <c r="H384" s="1">
        <v>146</v>
      </c>
      <c r="I384" s="1">
        <v>84</v>
      </c>
    </row>
    <row r="385" spans="1:9" ht="14.25" customHeight="1" x14ac:dyDescent="0.25">
      <c r="A385">
        <v>2023</v>
      </c>
      <c r="B385" s="4" t="s">
        <v>94</v>
      </c>
      <c r="C385" s="1">
        <v>5</v>
      </c>
      <c r="D385" s="1" t="s">
        <v>155</v>
      </c>
      <c r="E385" s="1" t="s">
        <v>12</v>
      </c>
      <c r="F385" s="1">
        <v>3</v>
      </c>
      <c r="G385" s="1">
        <v>116</v>
      </c>
      <c r="H385" s="1">
        <v>143</v>
      </c>
      <c r="I385" s="1">
        <v>24</v>
      </c>
    </row>
    <row r="386" spans="1:9" ht="14.25" customHeight="1" x14ac:dyDescent="0.25">
      <c r="A386">
        <v>2023</v>
      </c>
      <c r="B386" s="4" t="s">
        <v>94</v>
      </c>
      <c r="C386" s="1">
        <v>5</v>
      </c>
      <c r="D386" s="1" t="s">
        <v>156</v>
      </c>
      <c r="E386" s="1" t="s">
        <v>12</v>
      </c>
      <c r="F386" s="1">
        <v>1</v>
      </c>
      <c r="G386" s="1">
        <v>101</v>
      </c>
      <c r="H386" s="1">
        <v>120</v>
      </c>
      <c r="I386" s="1">
        <v>48</v>
      </c>
    </row>
    <row r="387" spans="1:9" ht="14.25" customHeight="1" x14ac:dyDescent="0.25">
      <c r="A387">
        <v>2023</v>
      </c>
      <c r="B387" s="4" t="s">
        <v>94</v>
      </c>
      <c r="C387" s="1">
        <v>5</v>
      </c>
      <c r="D387" s="1" t="s">
        <v>156</v>
      </c>
      <c r="E387" s="1" t="s">
        <v>12</v>
      </c>
      <c r="F387" s="1">
        <v>2</v>
      </c>
      <c r="G387" s="1">
        <v>101</v>
      </c>
      <c r="H387" s="1">
        <v>116</v>
      </c>
      <c r="I387" s="1">
        <v>36</v>
      </c>
    </row>
    <row r="388" spans="1:9" ht="14.25" customHeight="1" x14ac:dyDescent="0.25">
      <c r="A388">
        <v>2023</v>
      </c>
      <c r="B388" s="4" t="s">
        <v>94</v>
      </c>
      <c r="C388" s="1">
        <v>5</v>
      </c>
      <c r="D388" s="1" t="s">
        <v>156</v>
      </c>
      <c r="E388" s="1" t="s">
        <v>12</v>
      </c>
      <c r="F388" s="1">
        <v>3</v>
      </c>
      <c r="G388" s="1">
        <v>100</v>
      </c>
      <c r="H388" s="1">
        <v>111</v>
      </c>
      <c r="I388" s="1">
        <v>24</v>
      </c>
    </row>
    <row r="389" spans="1:9" ht="14.25" customHeight="1" x14ac:dyDescent="0.25">
      <c r="A389">
        <v>2023</v>
      </c>
      <c r="B389" s="4" t="s">
        <v>94</v>
      </c>
      <c r="C389" s="1">
        <v>4</v>
      </c>
      <c r="D389" s="1" t="s">
        <v>157</v>
      </c>
      <c r="E389" s="1" t="s">
        <v>12</v>
      </c>
      <c r="F389" s="1">
        <v>1</v>
      </c>
      <c r="G389" s="1">
        <v>122</v>
      </c>
      <c r="H389" s="1">
        <v>104</v>
      </c>
      <c r="I389" s="5">
        <v>66</v>
      </c>
    </row>
    <row r="390" spans="1:9" ht="14.25" customHeight="1" x14ac:dyDescent="0.25">
      <c r="A390">
        <v>2023</v>
      </c>
      <c r="B390" s="4" t="s">
        <v>94</v>
      </c>
      <c r="C390" s="1">
        <v>4</v>
      </c>
      <c r="D390" s="1" t="s">
        <v>157</v>
      </c>
      <c r="E390" s="1" t="s">
        <v>12</v>
      </c>
      <c r="F390" s="1">
        <v>2</v>
      </c>
      <c r="G390" s="1">
        <v>80</v>
      </c>
      <c r="H390" s="1">
        <v>125</v>
      </c>
      <c r="I390" s="1">
        <v>72</v>
      </c>
    </row>
    <row r="391" spans="1:9" ht="14.25" customHeight="1" x14ac:dyDescent="0.25">
      <c r="A391">
        <v>2023</v>
      </c>
      <c r="B391" s="4" t="s">
        <v>94</v>
      </c>
      <c r="C391" s="1">
        <v>4</v>
      </c>
      <c r="D391" s="1" t="s">
        <v>157</v>
      </c>
      <c r="E391" s="1" t="s">
        <v>12</v>
      </c>
      <c r="F391" s="1">
        <v>3</v>
      </c>
      <c r="G391" s="1">
        <v>111</v>
      </c>
      <c r="H391" s="1">
        <v>125</v>
      </c>
      <c r="I391" s="1">
        <v>60</v>
      </c>
    </row>
    <row r="392" spans="1:9" ht="14.25" customHeight="1" x14ac:dyDescent="0.25">
      <c r="A392">
        <v>2023</v>
      </c>
      <c r="B392" s="4" t="s">
        <v>94</v>
      </c>
      <c r="C392" s="1">
        <v>5</v>
      </c>
      <c r="D392" s="1" t="s">
        <v>158</v>
      </c>
      <c r="E392" s="1" t="s">
        <v>12</v>
      </c>
      <c r="F392" s="1">
        <v>1</v>
      </c>
      <c r="G392" s="1">
        <v>109</v>
      </c>
      <c r="H392" s="1">
        <v>112</v>
      </c>
      <c r="I392" s="1">
        <v>36</v>
      </c>
    </row>
    <row r="393" spans="1:9" ht="14.25" customHeight="1" x14ac:dyDescent="0.25">
      <c r="A393">
        <v>2023</v>
      </c>
      <c r="B393" s="4" t="s">
        <v>94</v>
      </c>
      <c r="C393" s="1">
        <v>5</v>
      </c>
      <c r="D393" s="1" t="s">
        <v>158</v>
      </c>
      <c r="E393" s="1" t="s">
        <v>12</v>
      </c>
      <c r="F393" s="1">
        <v>2</v>
      </c>
      <c r="G393" s="1">
        <v>112</v>
      </c>
      <c r="H393" s="1">
        <v>135</v>
      </c>
      <c r="I393" s="1">
        <v>72</v>
      </c>
    </row>
    <row r="394" spans="1:9" ht="14.25" customHeight="1" x14ac:dyDescent="0.25">
      <c r="A394">
        <v>2023</v>
      </c>
      <c r="B394" s="4" t="s">
        <v>94</v>
      </c>
      <c r="C394" s="1">
        <v>5</v>
      </c>
      <c r="D394" s="1" t="s">
        <v>158</v>
      </c>
      <c r="E394" s="1" t="s">
        <v>12</v>
      </c>
      <c r="F394" s="1">
        <v>3</v>
      </c>
      <c r="G394" s="1">
        <v>109</v>
      </c>
      <c r="H394" s="1">
        <v>138</v>
      </c>
      <c r="I394" s="1">
        <v>24</v>
      </c>
    </row>
    <row r="395" spans="1:9" ht="14.25" customHeight="1" x14ac:dyDescent="0.25">
      <c r="A395">
        <v>2023</v>
      </c>
      <c r="B395" s="4" t="s">
        <v>14</v>
      </c>
      <c r="C395" s="1">
        <v>1</v>
      </c>
      <c r="D395" s="1" t="s">
        <v>159</v>
      </c>
      <c r="E395" s="1" t="s">
        <v>12</v>
      </c>
      <c r="F395" s="1">
        <v>1</v>
      </c>
      <c r="G395" s="1">
        <v>141</v>
      </c>
      <c r="H395" s="1">
        <v>105</v>
      </c>
      <c r="I395" s="1">
        <v>60</v>
      </c>
    </row>
    <row r="396" spans="1:9" ht="14.25" customHeight="1" x14ac:dyDescent="0.25">
      <c r="A396">
        <v>2023</v>
      </c>
      <c r="B396" s="4" t="s">
        <v>14</v>
      </c>
      <c r="C396" s="1">
        <v>1</v>
      </c>
      <c r="D396" s="1" t="s">
        <v>159</v>
      </c>
      <c r="E396" s="1" t="s">
        <v>12</v>
      </c>
      <c r="F396" s="1">
        <v>2</v>
      </c>
      <c r="G396" s="1">
        <v>142</v>
      </c>
      <c r="H396" s="1">
        <v>114</v>
      </c>
      <c r="I396" s="1">
        <v>84</v>
      </c>
    </row>
    <row r="397" spans="1:9" ht="14.25" customHeight="1" x14ac:dyDescent="0.25">
      <c r="A397">
        <v>2023</v>
      </c>
      <c r="B397" s="4" t="s">
        <v>14</v>
      </c>
      <c r="C397" s="1">
        <v>1</v>
      </c>
      <c r="D397" s="1" t="s">
        <v>159</v>
      </c>
      <c r="E397" s="1" t="s">
        <v>12</v>
      </c>
      <c r="F397" s="1">
        <v>3</v>
      </c>
      <c r="G397" s="1">
        <v>144</v>
      </c>
      <c r="H397" s="1">
        <v>126</v>
      </c>
      <c r="I397" s="1">
        <v>48</v>
      </c>
    </row>
    <row r="398" spans="1:9" ht="14.25" customHeight="1" x14ac:dyDescent="0.25">
      <c r="A398">
        <v>2023</v>
      </c>
      <c r="B398" s="4" t="s">
        <v>94</v>
      </c>
      <c r="C398" s="1">
        <v>5</v>
      </c>
      <c r="D398" s="1" t="s">
        <v>160</v>
      </c>
      <c r="E398" s="1" t="s">
        <v>12</v>
      </c>
      <c r="F398" s="1">
        <v>1</v>
      </c>
      <c r="G398" s="1">
        <v>109</v>
      </c>
      <c r="H398" s="1">
        <v>142</v>
      </c>
      <c r="I398" s="1">
        <v>96</v>
      </c>
    </row>
    <row r="399" spans="1:9" ht="14.25" customHeight="1" x14ac:dyDescent="0.25">
      <c r="A399">
        <v>2023</v>
      </c>
      <c r="B399" s="4" t="s">
        <v>94</v>
      </c>
      <c r="C399" s="1">
        <v>5</v>
      </c>
      <c r="D399" s="1" t="s">
        <v>160</v>
      </c>
      <c r="E399" s="1" t="s">
        <v>12</v>
      </c>
      <c r="F399" s="1">
        <v>2</v>
      </c>
      <c r="G399" s="1">
        <v>108</v>
      </c>
      <c r="H399" s="1">
        <v>136</v>
      </c>
      <c r="I399" s="1">
        <v>60</v>
      </c>
    </row>
    <row r="400" spans="1:9" ht="14.25" customHeight="1" x14ac:dyDescent="0.25">
      <c r="A400">
        <v>2023</v>
      </c>
      <c r="B400" s="4" t="s">
        <v>94</v>
      </c>
      <c r="C400" s="1">
        <v>5</v>
      </c>
      <c r="D400" s="1" t="s">
        <v>160</v>
      </c>
      <c r="E400" s="1" t="s">
        <v>12</v>
      </c>
      <c r="F400" s="1">
        <v>3</v>
      </c>
      <c r="G400" s="1">
        <v>106</v>
      </c>
      <c r="H400" s="1">
        <v>131</v>
      </c>
      <c r="I400" s="1">
        <v>60</v>
      </c>
    </row>
    <row r="401" spans="1:9" ht="14.25" customHeight="1" x14ac:dyDescent="0.25">
      <c r="A401">
        <v>2023</v>
      </c>
      <c r="B401" s="4" t="s">
        <v>94</v>
      </c>
      <c r="C401" s="1">
        <v>4</v>
      </c>
      <c r="D401" s="1" t="s">
        <v>161</v>
      </c>
      <c r="E401" s="1" t="s">
        <v>12</v>
      </c>
      <c r="F401" s="1">
        <v>1</v>
      </c>
      <c r="G401" s="1">
        <v>107</v>
      </c>
      <c r="H401" s="1">
        <v>120</v>
      </c>
      <c r="I401" s="5">
        <v>60</v>
      </c>
    </row>
    <row r="402" spans="1:9" ht="14.25" customHeight="1" x14ac:dyDescent="0.25">
      <c r="A402">
        <v>2023</v>
      </c>
      <c r="B402" s="4" t="s">
        <v>94</v>
      </c>
      <c r="C402" s="1">
        <v>4</v>
      </c>
      <c r="D402" s="1" t="s">
        <v>161</v>
      </c>
      <c r="E402" s="1" t="s">
        <v>12</v>
      </c>
      <c r="F402" s="1">
        <v>2</v>
      </c>
      <c r="G402" s="1">
        <v>110</v>
      </c>
      <c r="H402" s="1">
        <v>119</v>
      </c>
      <c r="I402" s="1">
        <v>36</v>
      </c>
    </row>
    <row r="403" spans="1:9" ht="14.25" customHeight="1" x14ac:dyDescent="0.25">
      <c r="A403">
        <v>2023</v>
      </c>
      <c r="B403" s="4" t="s">
        <v>94</v>
      </c>
      <c r="C403" s="1">
        <v>4</v>
      </c>
      <c r="D403" s="1" t="s">
        <v>161</v>
      </c>
      <c r="E403" s="1" t="s">
        <v>12</v>
      </c>
      <c r="F403" s="1">
        <v>3</v>
      </c>
      <c r="G403" s="1">
        <v>109</v>
      </c>
      <c r="H403" s="1">
        <v>133</v>
      </c>
      <c r="I403" s="1">
        <v>84</v>
      </c>
    </row>
    <row r="404" spans="1:9" ht="14.25" customHeight="1" x14ac:dyDescent="0.25">
      <c r="A404">
        <v>2023</v>
      </c>
      <c r="B404" s="4" t="s">
        <v>94</v>
      </c>
      <c r="C404" s="1">
        <v>5</v>
      </c>
      <c r="D404" s="1" t="s">
        <v>162</v>
      </c>
      <c r="E404" s="1" t="s">
        <v>12</v>
      </c>
      <c r="F404" s="1">
        <v>1</v>
      </c>
      <c r="G404" s="1">
        <v>108</v>
      </c>
      <c r="H404" s="1">
        <v>131</v>
      </c>
      <c r="I404" s="1">
        <v>60</v>
      </c>
    </row>
    <row r="405" spans="1:9" ht="14.25" customHeight="1" x14ac:dyDescent="0.25">
      <c r="A405">
        <v>2023</v>
      </c>
      <c r="B405" s="4" t="s">
        <v>94</v>
      </c>
      <c r="C405" s="1">
        <v>5</v>
      </c>
      <c r="D405" s="1" t="s">
        <v>162</v>
      </c>
      <c r="E405" s="1" t="s">
        <v>12</v>
      </c>
      <c r="F405" s="1">
        <v>2</v>
      </c>
      <c r="G405" s="1">
        <v>104</v>
      </c>
      <c r="H405" s="1">
        <v>119</v>
      </c>
      <c r="I405" s="1">
        <v>36</v>
      </c>
    </row>
    <row r="406" spans="1:9" ht="14.25" customHeight="1" x14ac:dyDescent="0.25">
      <c r="A406">
        <v>2023</v>
      </c>
      <c r="B406" s="4" t="s">
        <v>94</v>
      </c>
      <c r="C406" s="1">
        <v>5</v>
      </c>
      <c r="D406" s="1" t="s">
        <v>162</v>
      </c>
      <c r="E406" s="1" t="s">
        <v>12</v>
      </c>
      <c r="F406" s="1">
        <v>3</v>
      </c>
      <c r="G406" s="1">
        <v>107</v>
      </c>
      <c r="H406" s="1">
        <v>117</v>
      </c>
      <c r="I406" s="1">
        <v>36</v>
      </c>
    </row>
    <row r="407" spans="1:9" ht="14.25" customHeight="1" x14ac:dyDescent="0.25">
      <c r="A407">
        <v>2023</v>
      </c>
      <c r="B407" s="4" t="s">
        <v>94</v>
      </c>
      <c r="C407" s="1">
        <v>5</v>
      </c>
      <c r="D407" s="1" t="s">
        <v>163</v>
      </c>
      <c r="E407" s="1" t="s">
        <v>12</v>
      </c>
      <c r="F407" s="1">
        <v>1</v>
      </c>
      <c r="G407" s="1">
        <v>114</v>
      </c>
      <c r="H407" s="1">
        <v>125</v>
      </c>
      <c r="I407" s="1">
        <v>48</v>
      </c>
    </row>
    <row r="408" spans="1:9" ht="14.25" customHeight="1" x14ac:dyDescent="0.25">
      <c r="A408">
        <v>2023</v>
      </c>
      <c r="B408" s="4" t="s">
        <v>94</v>
      </c>
      <c r="C408" s="1">
        <v>5</v>
      </c>
      <c r="D408" s="1" t="s">
        <v>163</v>
      </c>
      <c r="E408" s="1" t="s">
        <v>12</v>
      </c>
      <c r="F408" s="1">
        <v>2</v>
      </c>
      <c r="G408" s="1">
        <v>107</v>
      </c>
      <c r="H408" s="1">
        <v>114</v>
      </c>
      <c r="I408" s="1">
        <v>60</v>
      </c>
    </row>
    <row r="409" spans="1:9" ht="14.25" customHeight="1" x14ac:dyDescent="0.25">
      <c r="A409">
        <v>2023</v>
      </c>
      <c r="B409" s="4" t="s">
        <v>94</v>
      </c>
      <c r="C409" s="1">
        <v>5</v>
      </c>
      <c r="D409" s="1" t="s">
        <v>163</v>
      </c>
      <c r="E409" s="1" t="s">
        <v>12</v>
      </c>
      <c r="F409" s="1">
        <v>3</v>
      </c>
      <c r="G409" s="1">
        <v>111</v>
      </c>
      <c r="H409" s="1">
        <v>102</v>
      </c>
      <c r="I409" s="1">
        <v>60</v>
      </c>
    </row>
    <row r="410" spans="1:9" ht="14.25" customHeight="1" x14ac:dyDescent="0.25">
      <c r="A410">
        <v>2023</v>
      </c>
      <c r="B410" s="4" t="s">
        <v>94</v>
      </c>
      <c r="C410" s="1">
        <v>5</v>
      </c>
      <c r="D410" s="1" t="s">
        <v>164</v>
      </c>
      <c r="E410" s="1" t="s">
        <v>12</v>
      </c>
      <c r="F410" s="1">
        <v>1</v>
      </c>
      <c r="G410" s="1">
        <v>98</v>
      </c>
      <c r="H410" s="1">
        <v>129</v>
      </c>
      <c r="I410" s="1">
        <v>60</v>
      </c>
    </row>
    <row r="411" spans="1:9" ht="14.25" customHeight="1" x14ac:dyDescent="0.25">
      <c r="A411">
        <v>2023</v>
      </c>
      <c r="B411" s="4" t="s">
        <v>94</v>
      </c>
      <c r="C411" s="1">
        <v>5</v>
      </c>
      <c r="D411" s="1" t="s">
        <v>164</v>
      </c>
      <c r="E411" s="1" t="s">
        <v>12</v>
      </c>
      <c r="F411" s="1">
        <v>2</v>
      </c>
      <c r="G411" s="1">
        <v>94</v>
      </c>
      <c r="H411" s="1">
        <v>125</v>
      </c>
      <c r="I411" s="1">
        <v>84</v>
      </c>
    </row>
    <row r="412" spans="1:9" ht="14.25" customHeight="1" x14ac:dyDescent="0.25">
      <c r="A412">
        <v>2023</v>
      </c>
      <c r="B412" s="4" t="s">
        <v>94</v>
      </c>
      <c r="C412" s="1">
        <v>5</v>
      </c>
      <c r="D412" s="1" t="s">
        <v>164</v>
      </c>
      <c r="E412" s="1" t="s">
        <v>12</v>
      </c>
      <c r="F412" s="1">
        <v>3</v>
      </c>
      <c r="G412" s="1">
        <v>98</v>
      </c>
      <c r="H412" s="1">
        <v>127</v>
      </c>
      <c r="I412" s="1">
        <v>96</v>
      </c>
    </row>
    <row r="413" spans="1:9" ht="14.25" customHeight="1" x14ac:dyDescent="0.25">
      <c r="A413">
        <v>2023</v>
      </c>
      <c r="B413" s="4" t="s">
        <v>94</v>
      </c>
      <c r="C413" s="1">
        <v>5</v>
      </c>
      <c r="D413" s="1" t="s">
        <v>165</v>
      </c>
      <c r="E413" s="1" t="s">
        <v>12</v>
      </c>
      <c r="F413" s="1">
        <v>1</v>
      </c>
      <c r="G413" s="1">
        <v>98</v>
      </c>
      <c r="H413" s="1">
        <v>135</v>
      </c>
      <c r="I413" s="1">
        <v>96</v>
      </c>
    </row>
    <row r="414" spans="1:9" ht="14.25" customHeight="1" x14ac:dyDescent="0.25">
      <c r="A414">
        <v>2023</v>
      </c>
      <c r="B414" s="4" t="s">
        <v>94</v>
      </c>
      <c r="C414" s="1">
        <v>5</v>
      </c>
      <c r="D414" s="1" t="s">
        <v>165</v>
      </c>
      <c r="E414" s="1" t="s">
        <v>12</v>
      </c>
      <c r="F414" s="1">
        <v>2</v>
      </c>
      <c r="G414" s="1">
        <v>99</v>
      </c>
      <c r="H414" s="1">
        <v>143</v>
      </c>
      <c r="I414" s="1">
        <v>72</v>
      </c>
    </row>
    <row r="415" spans="1:9" ht="14.25" customHeight="1" x14ac:dyDescent="0.25">
      <c r="A415">
        <v>2023</v>
      </c>
      <c r="B415" s="4" t="s">
        <v>94</v>
      </c>
      <c r="C415" s="1">
        <v>5</v>
      </c>
      <c r="D415" s="1" t="s">
        <v>165</v>
      </c>
      <c r="E415" s="1" t="s">
        <v>12</v>
      </c>
      <c r="F415" s="1">
        <v>3</v>
      </c>
      <c r="G415" s="1">
        <v>98</v>
      </c>
      <c r="H415" s="1">
        <v>133</v>
      </c>
      <c r="I415" s="1">
        <v>60</v>
      </c>
    </row>
    <row r="416" spans="1:9" ht="14.25" customHeight="1" x14ac:dyDescent="0.25">
      <c r="A416">
        <v>2023</v>
      </c>
      <c r="B416" s="4" t="s">
        <v>94</v>
      </c>
      <c r="C416" s="1">
        <v>5</v>
      </c>
      <c r="D416" s="1" t="s">
        <v>166</v>
      </c>
      <c r="E416" s="1" t="s">
        <v>12</v>
      </c>
      <c r="F416" s="1">
        <v>1</v>
      </c>
      <c r="G416" s="1">
        <v>117</v>
      </c>
      <c r="H416" s="1">
        <v>127</v>
      </c>
      <c r="I416" s="1">
        <v>120</v>
      </c>
    </row>
    <row r="417" spans="1:9" ht="14.25" customHeight="1" x14ac:dyDescent="0.25">
      <c r="A417">
        <v>2023</v>
      </c>
      <c r="B417" s="4" t="s">
        <v>94</v>
      </c>
      <c r="C417" s="1">
        <v>5</v>
      </c>
      <c r="D417" s="1" t="s">
        <v>166</v>
      </c>
      <c r="E417" s="1" t="s">
        <v>12</v>
      </c>
      <c r="F417" s="1">
        <v>2</v>
      </c>
      <c r="G417" s="1">
        <v>111</v>
      </c>
      <c r="H417" s="1">
        <v>138</v>
      </c>
      <c r="I417" s="1">
        <v>84</v>
      </c>
    </row>
    <row r="418" spans="1:9" ht="14.25" customHeight="1" x14ac:dyDescent="0.25">
      <c r="A418">
        <v>2023</v>
      </c>
      <c r="B418" s="4" t="s">
        <v>94</v>
      </c>
      <c r="C418" s="1">
        <v>5</v>
      </c>
      <c r="D418" s="1" t="s">
        <v>166</v>
      </c>
      <c r="E418" s="1" t="s">
        <v>12</v>
      </c>
      <c r="F418" s="1">
        <v>3</v>
      </c>
      <c r="G418" s="1">
        <v>111</v>
      </c>
      <c r="H418" s="1">
        <v>138</v>
      </c>
      <c r="I418" s="1">
        <v>72</v>
      </c>
    </row>
    <row r="419" spans="1:9" ht="14.25" customHeight="1" x14ac:dyDescent="0.25">
      <c r="A419">
        <v>2023</v>
      </c>
      <c r="B419" s="4" t="s">
        <v>94</v>
      </c>
      <c r="C419" s="1">
        <v>5</v>
      </c>
      <c r="D419" s="1" t="s">
        <v>167</v>
      </c>
      <c r="E419" s="1" t="s">
        <v>12</v>
      </c>
      <c r="F419" s="1">
        <v>1</v>
      </c>
      <c r="G419" s="1">
        <v>128</v>
      </c>
      <c r="H419" s="1">
        <v>117</v>
      </c>
      <c r="I419" s="1">
        <v>48</v>
      </c>
    </row>
    <row r="420" spans="1:9" ht="14.25" customHeight="1" x14ac:dyDescent="0.25">
      <c r="A420">
        <v>2023</v>
      </c>
      <c r="B420" s="4" t="s">
        <v>94</v>
      </c>
      <c r="C420" s="1">
        <v>5</v>
      </c>
      <c r="D420" s="1" t="s">
        <v>167</v>
      </c>
      <c r="E420" s="1" t="s">
        <v>12</v>
      </c>
      <c r="F420" s="1">
        <v>2</v>
      </c>
      <c r="G420" s="1">
        <v>141</v>
      </c>
      <c r="H420" s="1">
        <v>127</v>
      </c>
      <c r="I420" s="1">
        <v>60</v>
      </c>
    </row>
    <row r="421" spans="1:9" ht="14.25" customHeight="1" x14ac:dyDescent="0.25">
      <c r="A421">
        <v>2023</v>
      </c>
      <c r="B421" s="4" t="s">
        <v>94</v>
      </c>
      <c r="C421" s="1">
        <v>5</v>
      </c>
      <c r="D421" s="1" t="s">
        <v>167</v>
      </c>
      <c r="E421" s="1" t="s">
        <v>12</v>
      </c>
      <c r="F421" s="1">
        <v>3</v>
      </c>
      <c r="G421" s="1">
        <v>130</v>
      </c>
      <c r="H421" s="1">
        <v>123</v>
      </c>
      <c r="I421" s="1">
        <v>84</v>
      </c>
    </row>
    <row r="422" spans="1:9" ht="14.25" customHeight="1" x14ac:dyDescent="0.25">
      <c r="A422">
        <v>2023</v>
      </c>
      <c r="B422" s="4" t="s">
        <v>94</v>
      </c>
      <c r="C422" s="1">
        <v>5</v>
      </c>
      <c r="D422" s="1" t="s">
        <v>168</v>
      </c>
      <c r="E422" s="1" t="s">
        <v>12</v>
      </c>
      <c r="F422" s="1">
        <v>1</v>
      </c>
      <c r="G422" s="1">
        <v>118</v>
      </c>
      <c r="H422" s="1">
        <v>116</v>
      </c>
      <c r="I422" s="1">
        <v>96</v>
      </c>
    </row>
    <row r="423" spans="1:9" ht="14.25" customHeight="1" x14ac:dyDescent="0.25">
      <c r="A423">
        <v>2023</v>
      </c>
      <c r="B423" s="4" t="s">
        <v>94</v>
      </c>
      <c r="C423" s="1">
        <v>5</v>
      </c>
      <c r="D423" s="1" t="s">
        <v>168</v>
      </c>
      <c r="E423" s="1" t="s">
        <v>12</v>
      </c>
      <c r="F423" s="1">
        <v>2</v>
      </c>
      <c r="G423" s="1">
        <v>116</v>
      </c>
      <c r="H423" s="1">
        <v>108</v>
      </c>
      <c r="I423" s="1">
        <v>72</v>
      </c>
    </row>
    <row r="424" spans="1:9" ht="14.25" customHeight="1" x14ac:dyDescent="0.25">
      <c r="A424">
        <v>2023</v>
      </c>
      <c r="B424" s="4" t="s">
        <v>94</v>
      </c>
      <c r="C424" s="1">
        <v>5</v>
      </c>
      <c r="D424" s="1" t="s">
        <v>168</v>
      </c>
      <c r="E424" s="1" t="s">
        <v>12</v>
      </c>
      <c r="F424" s="1">
        <v>3</v>
      </c>
      <c r="G424" s="1">
        <v>114</v>
      </c>
      <c r="H424" s="1">
        <v>109</v>
      </c>
      <c r="I424" s="1">
        <v>108</v>
      </c>
    </row>
    <row r="425" spans="1:9" ht="14.25" customHeight="1" x14ac:dyDescent="0.25">
      <c r="A425">
        <v>2023</v>
      </c>
      <c r="B425" s="4" t="s">
        <v>94</v>
      </c>
      <c r="C425" s="1">
        <v>5</v>
      </c>
      <c r="D425" s="1" t="s">
        <v>169</v>
      </c>
      <c r="E425" s="1" t="s">
        <v>12</v>
      </c>
      <c r="F425" s="1">
        <v>1</v>
      </c>
      <c r="G425" s="1">
        <v>96</v>
      </c>
      <c r="H425" s="1">
        <v>117</v>
      </c>
      <c r="I425" s="1">
        <v>60</v>
      </c>
    </row>
    <row r="426" spans="1:9" ht="14.25" customHeight="1" x14ac:dyDescent="0.25">
      <c r="A426">
        <v>2023</v>
      </c>
      <c r="B426" s="4" t="s">
        <v>94</v>
      </c>
      <c r="C426" s="1">
        <v>5</v>
      </c>
      <c r="D426" s="1" t="s">
        <v>169</v>
      </c>
      <c r="E426" s="1" t="s">
        <v>12</v>
      </c>
      <c r="F426" s="1">
        <v>2</v>
      </c>
      <c r="G426" s="1">
        <v>98</v>
      </c>
      <c r="H426" s="1">
        <v>120</v>
      </c>
      <c r="I426" s="1">
        <v>72</v>
      </c>
    </row>
    <row r="427" spans="1:9" ht="14.25" customHeight="1" x14ac:dyDescent="0.25">
      <c r="A427">
        <v>2023</v>
      </c>
      <c r="B427" s="4" t="s">
        <v>94</v>
      </c>
      <c r="C427" s="1">
        <v>5</v>
      </c>
      <c r="D427" s="1" t="s">
        <v>169</v>
      </c>
      <c r="E427" s="1" t="s">
        <v>12</v>
      </c>
      <c r="F427" s="1">
        <v>3</v>
      </c>
      <c r="G427" s="1">
        <v>91</v>
      </c>
      <c r="H427" s="1">
        <v>120</v>
      </c>
      <c r="I427" s="1">
        <v>60</v>
      </c>
    </row>
    <row r="428" spans="1:9" ht="14.25" customHeight="1" x14ac:dyDescent="0.25">
      <c r="A428">
        <v>2023</v>
      </c>
      <c r="B428" s="4" t="s">
        <v>94</v>
      </c>
      <c r="C428" s="1">
        <v>5</v>
      </c>
      <c r="D428" s="1" t="s">
        <v>170</v>
      </c>
      <c r="E428" s="1" t="s">
        <v>12</v>
      </c>
      <c r="F428" s="1">
        <v>1</v>
      </c>
      <c r="G428" s="1">
        <v>107</v>
      </c>
      <c r="H428" s="1">
        <v>140</v>
      </c>
      <c r="I428" s="1">
        <v>60</v>
      </c>
    </row>
    <row r="429" spans="1:9" ht="14.25" customHeight="1" x14ac:dyDescent="0.25">
      <c r="A429">
        <v>2023</v>
      </c>
      <c r="B429" s="4" t="s">
        <v>94</v>
      </c>
      <c r="C429" s="1">
        <v>5</v>
      </c>
      <c r="D429" s="1" t="s">
        <v>170</v>
      </c>
      <c r="E429" s="1" t="s">
        <v>12</v>
      </c>
      <c r="F429" s="1">
        <v>2</v>
      </c>
      <c r="G429" s="1">
        <v>107</v>
      </c>
      <c r="H429" s="1">
        <v>138</v>
      </c>
      <c r="I429" s="1">
        <v>72</v>
      </c>
    </row>
    <row r="430" spans="1:9" ht="14.25" customHeight="1" x14ac:dyDescent="0.25">
      <c r="A430">
        <v>2023</v>
      </c>
      <c r="B430" s="4" t="s">
        <v>94</v>
      </c>
      <c r="C430" s="1">
        <v>5</v>
      </c>
      <c r="D430" s="1" t="s">
        <v>170</v>
      </c>
      <c r="E430" s="1" t="s">
        <v>12</v>
      </c>
      <c r="F430" s="1">
        <v>3</v>
      </c>
      <c r="G430" s="1">
        <v>109</v>
      </c>
      <c r="H430" s="1">
        <v>128</v>
      </c>
      <c r="I430" s="1">
        <v>108</v>
      </c>
    </row>
    <row r="431" spans="1:9" ht="14.25" customHeight="1" x14ac:dyDescent="0.25">
      <c r="A431">
        <v>2023</v>
      </c>
      <c r="B431" s="4" t="s">
        <v>94</v>
      </c>
      <c r="C431" s="1">
        <v>5</v>
      </c>
      <c r="D431" s="1" t="s">
        <v>171</v>
      </c>
      <c r="E431" s="1" t="s">
        <v>12</v>
      </c>
      <c r="F431" s="1">
        <v>1</v>
      </c>
      <c r="G431" s="1">
        <v>109</v>
      </c>
      <c r="H431" s="1">
        <v>140</v>
      </c>
      <c r="I431" s="5">
        <v>60</v>
      </c>
    </row>
    <row r="432" spans="1:9" ht="14.25" customHeight="1" x14ac:dyDescent="0.25">
      <c r="A432">
        <v>2023</v>
      </c>
      <c r="B432" s="4" t="s">
        <v>94</v>
      </c>
      <c r="C432" s="1">
        <v>5</v>
      </c>
      <c r="D432" s="1" t="s">
        <v>171</v>
      </c>
      <c r="E432" s="1" t="s">
        <v>12</v>
      </c>
      <c r="F432" s="1">
        <v>2</v>
      </c>
      <c r="G432" s="1">
        <v>113</v>
      </c>
      <c r="H432" s="1">
        <v>142</v>
      </c>
      <c r="I432" s="1">
        <v>60</v>
      </c>
    </row>
    <row r="433" spans="1:9" ht="14.25" customHeight="1" x14ac:dyDescent="0.25">
      <c r="A433">
        <v>2023</v>
      </c>
      <c r="B433" s="4" t="s">
        <v>94</v>
      </c>
      <c r="C433" s="1">
        <v>5</v>
      </c>
      <c r="D433" s="1" t="s">
        <v>171</v>
      </c>
      <c r="E433" s="1" t="s">
        <v>12</v>
      </c>
      <c r="F433" s="1">
        <v>3</v>
      </c>
      <c r="G433" s="1">
        <v>111</v>
      </c>
      <c r="H433" s="1">
        <v>151</v>
      </c>
      <c r="I433" s="1">
        <v>48</v>
      </c>
    </row>
    <row r="434" spans="1:9" ht="14.25" customHeight="1" x14ac:dyDescent="0.25">
      <c r="A434">
        <v>2023</v>
      </c>
      <c r="B434" s="4" t="s">
        <v>172</v>
      </c>
      <c r="C434" s="1">
        <v>4</v>
      </c>
      <c r="D434" s="1" t="s">
        <v>173</v>
      </c>
      <c r="E434" s="1" t="s">
        <v>12</v>
      </c>
      <c r="F434" s="1">
        <v>1</v>
      </c>
      <c r="G434" s="1">
        <v>97</v>
      </c>
      <c r="H434" s="1">
        <v>109</v>
      </c>
      <c r="I434" s="1">
        <v>36</v>
      </c>
    </row>
    <row r="435" spans="1:9" ht="14.25" customHeight="1" x14ac:dyDescent="0.25">
      <c r="A435">
        <v>2023</v>
      </c>
      <c r="B435" s="4" t="s">
        <v>172</v>
      </c>
      <c r="C435" s="1">
        <v>4</v>
      </c>
      <c r="D435" s="1" t="s">
        <v>173</v>
      </c>
      <c r="E435" s="1" t="s">
        <v>12</v>
      </c>
      <c r="F435" s="1">
        <v>2</v>
      </c>
      <c r="G435" s="1">
        <v>92</v>
      </c>
      <c r="H435" s="1">
        <v>117</v>
      </c>
      <c r="I435" s="1">
        <v>48</v>
      </c>
    </row>
    <row r="436" spans="1:9" ht="14.25" customHeight="1" x14ac:dyDescent="0.25">
      <c r="A436">
        <v>2023</v>
      </c>
      <c r="B436" s="4" t="s">
        <v>172</v>
      </c>
      <c r="C436" s="1">
        <v>4</v>
      </c>
      <c r="D436" s="1" t="s">
        <v>173</v>
      </c>
      <c r="E436" s="1" t="s">
        <v>12</v>
      </c>
      <c r="F436" s="1">
        <v>3</v>
      </c>
      <c r="G436" s="1">
        <v>92</v>
      </c>
      <c r="H436" s="1">
        <v>118</v>
      </c>
      <c r="I436" s="1">
        <v>24</v>
      </c>
    </row>
    <row r="437" spans="1:9" ht="14.25" customHeight="1" x14ac:dyDescent="0.25">
      <c r="A437">
        <v>2023</v>
      </c>
      <c r="B437" s="4" t="s">
        <v>172</v>
      </c>
      <c r="C437" s="1">
        <v>3</v>
      </c>
      <c r="D437" s="1" t="s">
        <v>174</v>
      </c>
      <c r="E437" s="1" t="s">
        <v>12</v>
      </c>
      <c r="F437" s="1">
        <v>1</v>
      </c>
      <c r="G437" s="1">
        <v>97</v>
      </c>
      <c r="H437" s="1">
        <v>136</v>
      </c>
      <c r="I437" s="1">
        <v>96</v>
      </c>
    </row>
    <row r="438" spans="1:9" ht="14.25" customHeight="1" x14ac:dyDescent="0.25">
      <c r="A438">
        <v>2023</v>
      </c>
      <c r="B438" s="4" t="s">
        <v>172</v>
      </c>
      <c r="C438" s="1">
        <v>3</v>
      </c>
      <c r="D438" s="1" t="s">
        <v>174</v>
      </c>
      <c r="E438" s="1" t="s">
        <v>12</v>
      </c>
      <c r="F438" s="1">
        <v>2</v>
      </c>
      <c r="G438" s="1">
        <v>90</v>
      </c>
      <c r="H438" s="1">
        <v>129</v>
      </c>
      <c r="I438" s="5">
        <v>48</v>
      </c>
    </row>
    <row r="439" spans="1:9" ht="14.25" customHeight="1" x14ac:dyDescent="0.25">
      <c r="A439">
        <v>2023</v>
      </c>
      <c r="B439" s="4" t="s">
        <v>172</v>
      </c>
      <c r="C439" s="1">
        <v>3</v>
      </c>
      <c r="D439" s="1" t="s">
        <v>174</v>
      </c>
      <c r="E439" s="1" t="s">
        <v>12</v>
      </c>
      <c r="F439" s="1">
        <v>3</v>
      </c>
      <c r="G439" s="1">
        <v>90</v>
      </c>
      <c r="H439" s="1">
        <v>135</v>
      </c>
      <c r="I439" s="1">
        <v>84</v>
      </c>
    </row>
    <row r="440" spans="1:9" ht="14.25" customHeight="1" x14ac:dyDescent="0.25">
      <c r="A440">
        <v>2023</v>
      </c>
      <c r="B440" s="4" t="s">
        <v>14</v>
      </c>
      <c r="C440" s="1">
        <v>1</v>
      </c>
      <c r="D440" s="1" t="s">
        <v>175</v>
      </c>
      <c r="E440" s="1" t="s">
        <v>12</v>
      </c>
      <c r="F440" s="1">
        <v>1</v>
      </c>
      <c r="G440" s="1">
        <v>139</v>
      </c>
      <c r="H440" s="1">
        <v>105</v>
      </c>
      <c r="I440" s="1">
        <v>60</v>
      </c>
    </row>
    <row r="441" spans="1:9" ht="14.25" customHeight="1" x14ac:dyDescent="0.25">
      <c r="A441">
        <v>2023</v>
      </c>
      <c r="B441" s="4" t="s">
        <v>14</v>
      </c>
      <c r="C441" s="1">
        <v>1</v>
      </c>
      <c r="D441" s="1" t="s">
        <v>175</v>
      </c>
      <c r="E441" s="1" t="s">
        <v>12</v>
      </c>
      <c r="F441" s="1">
        <v>2</v>
      </c>
      <c r="G441" s="1">
        <v>140</v>
      </c>
      <c r="H441" s="1">
        <v>101</v>
      </c>
      <c r="I441" s="1">
        <v>84</v>
      </c>
    </row>
    <row r="442" spans="1:9" ht="14.25" customHeight="1" x14ac:dyDescent="0.25">
      <c r="A442">
        <v>2023</v>
      </c>
      <c r="B442" s="4" t="s">
        <v>14</v>
      </c>
      <c r="C442" s="1">
        <v>1</v>
      </c>
      <c r="D442" s="1" t="s">
        <v>175</v>
      </c>
      <c r="E442" s="1" t="s">
        <v>12</v>
      </c>
      <c r="F442" s="1">
        <v>3</v>
      </c>
      <c r="G442" s="1">
        <v>151</v>
      </c>
      <c r="H442" s="1">
        <v>94</v>
      </c>
      <c r="I442" s="1">
        <v>60</v>
      </c>
    </row>
    <row r="443" spans="1:9" ht="14.25" customHeight="1" x14ac:dyDescent="0.25">
      <c r="A443">
        <v>2023</v>
      </c>
      <c r="B443" s="4" t="s">
        <v>14</v>
      </c>
      <c r="C443" s="1">
        <v>1</v>
      </c>
      <c r="D443" s="1" t="s">
        <v>176</v>
      </c>
      <c r="E443" s="1" t="s">
        <v>12</v>
      </c>
      <c r="F443" s="1">
        <v>1</v>
      </c>
      <c r="G443" s="1">
        <v>124</v>
      </c>
      <c r="H443" s="1">
        <v>108</v>
      </c>
      <c r="I443" s="1">
        <v>48</v>
      </c>
    </row>
    <row r="444" spans="1:9" ht="14.25" customHeight="1" x14ac:dyDescent="0.25">
      <c r="A444">
        <v>2023</v>
      </c>
      <c r="B444" s="4" t="s">
        <v>14</v>
      </c>
      <c r="C444" s="1">
        <v>1</v>
      </c>
      <c r="D444" s="1" t="s">
        <v>176</v>
      </c>
      <c r="E444" s="1" t="s">
        <v>12</v>
      </c>
      <c r="F444" s="1">
        <v>2</v>
      </c>
      <c r="G444" s="5">
        <v>124</v>
      </c>
      <c r="H444" s="1">
        <v>114</v>
      </c>
      <c r="I444" s="1">
        <v>84</v>
      </c>
    </row>
    <row r="445" spans="1:9" ht="14.25" customHeight="1" x14ac:dyDescent="0.25">
      <c r="A445">
        <v>2023</v>
      </c>
      <c r="B445" s="4" t="s">
        <v>14</v>
      </c>
      <c r="C445" s="1">
        <v>1</v>
      </c>
      <c r="D445" s="1" t="s">
        <v>176</v>
      </c>
      <c r="E445" s="1" t="s">
        <v>12</v>
      </c>
      <c r="F445" s="1">
        <v>3</v>
      </c>
      <c r="G445" s="1">
        <v>119</v>
      </c>
      <c r="H445" s="1">
        <v>129</v>
      </c>
      <c r="I445" s="1">
        <v>72</v>
      </c>
    </row>
    <row r="446" spans="1:9" ht="14.25" customHeight="1" x14ac:dyDescent="0.25">
      <c r="A446">
        <v>2023</v>
      </c>
      <c r="B446" s="4" t="s">
        <v>49</v>
      </c>
      <c r="C446" s="1">
        <v>4</v>
      </c>
      <c r="D446" s="1" t="s">
        <v>177</v>
      </c>
      <c r="E446" s="1" t="s">
        <v>12</v>
      </c>
      <c r="F446" s="1">
        <v>1</v>
      </c>
      <c r="G446" s="1">
        <v>100</v>
      </c>
      <c r="H446" s="1">
        <v>120</v>
      </c>
      <c r="I446" s="1">
        <v>60</v>
      </c>
    </row>
    <row r="447" spans="1:9" ht="14.25" customHeight="1" x14ac:dyDescent="0.25">
      <c r="A447">
        <v>2023</v>
      </c>
      <c r="B447" s="4" t="s">
        <v>49</v>
      </c>
      <c r="C447" s="1">
        <v>4</v>
      </c>
      <c r="D447" s="1" t="s">
        <v>177</v>
      </c>
      <c r="E447" s="1" t="s">
        <v>12</v>
      </c>
      <c r="F447" s="1">
        <v>2</v>
      </c>
      <c r="G447" s="1">
        <v>102</v>
      </c>
      <c r="H447" s="1">
        <v>126</v>
      </c>
      <c r="I447" s="1">
        <v>96</v>
      </c>
    </row>
    <row r="448" spans="1:9" ht="14.25" customHeight="1" x14ac:dyDescent="0.25">
      <c r="A448">
        <v>2023</v>
      </c>
      <c r="B448" s="4" t="s">
        <v>49</v>
      </c>
      <c r="C448" s="1">
        <v>4</v>
      </c>
      <c r="D448" s="1" t="s">
        <v>177</v>
      </c>
      <c r="E448" s="1" t="s">
        <v>12</v>
      </c>
      <c r="F448" s="1">
        <v>3</v>
      </c>
      <c r="G448" s="1">
        <v>113</v>
      </c>
      <c r="H448" s="1">
        <v>121</v>
      </c>
      <c r="I448" s="5">
        <v>72</v>
      </c>
    </row>
    <row r="449" spans="1:9" ht="14.25" customHeight="1" x14ac:dyDescent="0.25">
      <c r="A449">
        <v>2023</v>
      </c>
      <c r="B449" s="4" t="s">
        <v>49</v>
      </c>
      <c r="C449" s="1">
        <v>5</v>
      </c>
      <c r="D449" s="1" t="s">
        <v>178</v>
      </c>
      <c r="E449" s="1" t="s">
        <v>12</v>
      </c>
      <c r="F449" s="1">
        <v>1</v>
      </c>
      <c r="G449" s="1">
        <v>102</v>
      </c>
      <c r="H449" s="1">
        <v>116</v>
      </c>
      <c r="I449" s="5">
        <v>60</v>
      </c>
    </row>
    <row r="450" spans="1:9" ht="14.25" customHeight="1" x14ac:dyDescent="0.25">
      <c r="A450">
        <v>2023</v>
      </c>
      <c r="B450" s="4" t="s">
        <v>49</v>
      </c>
      <c r="C450" s="1">
        <v>5</v>
      </c>
      <c r="D450" s="1" t="s">
        <v>178</v>
      </c>
      <c r="E450" s="1" t="s">
        <v>12</v>
      </c>
      <c r="F450" s="1">
        <v>2</v>
      </c>
      <c r="G450" s="1">
        <v>102</v>
      </c>
      <c r="H450" s="1">
        <v>117</v>
      </c>
      <c r="I450" s="1">
        <v>60</v>
      </c>
    </row>
    <row r="451" spans="1:9" ht="14.25" customHeight="1" x14ac:dyDescent="0.25">
      <c r="A451">
        <v>2023</v>
      </c>
      <c r="B451" s="4" t="s">
        <v>49</v>
      </c>
      <c r="C451" s="1">
        <v>5</v>
      </c>
      <c r="D451" s="1" t="s">
        <v>178</v>
      </c>
      <c r="E451" s="1" t="s">
        <v>12</v>
      </c>
      <c r="F451" s="1">
        <v>3</v>
      </c>
      <c r="G451" s="1">
        <v>100</v>
      </c>
      <c r="H451" s="1">
        <v>119</v>
      </c>
      <c r="I451" s="1">
        <v>72</v>
      </c>
    </row>
    <row r="452" spans="1:9" ht="14.25" customHeight="1" x14ac:dyDescent="0.25">
      <c r="A452">
        <v>2023</v>
      </c>
      <c r="B452" s="4" t="s">
        <v>49</v>
      </c>
      <c r="C452" s="1">
        <v>5</v>
      </c>
      <c r="D452" s="1" t="s">
        <v>179</v>
      </c>
      <c r="E452" s="1" t="s">
        <v>12</v>
      </c>
      <c r="F452" s="1">
        <v>1</v>
      </c>
      <c r="G452" s="1">
        <v>118</v>
      </c>
      <c r="H452" s="1">
        <v>112</v>
      </c>
      <c r="I452" s="1">
        <v>96</v>
      </c>
    </row>
    <row r="453" spans="1:9" ht="14.25" customHeight="1" x14ac:dyDescent="0.25">
      <c r="A453">
        <v>2023</v>
      </c>
      <c r="B453" s="4" t="s">
        <v>49</v>
      </c>
      <c r="C453" s="1">
        <v>5</v>
      </c>
      <c r="D453" s="1" t="s">
        <v>179</v>
      </c>
      <c r="E453" s="1" t="s">
        <v>12</v>
      </c>
      <c r="F453" s="1">
        <v>2</v>
      </c>
      <c r="G453" s="1">
        <v>109</v>
      </c>
      <c r="H453" s="1">
        <v>118</v>
      </c>
      <c r="I453" s="1">
        <v>120</v>
      </c>
    </row>
    <row r="454" spans="1:9" ht="14.25" customHeight="1" x14ac:dyDescent="0.25">
      <c r="A454">
        <v>2023</v>
      </c>
      <c r="B454" s="4" t="s">
        <v>49</v>
      </c>
      <c r="C454" s="1">
        <v>5</v>
      </c>
      <c r="D454" s="1" t="s">
        <v>179</v>
      </c>
      <c r="E454" s="1" t="s">
        <v>12</v>
      </c>
      <c r="F454" s="1">
        <v>3</v>
      </c>
      <c r="G454" s="1">
        <v>112</v>
      </c>
      <c r="H454" s="1">
        <v>90</v>
      </c>
      <c r="I454" s="1">
        <v>96</v>
      </c>
    </row>
    <row r="455" spans="1:9" ht="14.25" customHeight="1" x14ac:dyDescent="0.25">
      <c r="A455">
        <v>2023</v>
      </c>
      <c r="B455" s="4" t="s">
        <v>49</v>
      </c>
      <c r="C455" s="1">
        <v>4</v>
      </c>
      <c r="D455" s="1" t="s">
        <v>180</v>
      </c>
      <c r="E455" s="1" t="s">
        <v>12</v>
      </c>
      <c r="F455" s="1">
        <v>1</v>
      </c>
      <c r="G455" s="1">
        <v>112</v>
      </c>
      <c r="H455" s="1">
        <v>142</v>
      </c>
      <c r="I455" s="1">
        <v>72</v>
      </c>
    </row>
    <row r="456" spans="1:9" ht="14.25" customHeight="1" x14ac:dyDescent="0.25">
      <c r="A456">
        <v>2023</v>
      </c>
      <c r="B456" s="4" t="s">
        <v>49</v>
      </c>
      <c r="C456" s="1">
        <v>4</v>
      </c>
      <c r="D456" s="1" t="s">
        <v>180</v>
      </c>
      <c r="E456" s="1" t="s">
        <v>12</v>
      </c>
      <c r="F456" s="1">
        <v>2</v>
      </c>
      <c r="G456" s="1">
        <v>117</v>
      </c>
      <c r="H456" s="1">
        <v>135</v>
      </c>
      <c r="I456" s="1">
        <v>108</v>
      </c>
    </row>
    <row r="457" spans="1:9" ht="14.25" customHeight="1" x14ac:dyDescent="0.25">
      <c r="A457">
        <v>2023</v>
      </c>
      <c r="B457" s="4" t="s">
        <v>49</v>
      </c>
      <c r="C457" s="1">
        <v>4</v>
      </c>
      <c r="D457" s="1" t="s">
        <v>180</v>
      </c>
      <c r="E457" s="1" t="s">
        <v>12</v>
      </c>
      <c r="F457" s="1">
        <v>3</v>
      </c>
      <c r="G457" s="1">
        <v>113</v>
      </c>
      <c r="H457" s="1">
        <v>135</v>
      </c>
      <c r="I457" s="1">
        <v>84</v>
      </c>
    </row>
    <row r="458" spans="1:9" ht="14.25" customHeight="1" x14ac:dyDescent="0.25">
      <c r="A458">
        <v>2023</v>
      </c>
      <c r="B458" s="4" t="s">
        <v>14</v>
      </c>
      <c r="C458" s="1">
        <v>1</v>
      </c>
      <c r="D458" s="1" t="s">
        <v>181</v>
      </c>
      <c r="E458" s="1" t="s">
        <v>12</v>
      </c>
      <c r="F458" s="1">
        <v>1</v>
      </c>
      <c r="G458" s="1">
        <v>134</v>
      </c>
      <c r="H458" s="1">
        <v>115</v>
      </c>
      <c r="I458" s="5">
        <v>60</v>
      </c>
    </row>
    <row r="459" spans="1:9" ht="14.25" customHeight="1" x14ac:dyDescent="0.25">
      <c r="A459">
        <v>2023</v>
      </c>
      <c r="B459" s="4" t="s">
        <v>14</v>
      </c>
      <c r="C459" s="1">
        <v>1</v>
      </c>
      <c r="D459" s="1" t="s">
        <v>181</v>
      </c>
      <c r="E459" s="1" t="s">
        <v>12</v>
      </c>
      <c r="F459" s="1">
        <v>2</v>
      </c>
      <c r="G459" s="1">
        <v>137</v>
      </c>
      <c r="H459" s="1">
        <v>112</v>
      </c>
      <c r="I459" s="1">
        <v>48</v>
      </c>
    </row>
    <row r="460" spans="1:9" ht="14.25" customHeight="1" x14ac:dyDescent="0.25">
      <c r="A460">
        <v>2023</v>
      </c>
      <c r="B460" s="4" t="s">
        <v>14</v>
      </c>
      <c r="C460" s="1">
        <v>1</v>
      </c>
      <c r="D460" s="1" t="s">
        <v>181</v>
      </c>
      <c r="E460" s="1" t="s">
        <v>12</v>
      </c>
      <c r="F460" s="1">
        <v>3</v>
      </c>
      <c r="G460" s="1">
        <v>137</v>
      </c>
      <c r="H460" s="1">
        <v>113</v>
      </c>
      <c r="I460" s="1">
        <v>72</v>
      </c>
    </row>
    <row r="461" spans="1:9" ht="14.25" customHeight="1" x14ac:dyDescent="0.25">
      <c r="A461">
        <v>2023</v>
      </c>
      <c r="B461" s="4" t="s">
        <v>182</v>
      </c>
      <c r="C461" s="1">
        <v>2</v>
      </c>
      <c r="D461" s="1" t="s">
        <v>183</v>
      </c>
      <c r="E461" s="1" t="s">
        <v>12</v>
      </c>
      <c r="F461" s="1">
        <v>1</v>
      </c>
      <c r="G461" s="1">
        <v>142</v>
      </c>
      <c r="H461" s="1">
        <v>131</v>
      </c>
      <c r="I461" s="5">
        <v>96</v>
      </c>
    </row>
    <row r="462" spans="1:9" ht="14.25" customHeight="1" x14ac:dyDescent="0.25">
      <c r="A462">
        <v>2023</v>
      </c>
      <c r="B462" s="4" t="s">
        <v>182</v>
      </c>
      <c r="C462" s="1">
        <v>2</v>
      </c>
      <c r="D462" s="1" t="s">
        <v>183</v>
      </c>
      <c r="E462" s="1" t="s">
        <v>12</v>
      </c>
      <c r="F462" s="1">
        <v>2</v>
      </c>
      <c r="G462" s="1">
        <v>140</v>
      </c>
      <c r="H462" s="1">
        <v>118</v>
      </c>
      <c r="I462" s="5">
        <v>96</v>
      </c>
    </row>
    <row r="463" spans="1:9" ht="14.25" customHeight="1" x14ac:dyDescent="0.25">
      <c r="A463">
        <v>2023</v>
      </c>
      <c r="B463" s="4" t="s">
        <v>182</v>
      </c>
      <c r="C463" s="1">
        <v>2</v>
      </c>
      <c r="D463" s="1" t="s">
        <v>183</v>
      </c>
      <c r="E463" s="1" t="s">
        <v>12</v>
      </c>
      <c r="F463" s="1">
        <v>3</v>
      </c>
      <c r="G463" s="1">
        <v>142</v>
      </c>
      <c r="H463" s="1">
        <v>139</v>
      </c>
      <c r="I463" s="5">
        <v>72</v>
      </c>
    </row>
    <row r="464" spans="1:9" ht="14.25" customHeight="1" x14ac:dyDescent="0.25">
      <c r="A464">
        <v>2023</v>
      </c>
      <c r="B464" s="4" t="s">
        <v>14</v>
      </c>
      <c r="C464" s="1">
        <v>1</v>
      </c>
      <c r="D464" s="1" t="s">
        <v>184</v>
      </c>
      <c r="E464" s="1" t="s">
        <v>12</v>
      </c>
      <c r="F464" s="1">
        <v>1</v>
      </c>
      <c r="G464" s="1">
        <v>123</v>
      </c>
      <c r="H464" s="1">
        <v>121</v>
      </c>
      <c r="I464" s="5">
        <v>96</v>
      </c>
    </row>
    <row r="465" spans="1:9" ht="14.25" customHeight="1" x14ac:dyDescent="0.25">
      <c r="A465">
        <v>2023</v>
      </c>
      <c r="B465" s="4" t="s">
        <v>14</v>
      </c>
      <c r="C465" s="1">
        <v>1</v>
      </c>
      <c r="D465" s="1" t="s">
        <v>184</v>
      </c>
      <c r="E465" s="1" t="s">
        <v>12</v>
      </c>
      <c r="F465" s="1">
        <v>2</v>
      </c>
      <c r="G465" s="1">
        <v>138</v>
      </c>
      <c r="H465" s="1">
        <v>112</v>
      </c>
      <c r="I465" s="5">
        <v>96</v>
      </c>
    </row>
    <row r="466" spans="1:9" ht="14.25" customHeight="1" x14ac:dyDescent="0.25">
      <c r="A466">
        <v>2023</v>
      </c>
      <c r="B466" s="4" t="s">
        <v>14</v>
      </c>
      <c r="C466" s="1">
        <v>1</v>
      </c>
      <c r="D466" s="1" t="s">
        <v>184</v>
      </c>
      <c r="E466" s="1" t="s">
        <v>12</v>
      </c>
      <c r="F466" s="1">
        <v>3</v>
      </c>
      <c r="G466" s="1">
        <v>125</v>
      </c>
      <c r="H466" s="1">
        <v>129</v>
      </c>
      <c r="I466" s="5">
        <v>72</v>
      </c>
    </row>
    <row r="467" spans="1:9" ht="14.25" customHeight="1" x14ac:dyDescent="0.25">
      <c r="A467">
        <v>2023</v>
      </c>
      <c r="B467" s="4" t="s">
        <v>182</v>
      </c>
      <c r="C467" s="1">
        <v>2</v>
      </c>
      <c r="D467" s="1" t="s">
        <v>185</v>
      </c>
      <c r="E467" s="1" t="s">
        <v>12</v>
      </c>
      <c r="F467" s="1">
        <v>1</v>
      </c>
      <c r="G467" s="1">
        <v>87</v>
      </c>
      <c r="H467" s="1">
        <v>120</v>
      </c>
      <c r="I467" s="1">
        <v>48</v>
      </c>
    </row>
    <row r="468" spans="1:9" ht="14.25" customHeight="1" x14ac:dyDescent="0.25">
      <c r="A468">
        <v>2023</v>
      </c>
      <c r="B468" s="4" t="s">
        <v>182</v>
      </c>
      <c r="C468" s="1">
        <v>2</v>
      </c>
      <c r="D468" s="1" t="s">
        <v>185</v>
      </c>
      <c r="E468" s="1" t="s">
        <v>12</v>
      </c>
      <c r="F468" s="1">
        <v>2</v>
      </c>
      <c r="G468" s="1">
        <v>91</v>
      </c>
      <c r="H468" s="1">
        <v>120</v>
      </c>
      <c r="I468" s="1">
        <v>60</v>
      </c>
    </row>
    <row r="469" spans="1:9" ht="14.25" customHeight="1" x14ac:dyDescent="0.25">
      <c r="A469">
        <v>2023</v>
      </c>
      <c r="B469" s="4" t="s">
        <v>182</v>
      </c>
      <c r="C469" s="1">
        <v>2</v>
      </c>
      <c r="D469" s="1" t="s">
        <v>185</v>
      </c>
      <c r="E469" s="1" t="s">
        <v>12</v>
      </c>
      <c r="F469" s="1">
        <v>3</v>
      </c>
      <c r="G469" s="1">
        <v>97</v>
      </c>
      <c r="H469" s="1">
        <v>120</v>
      </c>
      <c r="I469" s="1">
        <v>96</v>
      </c>
    </row>
    <row r="470" spans="1:9" ht="14.25" customHeight="1" x14ac:dyDescent="0.25">
      <c r="A470">
        <v>2023</v>
      </c>
      <c r="B470" s="4" t="s">
        <v>182</v>
      </c>
      <c r="C470" s="1">
        <v>4</v>
      </c>
      <c r="D470" s="1" t="s">
        <v>186</v>
      </c>
      <c r="E470" s="1" t="s">
        <v>12</v>
      </c>
      <c r="F470" s="1">
        <v>1</v>
      </c>
      <c r="G470" s="1">
        <v>142</v>
      </c>
      <c r="H470" s="1">
        <v>108</v>
      </c>
      <c r="I470" s="1">
        <v>96</v>
      </c>
    </row>
    <row r="471" spans="1:9" ht="14.25" customHeight="1" x14ac:dyDescent="0.25">
      <c r="A471">
        <v>2023</v>
      </c>
      <c r="B471" s="4" t="s">
        <v>182</v>
      </c>
      <c r="C471" s="1">
        <v>4</v>
      </c>
      <c r="D471" s="1" t="s">
        <v>186</v>
      </c>
      <c r="E471" s="1" t="s">
        <v>12</v>
      </c>
      <c r="F471" s="1">
        <v>2</v>
      </c>
      <c r="G471" s="1">
        <v>151</v>
      </c>
      <c r="H471" s="1">
        <v>116</v>
      </c>
      <c r="I471" s="1">
        <v>84</v>
      </c>
    </row>
    <row r="472" spans="1:9" ht="14.25" customHeight="1" x14ac:dyDescent="0.25">
      <c r="A472">
        <v>2023</v>
      </c>
      <c r="B472" s="4" t="s">
        <v>182</v>
      </c>
      <c r="C472" s="1">
        <v>4</v>
      </c>
      <c r="D472" s="1" t="s">
        <v>186</v>
      </c>
      <c r="E472" s="1" t="s">
        <v>12</v>
      </c>
      <c r="F472" s="1">
        <v>3</v>
      </c>
      <c r="G472" s="1">
        <v>154</v>
      </c>
      <c r="H472" s="1">
        <v>133</v>
      </c>
      <c r="I472" s="1">
        <v>84</v>
      </c>
    </row>
    <row r="473" spans="1:9" ht="14.25" customHeight="1" x14ac:dyDescent="0.25">
      <c r="A473">
        <v>2023</v>
      </c>
      <c r="B473" s="4" t="s">
        <v>182</v>
      </c>
      <c r="C473" s="1">
        <v>4</v>
      </c>
      <c r="D473" s="1" t="s">
        <v>187</v>
      </c>
      <c r="E473" s="1" t="s">
        <v>12</v>
      </c>
      <c r="F473" s="1">
        <v>1</v>
      </c>
      <c r="G473" s="1">
        <v>139</v>
      </c>
      <c r="H473" s="1">
        <v>112</v>
      </c>
      <c r="I473" s="1">
        <v>48</v>
      </c>
    </row>
    <row r="474" spans="1:9" ht="14.25" customHeight="1" x14ac:dyDescent="0.25">
      <c r="A474">
        <v>2023</v>
      </c>
      <c r="B474" s="4" t="s">
        <v>182</v>
      </c>
      <c r="C474" s="1">
        <v>4</v>
      </c>
      <c r="D474" s="1" t="s">
        <v>187</v>
      </c>
      <c r="E474" s="1" t="s">
        <v>12</v>
      </c>
      <c r="F474" s="1">
        <v>2</v>
      </c>
      <c r="G474" s="1">
        <v>125</v>
      </c>
      <c r="H474" s="1">
        <v>112</v>
      </c>
      <c r="I474" s="1">
        <v>60</v>
      </c>
    </row>
    <row r="475" spans="1:9" ht="14.25" customHeight="1" x14ac:dyDescent="0.25">
      <c r="A475">
        <v>2023</v>
      </c>
      <c r="B475" s="4" t="s">
        <v>182</v>
      </c>
      <c r="C475" s="1">
        <v>4</v>
      </c>
      <c r="D475" s="1" t="s">
        <v>187</v>
      </c>
      <c r="E475" s="1" t="s">
        <v>12</v>
      </c>
      <c r="F475" s="1">
        <v>3</v>
      </c>
      <c r="G475" s="1">
        <v>125</v>
      </c>
      <c r="H475" s="1">
        <v>117</v>
      </c>
      <c r="I475" s="1">
        <v>60</v>
      </c>
    </row>
    <row r="476" spans="1:9" ht="14.25" customHeight="1" x14ac:dyDescent="0.25">
      <c r="A476">
        <v>2023</v>
      </c>
      <c r="B476" s="4" t="s">
        <v>182</v>
      </c>
      <c r="C476" s="1">
        <v>2</v>
      </c>
      <c r="D476" s="1" t="s">
        <v>188</v>
      </c>
      <c r="E476" s="1" t="s">
        <v>12</v>
      </c>
      <c r="F476" s="1">
        <v>1</v>
      </c>
      <c r="G476" s="1">
        <v>139</v>
      </c>
      <c r="H476" s="1">
        <v>121</v>
      </c>
      <c r="I476" s="1">
        <v>36</v>
      </c>
    </row>
    <row r="477" spans="1:9" ht="14.25" customHeight="1" x14ac:dyDescent="0.25">
      <c r="A477">
        <v>2023</v>
      </c>
      <c r="B477" s="4" t="s">
        <v>182</v>
      </c>
      <c r="C477" s="1">
        <v>2</v>
      </c>
      <c r="D477" s="1" t="s">
        <v>188</v>
      </c>
      <c r="E477" s="1" t="s">
        <v>12</v>
      </c>
      <c r="F477" s="1">
        <v>2</v>
      </c>
      <c r="G477" s="1">
        <v>138</v>
      </c>
      <c r="H477" s="1">
        <v>110</v>
      </c>
      <c r="I477" s="1">
        <v>36</v>
      </c>
    </row>
    <row r="478" spans="1:9" ht="14.25" customHeight="1" x14ac:dyDescent="0.25">
      <c r="A478">
        <v>2023</v>
      </c>
      <c r="B478" s="4" t="s">
        <v>182</v>
      </c>
      <c r="C478" s="1">
        <v>2</v>
      </c>
      <c r="D478" s="1" t="s">
        <v>188</v>
      </c>
      <c r="E478" s="1" t="s">
        <v>12</v>
      </c>
      <c r="F478" s="1">
        <v>3</v>
      </c>
      <c r="G478" s="1">
        <v>137</v>
      </c>
      <c r="H478" s="1">
        <v>131</v>
      </c>
      <c r="I478" s="1">
        <v>36</v>
      </c>
    </row>
    <row r="479" spans="1:9" ht="14.25" customHeight="1" x14ac:dyDescent="0.25">
      <c r="A479">
        <v>2023</v>
      </c>
      <c r="B479" s="4" t="s">
        <v>189</v>
      </c>
      <c r="C479" s="1">
        <v>4</v>
      </c>
      <c r="D479" s="1" t="s">
        <v>190</v>
      </c>
      <c r="E479" s="1" t="s">
        <v>12</v>
      </c>
      <c r="F479" s="1">
        <v>1</v>
      </c>
      <c r="G479" s="1">
        <v>149</v>
      </c>
      <c r="H479" s="1">
        <v>128</v>
      </c>
      <c r="I479" s="1">
        <v>24</v>
      </c>
    </row>
    <row r="480" spans="1:9" ht="14.25" customHeight="1" x14ac:dyDescent="0.25">
      <c r="A480">
        <v>2023</v>
      </c>
      <c r="B480" s="4" t="s">
        <v>189</v>
      </c>
      <c r="C480" s="1">
        <v>4</v>
      </c>
      <c r="D480" s="1" t="s">
        <v>190</v>
      </c>
      <c r="E480" s="1" t="s">
        <v>12</v>
      </c>
      <c r="F480" s="1">
        <v>2</v>
      </c>
      <c r="G480" s="5">
        <v>154</v>
      </c>
      <c r="H480" s="1">
        <v>130</v>
      </c>
      <c r="I480" s="1">
        <v>60</v>
      </c>
    </row>
    <row r="481" spans="1:9" ht="14.25" customHeight="1" x14ac:dyDescent="0.25">
      <c r="A481">
        <v>2023</v>
      </c>
      <c r="B481" s="4" t="s">
        <v>189</v>
      </c>
      <c r="C481" s="1">
        <v>4</v>
      </c>
      <c r="D481" s="1" t="s">
        <v>190</v>
      </c>
      <c r="E481" s="1" t="s">
        <v>12</v>
      </c>
      <c r="F481" s="1">
        <v>3</v>
      </c>
      <c r="G481" s="1">
        <v>154</v>
      </c>
      <c r="H481" s="1">
        <v>131</v>
      </c>
      <c r="I481" s="1">
        <v>60</v>
      </c>
    </row>
    <row r="482" spans="1:9" ht="14.25" customHeight="1" x14ac:dyDescent="0.25">
      <c r="A482">
        <v>2023</v>
      </c>
      <c r="B482" s="4" t="s">
        <v>189</v>
      </c>
      <c r="C482" s="1">
        <v>4</v>
      </c>
      <c r="D482" s="1" t="s">
        <v>191</v>
      </c>
      <c r="E482" s="1" t="s">
        <v>12</v>
      </c>
      <c r="F482" s="1">
        <v>1</v>
      </c>
      <c r="G482" s="1">
        <v>110</v>
      </c>
      <c r="H482" s="1">
        <v>106</v>
      </c>
      <c r="I482" s="1">
        <v>84</v>
      </c>
    </row>
    <row r="483" spans="1:9" ht="14.25" customHeight="1" x14ac:dyDescent="0.25">
      <c r="A483">
        <v>2023</v>
      </c>
      <c r="B483" s="4" t="s">
        <v>189</v>
      </c>
      <c r="C483" s="1">
        <v>4</v>
      </c>
      <c r="D483" s="1" t="s">
        <v>191</v>
      </c>
      <c r="E483" s="1" t="s">
        <v>12</v>
      </c>
      <c r="F483" s="1">
        <v>2</v>
      </c>
      <c r="G483" s="1">
        <v>108</v>
      </c>
      <c r="H483" s="1">
        <v>116</v>
      </c>
      <c r="I483" s="1">
        <v>84</v>
      </c>
    </row>
    <row r="484" spans="1:9" ht="14.25" customHeight="1" x14ac:dyDescent="0.25">
      <c r="A484">
        <v>2023</v>
      </c>
      <c r="B484" s="4" t="s">
        <v>189</v>
      </c>
      <c r="C484" s="1">
        <v>4</v>
      </c>
      <c r="D484" s="1" t="s">
        <v>191</v>
      </c>
      <c r="E484" s="1" t="s">
        <v>12</v>
      </c>
      <c r="F484" s="1">
        <v>3</v>
      </c>
      <c r="G484" s="1">
        <v>104</v>
      </c>
      <c r="H484" s="1">
        <v>110</v>
      </c>
      <c r="I484" s="1">
        <v>72</v>
      </c>
    </row>
    <row r="485" spans="1:9" ht="14.25" customHeight="1" x14ac:dyDescent="0.25">
      <c r="A485">
        <v>2023</v>
      </c>
      <c r="B485" s="4" t="s">
        <v>189</v>
      </c>
      <c r="C485" s="1">
        <v>4</v>
      </c>
      <c r="D485" s="1" t="s">
        <v>192</v>
      </c>
      <c r="E485" s="1" t="s">
        <v>12</v>
      </c>
      <c r="F485" s="1">
        <v>1</v>
      </c>
      <c r="G485" s="1">
        <v>105</v>
      </c>
      <c r="H485" s="1">
        <v>111</v>
      </c>
      <c r="I485" s="1">
        <v>48</v>
      </c>
    </row>
    <row r="486" spans="1:9" ht="14.25" customHeight="1" x14ac:dyDescent="0.25">
      <c r="A486">
        <v>2023</v>
      </c>
      <c r="B486" s="4" t="s">
        <v>189</v>
      </c>
      <c r="C486" s="1">
        <v>4</v>
      </c>
      <c r="D486" s="1" t="s">
        <v>192</v>
      </c>
      <c r="E486" s="1" t="s">
        <v>12</v>
      </c>
      <c r="F486" s="1">
        <v>2</v>
      </c>
      <c r="G486" s="1">
        <v>104</v>
      </c>
      <c r="H486" s="1">
        <v>104</v>
      </c>
      <c r="I486" s="1">
        <v>60</v>
      </c>
    </row>
    <row r="487" spans="1:9" ht="14.25" customHeight="1" x14ac:dyDescent="0.25">
      <c r="A487">
        <v>2023</v>
      </c>
      <c r="B487" s="4" t="s">
        <v>189</v>
      </c>
      <c r="C487" s="1">
        <v>4</v>
      </c>
      <c r="D487" s="1" t="s">
        <v>192</v>
      </c>
      <c r="E487" s="1" t="s">
        <v>12</v>
      </c>
      <c r="F487" s="1">
        <v>3</v>
      </c>
      <c r="G487" s="1">
        <v>111</v>
      </c>
      <c r="H487" s="1">
        <v>110</v>
      </c>
      <c r="I487" s="1">
        <v>96</v>
      </c>
    </row>
    <row r="488" spans="1:9" ht="14.25" customHeight="1" x14ac:dyDescent="0.25">
      <c r="A488">
        <v>2023</v>
      </c>
      <c r="B488" s="4" t="s">
        <v>189</v>
      </c>
      <c r="C488" s="1">
        <v>5</v>
      </c>
      <c r="D488" s="1" t="s">
        <v>193</v>
      </c>
      <c r="E488" s="1" t="s">
        <v>12</v>
      </c>
      <c r="F488" s="1">
        <v>1</v>
      </c>
      <c r="G488" s="1">
        <v>107</v>
      </c>
      <c r="H488" s="1">
        <v>132</v>
      </c>
      <c r="I488" s="1">
        <v>24</v>
      </c>
    </row>
    <row r="489" spans="1:9" ht="14.25" customHeight="1" x14ac:dyDescent="0.25">
      <c r="A489">
        <v>2023</v>
      </c>
      <c r="B489" s="4" t="s">
        <v>189</v>
      </c>
      <c r="C489" s="1">
        <v>5</v>
      </c>
      <c r="D489" s="1" t="s">
        <v>193</v>
      </c>
      <c r="E489" s="1" t="s">
        <v>12</v>
      </c>
      <c r="F489" s="1">
        <v>2</v>
      </c>
      <c r="G489" s="1">
        <v>107</v>
      </c>
      <c r="H489" s="1">
        <v>132</v>
      </c>
      <c r="I489" s="1">
        <v>36</v>
      </c>
    </row>
    <row r="490" spans="1:9" ht="14.25" customHeight="1" x14ac:dyDescent="0.25">
      <c r="A490">
        <v>2023</v>
      </c>
      <c r="B490" s="4" t="s">
        <v>189</v>
      </c>
      <c r="C490" s="1">
        <v>5</v>
      </c>
      <c r="D490" s="1" t="s">
        <v>193</v>
      </c>
      <c r="E490" s="1" t="s">
        <v>12</v>
      </c>
      <c r="F490" s="1">
        <v>3</v>
      </c>
      <c r="G490" s="1">
        <v>114</v>
      </c>
      <c r="H490" s="1">
        <v>133</v>
      </c>
      <c r="I490" s="1">
        <v>36</v>
      </c>
    </row>
    <row r="491" spans="1:9" ht="14.25" customHeight="1" x14ac:dyDescent="0.25">
      <c r="A491">
        <v>2023</v>
      </c>
      <c r="B491" s="4" t="s">
        <v>49</v>
      </c>
      <c r="C491" s="1">
        <v>5</v>
      </c>
      <c r="D491" s="1" t="s">
        <v>194</v>
      </c>
      <c r="E491" s="1" t="s">
        <v>12</v>
      </c>
      <c r="F491" s="1">
        <v>1</v>
      </c>
      <c r="G491" s="1">
        <v>110</v>
      </c>
      <c r="H491" s="1">
        <v>138</v>
      </c>
      <c r="I491" s="1">
        <v>108</v>
      </c>
    </row>
    <row r="492" spans="1:9" ht="14.25" customHeight="1" x14ac:dyDescent="0.25">
      <c r="A492">
        <v>2023</v>
      </c>
      <c r="B492" s="4" t="s">
        <v>49</v>
      </c>
      <c r="C492" s="1">
        <v>5</v>
      </c>
      <c r="D492" s="1" t="s">
        <v>194</v>
      </c>
      <c r="E492" s="1" t="s">
        <v>12</v>
      </c>
      <c r="F492" s="1">
        <v>2</v>
      </c>
      <c r="G492" s="1">
        <v>109</v>
      </c>
      <c r="H492" s="1">
        <v>150</v>
      </c>
      <c r="I492" s="5">
        <v>98</v>
      </c>
    </row>
    <row r="493" spans="1:9" ht="14.25" customHeight="1" x14ac:dyDescent="0.25">
      <c r="A493">
        <v>2023</v>
      </c>
      <c r="B493" s="4" t="s">
        <v>49</v>
      </c>
      <c r="C493" s="1">
        <v>5</v>
      </c>
      <c r="D493" s="1" t="s">
        <v>194</v>
      </c>
      <c r="E493" s="1" t="s">
        <v>12</v>
      </c>
      <c r="F493" s="1">
        <v>3</v>
      </c>
      <c r="G493" s="1">
        <v>114</v>
      </c>
      <c r="H493" s="1">
        <v>145</v>
      </c>
      <c r="I493" s="1">
        <v>96</v>
      </c>
    </row>
    <row r="494" spans="1:9" ht="14.25" customHeight="1" x14ac:dyDescent="0.25">
      <c r="A494">
        <v>2023</v>
      </c>
      <c r="B494" s="4" t="s">
        <v>49</v>
      </c>
      <c r="C494" s="1">
        <v>5</v>
      </c>
      <c r="D494" s="1" t="s">
        <v>195</v>
      </c>
      <c r="E494" s="1" t="s">
        <v>12</v>
      </c>
      <c r="F494" s="1">
        <v>1</v>
      </c>
      <c r="G494" s="1">
        <v>114</v>
      </c>
      <c r="H494" s="1">
        <v>132</v>
      </c>
      <c r="I494" s="1">
        <v>84</v>
      </c>
    </row>
    <row r="495" spans="1:9" ht="14.25" customHeight="1" x14ac:dyDescent="0.25">
      <c r="A495">
        <v>2023</v>
      </c>
      <c r="B495" s="4" t="s">
        <v>49</v>
      </c>
      <c r="C495" s="1">
        <v>5</v>
      </c>
      <c r="D495" s="1" t="s">
        <v>195</v>
      </c>
      <c r="E495" s="1" t="s">
        <v>12</v>
      </c>
      <c r="F495" s="1">
        <v>2</v>
      </c>
      <c r="G495" s="1">
        <v>109</v>
      </c>
      <c r="H495" s="1">
        <v>131</v>
      </c>
      <c r="I495" s="1">
        <v>60</v>
      </c>
    </row>
    <row r="496" spans="1:9" ht="14.25" customHeight="1" x14ac:dyDescent="0.25">
      <c r="A496">
        <v>2023</v>
      </c>
      <c r="B496" s="4" t="s">
        <v>49</v>
      </c>
      <c r="C496" s="1">
        <v>5</v>
      </c>
      <c r="D496" s="1" t="s">
        <v>195</v>
      </c>
      <c r="E496" s="1" t="s">
        <v>12</v>
      </c>
      <c r="F496" s="1">
        <v>3</v>
      </c>
      <c r="G496" s="1">
        <v>113</v>
      </c>
      <c r="H496" s="1">
        <v>110</v>
      </c>
      <c r="I496" s="1">
        <v>60</v>
      </c>
    </row>
    <row r="497" spans="1:9" ht="14.25" customHeight="1" x14ac:dyDescent="0.25">
      <c r="A497">
        <v>2023</v>
      </c>
      <c r="B497" s="4" t="s">
        <v>49</v>
      </c>
      <c r="C497" s="1">
        <v>5</v>
      </c>
      <c r="D497" s="1" t="s">
        <v>196</v>
      </c>
      <c r="E497" s="1" t="s">
        <v>12</v>
      </c>
      <c r="F497" s="1">
        <v>1</v>
      </c>
      <c r="G497" s="1">
        <v>109</v>
      </c>
      <c r="H497" s="1">
        <v>137</v>
      </c>
      <c r="I497" s="1">
        <v>84</v>
      </c>
    </row>
    <row r="498" spans="1:9" ht="14.25" customHeight="1" x14ac:dyDescent="0.25">
      <c r="A498">
        <v>2023</v>
      </c>
      <c r="B498" s="4" t="s">
        <v>49</v>
      </c>
      <c r="C498" s="1">
        <v>5</v>
      </c>
      <c r="D498" s="1" t="s">
        <v>196</v>
      </c>
      <c r="E498" s="1" t="s">
        <v>12</v>
      </c>
      <c r="F498" s="1">
        <v>2</v>
      </c>
      <c r="G498" s="1">
        <v>108</v>
      </c>
      <c r="H498" s="1">
        <v>152</v>
      </c>
      <c r="I498" s="1">
        <v>96</v>
      </c>
    </row>
    <row r="499" spans="1:9" ht="14.25" customHeight="1" x14ac:dyDescent="0.25">
      <c r="A499">
        <v>2023</v>
      </c>
      <c r="B499" s="4" t="s">
        <v>49</v>
      </c>
      <c r="C499" s="1">
        <v>5</v>
      </c>
      <c r="D499" s="1" t="s">
        <v>196</v>
      </c>
      <c r="E499" s="1" t="s">
        <v>12</v>
      </c>
      <c r="F499" s="1">
        <v>3</v>
      </c>
      <c r="G499" s="1">
        <v>108</v>
      </c>
      <c r="H499" s="1">
        <v>150</v>
      </c>
      <c r="I499" s="1">
        <v>60</v>
      </c>
    </row>
    <row r="500" spans="1:9" ht="14.25" customHeight="1" x14ac:dyDescent="0.25">
      <c r="A500">
        <v>2023</v>
      </c>
      <c r="B500" s="4" t="s">
        <v>189</v>
      </c>
      <c r="C500" s="1">
        <v>4</v>
      </c>
      <c r="D500" s="1" t="s">
        <v>197</v>
      </c>
      <c r="E500" s="1" t="s">
        <v>12</v>
      </c>
      <c r="F500" s="1">
        <v>1</v>
      </c>
      <c r="G500" s="1">
        <v>101</v>
      </c>
      <c r="H500" s="1">
        <v>115</v>
      </c>
      <c r="I500" s="1">
        <v>48</v>
      </c>
    </row>
    <row r="501" spans="1:9" ht="14.25" customHeight="1" x14ac:dyDescent="0.25">
      <c r="A501">
        <v>2023</v>
      </c>
      <c r="B501" s="4" t="s">
        <v>189</v>
      </c>
      <c r="C501" s="1">
        <v>4</v>
      </c>
      <c r="D501" s="1" t="s">
        <v>197</v>
      </c>
      <c r="E501" s="1" t="s">
        <v>12</v>
      </c>
      <c r="F501" s="1">
        <v>2</v>
      </c>
      <c r="G501" s="1">
        <v>99</v>
      </c>
      <c r="H501" s="1">
        <v>112</v>
      </c>
      <c r="I501" s="1">
        <v>24</v>
      </c>
    </row>
    <row r="502" spans="1:9" ht="14.25" customHeight="1" x14ac:dyDescent="0.25">
      <c r="A502">
        <v>2023</v>
      </c>
      <c r="B502" s="4" t="s">
        <v>189</v>
      </c>
      <c r="C502" s="1">
        <v>4</v>
      </c>
      <c r="D502" s="1" t="s">
        <v>197</v>
      </c>
      <c r="E502" s="1" t="s">
        <v>12</v>
      </c>
      <c r="F502" s="1">
        <v>3</v>
      </c>
      <c r="G502" s="1">
        <v>98</v>
      </c>
      <c r="H502" s="1">
        <v>100</v>
      </c>
      <c r="I502" s="5">
        <v>54</v>
      </c>
    </row>
    <row r="503" spans="1:9" ht="14.25" customHeight="1" x14ac:dyDescent="0.25">
      <c r="A503">
        <v>2023</v>
      </c>
      <c r="B503" s="4" t="s">
        <v>189</v>
      </c>
      <c r="C503" s="1">
        <v>3</v>
      </c>
      <c r="D503" s="1" t="s">
        <v>198</v>
      </c>
      <c r="E503" s="1" t="s">
        <v>12</v>
      </c>
      <c r="F503" s="1">
        <v>1</v>
      </c>
      <c r="G503" s="1">
        <v>94</v>
      </c>
      <c r="H503" s="1">
        <v>138</v>
      </c>
      <c r="I503" s="1">
        <v>84</v>
      </c>
    </row>
    <row r="504" spans="1:9" ht="14.25" customHeight="1" x14ac:dyDescent="0.25">
      <c r="A504">
        <v>2023</v>
      </c>
      <c r="B504" s="4" t="s">
        <v>189</v>
      </c>
      <c r="C504" s="1">
        <v>3</v>
      </c>
      <c r="D504" s="1" t="s">
        <v>198</v>
      </c>
      <c r="E504" s="1" t="s">
        <v>12</v>
      </c>
      <c r="F504" s="1">
        <v>2</v>
      </c>
      <c r="G504" s="1">
        <v>98</v>
      </c>
      <c r="H504" s="1">
        <v>135</v>
      </c>
      <c r="I504" s="1">
        <v>48</v>
      </c>
    </row>
    <row r="505" spans="1:9" ht="14.25" customHeight="1" x14ac:dyDescent="0.25">
      <c r="A505">
        <v>2023</v>
      </c>
      <c r="B505" s="4" t="s">
        <v>189</v>
      </c>
      <c r="C505" s="1">
        <v>3</v>
      </c>
      <c r="D505" s="1" t="s">
        <v>198</v>
      </c>
      <c r="E505" s="1" t="s">
        <v>12</v>
      </c>
      <c r="F505" s="1">
        <v>3</v>
      </c>
      <c r="G505" s="1">
        <v>91</v>
      </c>
      <c r="H505" s="1">
        <v>143</v>
      </c>
      <c r="I505" s="1">
        <v>60</v>
      </c>
    </row>
    <row r="506" spans="1:9" ht="14.25" customHeight="1" x14ac:dyDescent="0.25">
      <c r="A506">
        <v>2023</v>
      </c>
      <c r="B506" s="4" t="s">
        <v>49</v>
      </c>
      <c r="C506" s="1">
        <v>4</v>
      </c>
      <c r="D506" s="1" t="s">
        <v>199</v>
      </c>
      <c r="E506" s="1" t="s">
        <v>12</v>
      </c>
      <c r="F506" s="1">
        <v>1</v>
      </c>
      <c r="G506" s="1">
        <v>111</v>
      </c>
      <c r="H506" s="1">
        <v>107</v>
      </c>
      <c r="I506" s="1">
        <v>60</v>
      </c>
    </row>
    <row r="507" spans="1:9" ht="14.25" customHeight="1" x14ac:dyDescent="0.25">
      <c r="A507">
        <v>2023</v>
      </c>
      <c r="B507" s="4" t="s">
        <v>49</v>
      </c>
      <c r="C507" s="1">
        <v>4</v>
      </c>
      <c r="D507" s="1" t="s">
        <v>199</v>
      </c>
      <c r="E507" s="1" t="s">
        <v>12</v>
      </c>
      <c r="F507" s="1">
        <v>2</v>
      </c>
      <c r="G507" s="1">
        <v>109</v>
      </c>
      <c r="H507" s="1">
        <v>115</v>
      </c>
      <c r="I507" s="1">
        <v>36</v>
      </c>
    </row>
    <row r="508" spans="1:9" ht="14.25" customHeight="1" x14ac:dyDescent="0.25">
      <c r="A508">
        <v>2023</v>
      </c>
      <c r="B508" s="4" t="s">
        <v>49</v>
      </c>
      <c r="C508" s="1">
        <v>4</v>
      </c>
      <c r="D508" s="1" t="s">
        <v>199</v>
      </c>
      <c r="E508" s="1" t="s">
        <v>12</v>
      </c>
      <c r="F508" s="1">
        <v>3</v>
      </c>
      <c r="G508" s="1">
        <v>109</v>
      </c>
      <c r="H508" s="1">
        <v>120</v>
      </c>
      <c r="I508" s="5">
        <v>48</v>
      </c>
    </row>
    <row r="509" spans="1:9" ht="14.25" customHeight="1" x14ac:dyDescent="0.25">
      <c r="A509">
        <v>2023</v>
      </c>
      <c r="B509" s="4" t="s">
        <v>49</v>
      </c>
      <c r="C509" s="1">
        <v>4</v>
      </c>
      <c r="D509" s="1" t="s">
        <v>200</v>
      </c>
      <c r="E509" s="1" t="s">
        <v>12</v>
      </c>
      <c r="F509" s="1">
        <v>1</v>
      </c>
      <c r="G509" s="1">
        <v>117</v>
      </c>
      <c r="H509" s="1">
        <v>155</v>
      </c>
      <c r="I509" s="1">
        <v>108</v>
      </c>
    </row>
    <row r="510" spans="1:9" ht="14.25" customHeight="1" x14ac:dyDescent="0.25">
      <c r="A510">
        <v>2023</v>
      </c>
      <c r="B510" s="4" t="s">
        <v>49</v>
      </c>
      <c r="C510" s="1">
        <v>4</v>
      </c>
      <c r="D510" s="1" t="s">
        <v>200</v>
      </c>
      <c r="E510" s="1" t="s">
        <v>12</v>
      </c>
      <c r="F510" s="1">
        <v>2</v>
      </c>
      <c r="G510" s="1">
        <v>117</v>
      </c>
      <c r="H510" s="1">
        <v>139</v>
      </c>
      <c r="I510" s="1">
        <v>72</v>
      </c>
    </row>
    <row r="511" spans="1:9" ht="14.25" customHeight="1" x14ac:dyDescent="0.25">
      <c r="A511">
        <v>2023</v>
      </c>
      <c r="B511" s="4" t="s">
        <v>49</v>
      </c>
      <c r="C511" s="1">
        <v>4</v>
      </c>
      <c r="D511" s="1" t="s">
        <v>200</v>
      </c>
      <c r="E511" s="1" t="s">
        <v>12</v>
      </c>
      <c r="F511" s="1">
        <v>3</v>
      </c>
      <c r="G511" s="1">
        <v>120</v>
      </c>
      <c r="H511" s="1">
        <v>141</v>
      </c>
      <c r="I511" s="1">
        <v>60</v>
      </c>
    </row>
    <row r="512" spans="1:9" ht="14.25" customHeight="1" x14ac:dyDescent="0.25">
      <c r="A512">
        <v>2023</v>
      </c>
      <c r="B512" s="4" t="s">
        <v>189</v>
      </c>
      <c r="C512" s="1">
        <v>3</v>
      </c>
      <c r="D512" s="1" t="s">
        <v>201</v>
      </c>
      <c r="E512" s="1" t="s">
        <v>12</v>
      </c>
      <c r="F512" s="1">
        <v>1</v>
      </c>
      <c r="G512" s="1">
        <v>93</v>
      </c>
      <c r="H512" s="1">
        <v>125</v>
      </c>
      <c r="I512" s="1">
        <v>60</v>
      </c>
    </row>
    <row r="513" spans="1:9" ht="14.25" customHeight="1" x14ac:dyDescent="0.25">
      <c r="A513">
        <v>2023</v>
      </c>
      <c r="B513" s="4" t="s">
        <v>189</v>
      </c>
      <c r="C513" s="1">
        <v>3</v>
      </c>
      <c r="D513" s="1" t="s">
        <v>201</v>
      </c>
      <c r="E513" s="1" t="s">
        <v>12</v>
      </c>
      <c r="F513" s="1">
        <v>2</v>
      </c>
      <c r="G513" s="1">
        <v>91</v>
      </c>
      <c r="H513" s="1">
        <v>142</v>
      </c>
      <c r="I513" s="1">
        <v>48</v>
      </c>
    </row>
    <row r="514" spans="1:9" ht="14.25" customHeight="1" x14ac:dyDescent="0.25">
      <c r="A514">
        <v>2023</v>
      </c>
      <c r="B514" s="4" t="s">
        <v>189</v>
      </c>
      <c r="C514" s="1">
        <v>3</v>
      </c>
      <c r="D514" s="1" t="s">
        <v>201</v>
      </c>
      <c r="E514" s="1" t="s">
        <v>12</v>
      </c>
      <c r="F514" s="1">
        <v>3</v>
      </c>
      <c r="G514" s="1">
        <v>97</v>
      </c>
      <c r="H514" s="1">
        <v>129</v>
      </c>
      <c r="I514" s="1">
        <v>48</v>
      </c>
    </row>
    <row r="515" spans="1:9" ht="14.25" customHeight="1" x14ac:dyDescent="0.25">
      <c r="A515">
        <v>2023</v>
      </c>
      <c r="B515" s="4" t="s">
        <v>189</v>
      </c>
      <c r="C515" s="1">
        <v>4</v>
      </c>
      <c r="D515" s="1" t="s">
        <v>202</v>
      </c>
      <c r="E515" s="1" t="s">
        <v>12</v>
      </c>
      <c r="F515" s="1">
        <v>1</v>
      </c>
      <c r="G515" s="1">
        <v>128</v>
      </c>
      <c r="H515" s="1">
        <v>111</v>
      </c>
      <c r="I515" s="1">
        <v>48</v>
      </c>
    </row>
    <row r="516" spans="1:9" ht="14.25" customHeight="1" x14ac:dyDescent="0.25">
      <c r="A516">
        <v>2023</v>
      </c>
      <c r="B516" s="4" t="s">
        <v>189</v>
      </c>
      <c r="C516" s="1">
        <v>4</v>
      </c>
      <c r="D516" s="1" t="s">
        <v>202</v>
      </c>
      <c r="E516" s="1" t="s">
        <v>12</v>
      </c>
      <c r="F516" s="1">
        <v>2</v>
      </c>
      <c r="G516" s="1">
        <v>139</v>
      </c>
      <c r="H516" s="1">
        <v>97</v>
      </c>
      <c r="I516" s="5">
        <v>60</v>
      </c>
    </row>
    <row r="517" spans="1:9" ht="14.25" customHeight="1" x14ac:dyDescent="0.25">
      <c r="A517">
        <v>2023</v>
      </c>
      <c r="B517" s="4" t="s">
        <v>189</v>
      </c>
      <c r="C517" s="1">
        <v>4</v>
      </c>
      <c r="D517" s="1" t="s">
        <v>202</v>
      </c>
      <c r="E517" s="1" t="s">
        <v>12</v>
      </c>
      <c r="F517" s="1">
        <v>3</v>
      </c>
      <c r="G517" s="1">
        <v>143</v>
      </c>
      <c r="H517" s="1">
        <v>112</v>
      </c>
      <c r="I517" s="1">
        <v>84</v>
      </c>
    </row>
    <row r="518" spans="1:9" ht="14.25" customHeight="1" x14ac:dyDescent="0.25">
      <c r="A518">
        <v>2023</v>
      </c>
      <c r="B518" s="4" t="s">
        <v>172</v>
      </c>
      <c r="C518" s="1">
        <v>3</v>
      </c>
      <c r="D518" s="1" t="s">
        <v>203</v>
      </c>
      <c r="E518" s="1" t="s">
        <v>12</v>
      </c>
      <c r="F518" s="1">
        <v>1</v>
      </c>
      <c r="G518" s="1">
        <v>106</v>
      </c>
      <c r="H518" s="1">
        <v>95</v>
      </c>
      <c r="I518" s="5">
        <v>48</v>
      </c>
    </row>
    <row r="519" spans="1:9" ht="14.25" customHeight="1" x14ac:dyDescent="0.25">
      <c r="A519">
        <v>2023</v>
      </c>
      <c r="B519" s="4" t="s">
        <v>172</v>
      </c>
      <c r="C519" s="1">
        <v>3</v>
      </c>
      <c r="D519" s="1" t="s">
        <v>203</v>
      </c>
      <c r="E519" s="1" t="s">
        <v>12</v>
      </c>
      <c r="F519" s="1">
        <v>2</v>
      </c>
      <c r="G519" s="1">
        <v>108</v>
      </c>
      <c r="H519" s="1">
        <v>98</v>
      </c>
      <c r="I519" s="1">
        <v>12</v>
      </c>
    </row>
    <row r="520" spans="1:9" ht="14.25" customHeight="1" x14ac:dyDescent="0.25">
      <c r="A520">
        <v>2023</v>
      </c>
      <c r="B520" s="4" t="s">
        <v>172</v>
      </c>
      <c r="C520" s="1">
        <v>3</v>
      </c>
      <c r="D520" s="1" t="s">
        <v>203</v>
      </c>
      <c r="E520" s="1" t="s">
        <v>12</v>
      </c>
      <c r="F520" s="1">
        <v>3</v>
      </c>
      <c r="G520" s="1">
        <v>108</v>
      </c>
      <c r="H520" s="1">
        <v>96</v>
      </c>
      <c r="I520" s="1">
        <v>36</v>
      </c>
    </row>
    <row r="521" spans="1:9" ht="14.25" customHeight="1" x14ac:dyDescent="0.25">
      <c r="A521">
        <v>2023</v>
      </c>
      <c r="B521" s="4" t="s">
        <v>49</v>
      </c>
      <c r="C521" s="1">
        <v>4</v>
      </c>
      <c r="D521" s="1" t="s">
        <v>204</v>
      </c>
      <c r="E521" s="1" t="s">
        <v>12</v>
      </c>
      <c r="F521" s="1">
        <v>1</v>
      </c>
      <c r="G521" s="1">
        <v>137</v>
      </c>
      <c r="H521" s="1">
        <v>118</v>
      </c>
      <c r="I521" s="1">
        <v>36</v>
      </c>
    </row>
    <row r="522" spans="1:9" ht="14.25" customHeight="1" x14ac:dyDescent="0.25">
      <c r="A522">
        <v>2023</v>
      </c>
      <c r="B522" s="4" t="s">
        <v>49</v>
      </c>
      <c r="C522" s="1">
        <v>4</v>
      </c>
      <c r="D522" s="1" t="s">
        <v>204</v>
      </c>
      <c r="E522" s="1" t="s">
        <v>12</v>
      </c>
      <c r="F522" s="1">
        <v>2</v>
      </c>
      <c r="G522" s="1">
        <v>138</v>
      </c>
      <c r="H522" s="1">
        <v>122</v>
      </c>
      <c r="I522" s="1">
        <v>72</v>
      </c>
    </row>
    <row r="523" spans="1:9" ht="14.25" customHeight="1" x14ac:dyDescent="0.25">
      <c r="A523">
        <v>2023</v>
      </c>
      <c r="B523" s="4" t="s">
        <v>49</v>
      </c>
      <c r="C523" s="1">
        <v>4</v>
      </c>
      <c r="D523" s="1" t="s">
        <v>204</v>
      </c>
      <c r="E523" s="1" t="s">
        <v>12</v>
      </c>
      <c r="F523" s="1">
        <v>3</v>
      </c>
      <c r="G523" s="1">
        <v>140</v>
      </c>
      <c r="H523" s="1">
        <v>122</v>
      </c>
      <c r="I523" s="5">
        <v>48</v>
      </c>
    </row>
    <row r="524" spans="1:9" ht="14.25" customHeight="1" x14ac:dyDescent="0.25">
      <c r="A524">
        <v>2023</v>
      </c>
      <c r="B524" s="4" t="s">
        <v>49</v>
      </c>
      <c r="C524" s="1">
        <v>5</v>
      </c>
      <c r="D524" s="1" t="s">
        <v>205</v>
      </c>
      <c r="E524" s="1" t="s">
        <v>12</v>
      </c>
      <c r="F524" s="1">
        <v>1</v>
      </c>
      <c r="G524" s="1">
        <v>102</v>
      </c>
      <c r="H524" s="1">
        <v>122</v>
      </c>
      <c r="I524" s="1">
        <v>36</v>
      </c>
    </row>
    <row r="525" spans="1:9" ht="14.25" customHeight="1" x14ac:dyDescent="0.25">
      <c r="A525">
        <v>2023</v>
      </c>
      <c r="B525" s="4" t="s">
        <v>49</v>
      </c>
      <c r="C525" s="1">
        <v>5</v>
      </c>
      <c r="D525" s="1" t="s">
        <v>205</v>
      </c>
      <c r="E525" s="1" t="s">
        <v>12</v>
      </c>
      <c r="F525" s="1">
        <v>2</v>
      </c>
      <c r="G525" s="1">
        <v>105</v>
      </c>
      <c r="H525" s="1">
        <v>115</v>
      </c>
      <c r="I525" s="1">
        <v>48</v>
      </c>
    </row>
    <row r="526" spans="1:9" ht="14.25" customHeight="1" x14ac:dyDescent="0.25">
      <c r="A526">
        <v>2023</v>
      </c>
      <c r="B526" s="4" t="s">
        <v>49</v>
      </c>
      <c r="C526" s="1">
        <v>5</v>
      </c>
      <c r="D526" s="1" t="s">
        <v>205</v>
      </c>
      <c r="E526" s="1" t="s">
        <v>12</v>
      </c>
      <c r="F526" s="1">
        <v>3</v>
      </c>
      <c r="G526" s="1">
        <v>108</v>
      </c>
      <c r="H526" s="1">
        <v>140</v>
      </c>
      <c r="I526" s="1">
        <v>72</v>
      </c>
    </row>
    <row r="527" spans="1:9" ht="14.25" customHeight="1" x14ac:dyDescent="0.25">
      <c r="A527">
        <v>2023</v>
      </c>
      <c r="B527" s="4" t="s">
        <v>49</v>
      </c>
      <c r="C527" s="1">
        <v>5</v>
      </c>
      <c r="D527" s="1" t="s">
        <v>206</v>
      </c>
      <c r="E527" s="1" t="s">
        <v>12</v>
      </c>
      <c r="F527" s="1">
        <v>1</v>
      </c>
      <c r="G527" s="1">
        <v>104</v>
      </c>
      <c r="H527" s="1">
        <v>102</v>
      </c>
      <c r="I527" s="1">
        <v>72</v>
      </c>
    </row>
    <row r="528" spans="1:9" ht="14.25" customHeight="1" x14ac:dyDescent="0.25">
      <c r="A528">
        <v>2023</v>
      </c>
      <c r="B528" s="4" t="s">
        <v>49</v>
      </c>
      <c r="C528" s="1">
        <v>5</v>
      </c>
      <c r="D528" s="1" t="s">
        <v>206</v>
      </c>
      <c r="E528" s="1" t="s">
        <v>12</v>
      </c>
      <c r="F528" s="1">
        <v>2</v>
      </c>
      <c r="G528" s="1">
        <v>104</v>
      </c>
      <c r="H528" s="1">
        <v>112</v>
      </c>
      <c r="I528" s="1">
        <v>96</v>
      </c>
    </row>
    <row r="529" spans="1:9" ht="14.25" customHeight="1" x14ac:dyDescent="0.25">
      <c r="A529">
        <v>2023</v>
      </c>
      <c r="B529" s="4" t="s">
        <v>49</v>
      </c>
      <c r="C529" s="1">
        <v>5</v>
      </c>
      <c r="D529" s="1" t="s">
        <v>206</v>
      </c>
      <c r="E529" s="1" t="s">
        <v>12</v>
      </c>
      <c r="F529" s="1">
        <v>3</v>
      </c>
      <c r="G529" s="1">
        <v>104</v>
      </c>
      <c r="H529" s="1">
        <v>126</v>
      </c>
      <c r="I529" s="1">
        <v>48</v>
      </c>
    </row>
    <row r="530" spans="1:9" ht="14.25" customHeight="1" x14ac:dyDescent="0.25">
      <c r="A530">
        <v>2023</v>
      </c>
      <c r="B530" s="4" t="s">
        <v>189</v>
      </c>
      <c r="C530" s="1">
        <v>5</v>
      </c>
      <c r="D530" s="1" t="s">
        <v>207</v>
      </c>
      <c r="E530" s="1" t="s">
        <v>12</v>
      </c>
      <c r="F530" s="1">
        <v>1</v>
      </c>
      <c r="G530" s="1">
        <v>117</v>
      </c>
      <c r="H530" s="1">
        <v>143</v>
      </c>
      <c r="I530" s="1">
        <v>108</v>
      </c>
    </row>
    <row r="531" spans="1:9" ht="14.25" customHeight="1" x14ac:dyDescent="0.25">
      <c r="A531">
        <v>2023</v>
      </c>
      <c r="B531" s="4" t="s">
        <v>189</v>
      </c>
      <c r="C531" s="1">
        <v>5</v>
      </c>
      <c r="D531" s="1" t="s">
        <v>207</v>
      </c>
      <c r="E531" s="1" t="s">
        <v>12</v>
      </c>
      <c r="F531" s="1">
        <v>2</v>
      </c>
      <c r="G531" s="1">
        <v>117</v>
      </c>
      <c r="H531" s="1">
        <v>135</v>
      </c>
      <c r="I531" s="1">
        <v>60</v>
      </c>
    </row>
    <row r="532" spans="1:9" ht="14.25" customHeight="1" x14ac:dyDescent="0.25">
      <c r="A532">
        <v>2023</v>
      </c>
      <c r="B532" s="4" t="s">
        <v>189</v>
      </c>
      <c r="C532" s="1">
        <v>5</v>
      </c>
      <c r="D532" s="1" t="s">
        <v>207</v>
      </c>
      <c r="E532" s="1" t="s">
        <v>12</v>
      </c>
      <c r="F532" s="1">
        <v>3</v>
      </c>
      <c r="G532" s="1">
        <v>120</v>
      </c>
      <c r="H532" s="1">
        <v>134</v>
      </c>
      <c r="I532" s="1">
        <v>72</v>
      </c>
    </row>
    <row r="533" spans="1:9" ht="14.25" customHeight="1" x14ac:dyDescent="0.25">
      <c r="A533">
        <v>2023</v>
      </c>
      <c r="B533" s="4" t="s">
        <v>189</v>
      </c>
      <c r="C533" s="1">
        <v>3</v>
      </c>
      <c r="D533" s="1" t="s">
        <v>208</v>
      </c>
      <c r="E533" s="1" t="s">
        <v>12</v>
      </c>
      <c r="F533" s="1">
        <v>1</v>
      </c>
      <c r="G533" s="1">
        <v>90</v>
      </c>
      <c r="H533" s="1">
        <v>141</v>
      </c>
      <c r="I533" s="1">
        <v>108</v>
      </c>
    </row>
    <row r="534" spans="1:9" ht="14.25" customHeight="1" x14ac:dyDescent="0.25">
      <c r="A534">
        <v>2023</v>
      </c>
      <c r="B534" s="4" t="s">
        <v>189</v>
      </c>
      <c r="C534" s="1">
        <v>3</v>
      </c>
      <c r="D534" s="1" t="s">
        <v>208</v>
      </c>
      <c r="E534" s="1" t="s">
        <v>12</v>
      </c>
      <c r="F534" s="1">
        <v>2</v>
      </c>
      <c r="G534" s="1">
        <v>94</v>
      </c>
      <c r="H534" s="1">
        <v>147</v>
      </c>
      <c r="I534" s="1">
        <v>108</v>
      </c>
    </row>
    <row r="535" spans="1:9" ht="14.25" customHeight="1" x14ac:dyDescent="0.25">
      <c r="A535">
        <v>2023</v>
      </c>
      <c r="B535" s="4" t="s">
        <v>189</v>
      </c>
      <c r="C535" s="1">
        <v>3</v>
      </c>
      <c r="D535" s="1" t="s">
        <v>208</v>
      </c>
      <c r="E535" s="1" t="s">
        <v>12</v>
      </c>
      <c r="F535" s="1">
        <v>3</v>
      </c>
      <c r="G535" s="1">
        <v>90</v>
      </c>
      <c r="H535" s="1">
        <v>126</v>
      </c>
      <c r="I535" s="1">
        <v>72</v>
      </c>
    </row>
    <row r="536" spans="1:9" ht="14.25" customHeight="1" x14ac:dyDescent="0.25">
      <c r="A536">
        <v>2023</v>
      </c>
      <c r="B536" s="4" t="s">
        <v>209</v>
      </c>
      <c r="C536" s="1">
        <v>4</v>
      </c>
      <c r="D536" s="1" t="s">
        <v>210</v>
      </c>
      <c r="E536" s="1" t="s">
        <v>12</v>
      </c>
      <c r="F536" s="1">
        <v>1</v>
      </c>
      <c r="G536" s="1">
        <v>102</v>
      </c>
      <c r="H536" s="1">
        <v>126</v>
      </c>
      <c r="I536" s="1">
        <v>84</v>
      </c>
    </row>
    <row r="537" spans="1:9" ht="14.25" customHeight="1" x14ac:dyDescent="0.25">
      <c r="A537">
        <v>2023</v>
      </c>
      <c r="B537" s="4" t="s">
        <v>209</v>
      </c>
      <c r="C537" s="1">
        <v>4</v>
      </c>
      <c r="D537" s="1" t="s">
        <v>210</v>
      </c>
      <c r="E537" s="1" t="s">
        <v>12</v>
      </c>
      <c r="F537" s="1">
        <v>2</v>
      </c>
      <c r="G537" s="1">
        <v>102</v>
      </c>
      <c r="H537" s="1">
        <v>132</v>
      </c>
      <c r="I537" s="1">
        <v>72</v>
      </c>
    </row>
    <row r="538" spans="1:9" ht="14.25" customHeight="1" x14ac:dyDescent="0.25">
      <c r="A538">
        <v>2023</v>
      </c>
      <c r="B538" s="4" t="s">
        <v>209</v>
      </c>
      <c r="C538" s="1">
        <v>4</v>
      </c>
      <c r="D538" s="1" t="s">
        <v>210</v>
      </c>
      <c r="E538" s="1" t="s">
        <v>12</v>
      </c>
      <c r="F538" s="1">
        <v>3</v>
      </c>
      <c r="G538" s="1">
        <v>99</v>
      </c>
      <c r="H538" s="1">
        <v>126</v>
      </c>
      <c r="I538" s="1">
        <v>48</v>
      </c>
    </row>
    <row r="539" spans="1:9" ht="14.25" customHeight="1" x14ac:dyDescent="0.25">
      <c r="A539">
        <v>2023</v>
      </c>
      <c r="B539" s="4" t="s">
        <v>172</v>
      </c>
      <c r="C539" s="1">
        <v>5</v>
      </c>
      <c r="D539" s="1" t="s">
        <v>211</v>
      </c>
      <c r="E539" s="1" t="s">
        <v>12</v>
      </c>
      <c r="F539" s="1">
        <v>1</v>
      </c>
      <c r="G539" s="1">
        <v>101</v>
      </c>
      <c r="H539" s="1">
        <v>127</v>
      </c>
      <c r="I539" s="1">
        <v>84</v>
      </c>
    </row>
    <row r="540" spans="1:9" ht="14.25" customHeight="1" x14ac:dyDescent="0.25">
      <c r="A540">
        <v>2023</v>
      </c>
      <c r="B540" s="4" t="s">
        <v>172</v>
      </c>
      <c r="C540" s="1">
        <v>5</v>
      </c>
      <c r="D540" s="1" t="s">
        <v>211</v>
      </c>
      <c r="E540" s="1" t="s">
        <v>12</v>
      </c>
      <c r="F540" s="1">
        <v>2</v>
      </c>
      <c r="G540" s="1">
        <v>103</v>
      </c>
      <c r="H540" s="1">
        <v>138</v>
      </c>
      <c r="I540" s="1">
        <v>96</v>
      </c>
    </row>
    <row r="541" spans="1:9" ht="14.25" customHeight="1" x14ac:dyDescent="0.25">
      <c r="A541">
        <v>2023</v>
      </c>
      <c r="B541" s="4" t="s">
        <v>172</v>
      </c>
      <c r="C541" s="1">
        <v>5</v>
      </c>
      <c r="D541" s="1" t="s">
        <v>211</v>
      </c>
      <c r="E541" s="1" t="s">
        <v>12</v>
      </c>
      <c r="F541" s="1">
        <v>3</v>
      </c>
      <c r="G541" s="1">
        <v>109</v>
      </c>
      <c r="H541" s="1">
        <v>133</v>
      </c>
      <c r="I541" s="1">
        <v>60</v>
      </c>
    </row>
    <row r="542" spans="1:9" ht="14.25" customHeight="1" x14ac:dyDescent="0.25">
      <c r="A542">
        <v>2023</v>
      </c>
      <c r="B542" s="4" t="s">
        <v>14</v>
      </c>
      <c r="C542" s="1">
        <v>1</v>
      </c>
      <c r="D542" s="1" t="s">
        <v>212</v>
      </c>
      <c r="E542" s="1" t="s">
        <v>12</v>
      </c>
      <c r="F542" s="1">
        <v>1</v>
      </c>
      <c r="G542" s="1">
        <v>159</v>
      </c>
      <c r="H542" s="1">
        <v>98</v>
      </c>
      <c r="I542" s="1">
        <v>96</v>
      </c>
    </row>
    <row r="543" spans="1:9" ht="14.25" customHeight="1" x14ac:dyDescent="0.25">
      <c r="A543">
        <v>2023</v>
      </c>
      <c r="B543" s="4" t="s">
        <v>14</v>
      </c>
      <c r="C543" s="1">
        <v>1</v>
      </c>
      <c r="D543" s="1" t="s">
        <v>212</v>
      </c>
      <c r="E543" s="1" t="s">
        <v>12</v>
      </c>
      <c r="F543" s="1">
        <v>2</v>
      </c>
      <c r="G543" s="1">
        <v>160</v>
      </c>
      <c r="H543" s="1">
        <v>119</v>
      </c>
      <c r="I543" s="1">
        <v>48</v>
      </c>
    </row>
    <row r="544" spans="1:9" ht="14.25" customHeight="1" x14ac:dyDescent="0.25">
      <c r="A544">
        <v>2023</v>
      </c>
      <c r="B544" s="4" t="s">
        <v>14</v>
      </c>
      <c r="C544" s="1">
        <v>1</v>
      </c>
      <c r="D544" s="1" t="s">
        <v>212</v>
      </c>
      <c r="E544" s="1" t="s">
        <v>12</v>
      </c>
      <c r="F544" s="1">
        <v>3</v>
      </c>
      <c r="G544" s="1">
        <v>160</v>
      </c>
      <c r="H544" s="1">
        <v>108</v>
      </c>
      <c r="I544" s="1">
        <v>48</v>
      </c>
    </row>
    <row r="545" spans="1:9" ht="14.25" customHeight="1" x14ac:dyDescent="0.25">
      <c r="A545">
        <v>2023</v>
      </c>
      <c r="B545" s="4" t="s">
        <v>14</v>
      </c>
      <c r="C545" s="1">
        <v>1</v>
      </c>
      <c r="D545" s="1" t="s">
        <v>213</v>
      </c>
      <c r="E545" s="1" t="s">
        <v>12</v>
      </c>
      <c r="F545" s="1">
        <v>1</v>
      </c>
      <c r="G545" s="1">
        <v>140</v>
      </c>
      <c r="H545" s="1">
        <v>146</v>
      </c>
      <c r="I545" s="1">
        <v>96</v>
      </c>
    </row>
    <row r="546" spans="1:9" ht="14.25" customHeight="1" x14ac:dyDescent="0.25">
      <c r="A546">
        <v>2023</v>
      </c>
      <c r="B546" s="4" t="s">
        <v>14</v>
      </c>
      <c r="C546" s="1">
        <v>1</v>
      </c>
      <c r="D546" s="1" t="s">
        <v>213</v>
      </c>
      <c r="E546" s="1" t="s">
        <v>12</v>
      </c>
      <c r="F546" s="1">
        <v>2</v>
      </c>
      <c r="G546" s="1">
        <v>140</v>
      </c>
      <c r="H546" s="1">
        <v>132</v>
      </c>
      <c r="I546" s="1">
        <v>96</v>
      </c>
    </row>
    <row r="547" spans="1:9" ht="14.25" customHeight="1" x14ac:dyDescent="0.25">
      <c r="A547">
        <v>2023</v>
      </c>
      <c r="B547" s="4" t="s">
        <v>14</v>
      </c>
      <c r="C547" s="1">
        <v>1</v>
      </c>
      <c r="D547" s="1" t="s">
        <v>213</v>
      </c>
      <c r="E547" s="1" t="s">
        <v>12</v>
      </c>
      <c r="F547" s="1">
        <v>3</v>
      </c>
      <c r="G547" s="1">
        <v>139</v>
      </c>
      <c r="H547" s="1">
        <v>134</v>
      </c>
      <c r="I547" s="1">
        <v>84</v>
      </c>
    </row>
    <row r="548" spans="1:9" ht="14.25" customHeight="1" x14ac:dyDescent="0.25">
      <c r="A548">
        <v>2023</v>
      </c>
      <c r="B548" s="4" t="s">
        <v>214</v>
      </c>
      <c r="C548" s="1">
        <v>2</v>
      </c>
      <c r="D548" s="1" t="s">
        <v>215</v>
      </c>
      <c r="E548" s="1" t="s">
        <v>12</v>
      </c>
      <c r="F548" s="1">
        <v>1</v>
      </c>
      <c r="G548" s="1">
        <v>107</v>
      </c>
      <c r="H548" s="1">
        <v>110</v>
      </c>
      <c r="I548" s="5">
        <v>72</v>
      </c>
    </row>
    <row r="549" spans="1:9" ht="14.25" customHeight="1" x14ac:dyDescent="0.25">
      <c r="A549">
        <v>2023</v>
      </c>
      <c r="B549" s="4" t="s">
        <v>214</v>
      </c>
      <c r="C549" s="1">
        <v>2</v>
      </c>
      <c r="D549" s="1" t="s">
        <v>215</v>
      </c>
      <c r="E549" s="1" t="s">
        <v>12</v>
      </c>
      <c r="F549" s="1">
        <v>2</v>
      </c>
      <c r="G549" s="1">
        <v>108</v>
      </c>
      <c r="H549" s="1">
        <v>104</v>
      </c>
      <c r="I549" s="1">
        <v>60</v>
      </c>
    </row>
    <row r="550" spans="1:9" ht="14.25" customHeight="1" x14ac:dyDescent="0.25">
      <c r="A550">
        <v>2023</v>
      </c>
      <c r="B550" s="4" t="s">
        <v>214</v>
      </c>
      <c r="C550" s="1">
        <v>2</v>
      </c>
      <c r="D550" s="1" t="s">
        <v>215</v>
      </c>
      <c r="E550" s="1" t="s">
        <v>12</v>
      </c>
      <c r="F550" s="1">
        <v>3</v>
      </c>
      <c r="G550" s="1">
        <v>108</v>
      </c>
      <c r="H550" s="1">
        <v>115</v>
      </c>
      <c r="I550" s="1">
        <v>96</v>
      </c>
    </row>
    <row r="551" spans="1:9" ht="14.25" customHeight="1" x14ac:dyDescent="0.25">
      <c r="A551">
        <v>2023</v>
      </c>
      <c r="B551" s="4" t="s">
        <v>216</v>
      </c>
      <c r="C551" s="1" t="s">
        <v>20</v>
      </c>
      <c r="D551" s="1" t="s">
        <v>217</v>
      </c>
      <c r="E551" s="1" t="s">
        <v>12</v>
      </c>
      <c r="F551" s="1">
        <v>1</v>
      </c>
      <c r="G551" s="1">
        <v>151</v>
      </c>
      <c r="H551" s="1">
        <v>117</v>
      </c>
      <c r="I551" s="1">
        <v>60</v>
      </c>
    </row>
    <row r="552" spans="1:9" ht="14.25" customHeight="1" x14ac:dyDescent="0.25">
      <c r="A552">
        <v>2023</v>
      </c>
      <c r="B552" s="4" t="s">
        <v>216</v>
      </c>
      <c r="C552" s="1" t="s">
        <v>20</v>
      </c>
      <c r="D552" s="1" t="s">
        <v>217</v>
      </c>
      <c r="E552" s="1" t="s">
        <v>12</v>
      </c>
      <c r="F552" s="1">
        <v>2</v>
      </c>
      <c r="G552" s="1">
        <v>139</v>
      </c>
      <c r="H552" s="1">
        <v>138</v>
      </c>
      <c r="I552" s="1">
        <v>72</v>
      </c>
    </row>
    <row r="553" spans="1:9" ht="14.25" customHeight="1" x14ac:dyDescent="0.25">
      <c r="A553">
        <v>2023</v>
      </c>
      <c r="B553" s="4" t="s">
        <v>216</v>
      </c>
      <c r="C553" s="1" t="s">
        <v>20</v>
      </c>
      <c r="D553" s="1" t="s">
        <v>217</v>
      </c>
      <c r="E553" s="1" t="s">
        <v>12</v>
      </c>
      <c r="F553" s="1">
        <v>3</v>
      </c>
      <c r="G553" s="1">
        <v>140</v>
      </c>
      <c r="H553" s="1">
        <v>127</v>
      </c>
      <c r="I553" s="1">
        <v>72</v>
      </c>
    </row>
    <row r="554" spans="1:9" ht="14.25" customHeight="1" x14ac:dyDescent="0.25">
      <c r="A554">
        <v>2023</v>
      </c>
      <c r="B554" s="4" t="s">
        <v>14</v>
      </c>
      <c r="C554" s="1">
        <v>1</v>
      </c>
      <c r="D554" s="1" t="s">
        <v>218</v>
      </c>
      <c r="E554" s="1" t="s">
        <v>12</v>
      </c>
      <c r="F554" s="1">
        <v>1</v>
      </c>
      <c r="G554" s="1">
        <v>138</v>
      </c>
      <c r="H554" s="1">
        <v>131</v>
      </c>
      <c r="I554" s="5">
        <v>60</v>
      </c>
    </row>
    <row r="555" spans="1:9" ht="14.25" customHeight="1" x14ac:dyDescent="0.25">
      <c r="A555">
        <v>2023</v>
      </c>
      <c r="B555" s="4" t="s">
        <v>14</v>
      </c>
      <c r="C555" s="1">
        <v>1</v>
      </c>
      <c r="D555" s="1" t="s">
        <v>218</v>
      </c>
      <c r="E555" s="1" t="s">
        <v>12</v>
      </c>
      <c r="F555" s="1">
        <v>2</v>
      </c>
      <c r="G555" s="1">
        <v>141</v>
      </c>
      <c r="H555" s="1">
        <v>130</v>
      </c>
      <c r="I555" s="1">
        <v>60</v>
      </c>
    </row>
    <row r="556" spans="1:9" ht="14.25" customHeight="1" x14ac:dyDescent="0.25">
      <c r="A556">
        <v>2023</v>
      </c>
      <c r="B556" s="4" t="s">
        <v>14</v>
      </c>
      <c r="C556" s="1">
        <v>1</v>
      </c>
      <c r="D556" s="1" t="s">
        <v>218</v>
      </c>
      <c r="E556" s="1" t="s">
        <v>12</v>
      </c>
      <c r="F556" s="1">
        <v>3</v>
      </c>
      <c r="G556" s="1">
        <v>142</v>
      </c>
      <c r="H556" s="1">
        <v>140</v>
      </c>
      <c r="I556" s="1">
        <v>84</v>
      </c>
    </row>
    <row r="557" spans="1:9" ht="14.25" customHeight="1" x14ac:dyDescent="0.25">
      <c r="A557">
        <v>2023</v>
      </c>
      <c r="B557" s="4" t="s">
        <v>219</v>
      </c>
      <c r="C557" s="1">
        <v>2</v>
      </c>
      <c r="D557" s="1" t="s">
        <v>220</v>
      </c>
      <c r="E557" s="1" t="s">
        <v>12</v>
      </c>
      <c r="F557" s="1">
        <v>1</v>
      </c>
      <c r="G557" s="1">
        <v>84</v>
      </c>
      <c r="H557" s="1">
        <v>83</v>
      </c>
      <c r="I557" s="1">
        <v>72</v>
      </c>
    </row>
    <row r="558" spans="1:9" ht="14.25" customHeight="1" x14ac:dyDescent="0.25">
      <c r="A558">
        <v>2023</v>
      </c>
      <c r="B558" s="4" t="s">
        <v>219</v>
      </c>
      <c r="C558" s="1">
        <v>2</v>
      </c>
      <c r="D558" s="1" t="s">
        <v>220</v>
      </c>
      <c r="E558" s="1" t="s">
        <v>12</v>
      </c>
      <c r="F558" s="1">
        <v>2</v>
      </c>
      <c r="G558" s="1">
        <v>84</v>
      </c>
      <c r="H558" s="1">
        <v>90</v>
      </c>
      <c r="I558" s="1">
        <v>84</v>
      </c>
    </row>
    <row r="559" spans="1:9" ht="14.25" customHeight="1" x14ac:dyDescent="0.25">
      <c r="A559">
        <v>2023</v>
      </c>
      <c r="B559" s="4" t="s">
        <v>219</v>
      </c>
      <c r="C559" s="1">
        <v>2</v>
      </c>
      <c r="D559" s="1" t="s">
        <v>220</v>
      </c>
      <c r="E559" s="1" t="s">
        <v>12</v>
      </c>
      <c r="F559" s="1">
        <v>3</v>
      </c>
      <c r="G559" s="1">
        <v>84</v>
      </c>
      <c r="H559" s="1">
        <v>89</v>
      </c>
      <c r="I559" s="1">
        <v>84</v>
      </c>
    </row>
    <row r="560" spans="1:9" ht="14.25" customHeight="1" x14ac:dyDescent="0.25">
      <c r="A560">
        <v>2023</v>
      </c>
      <c r="B560" s="4" t="s">
        <v>219</v>
      </c>
      <c r="C560" s="1">
        <v>1</v>
      </c>
      <c r="D560" s="1" t="s">
        <v>221</v>
      </c>
      <c r="E560" s="1" t="s">
        <v>12</v>
      </c>
      <c r="F560" s="1">
        <v>1</v>
      </c>
      <c r="G560" s="1">
        <v>106</v>
      </c>
      <c r="H560" s="1">
        <v>96</v>
      </c>
      <c r="I560" s="1">
        <v>96</v>
      </c>
    </row>
    <row r="561" spans="1:9" ht="14.25" customHeight="1" x14ac:dyDescent="0.25">
      <c r="A561">
        <v>2023</v>
      </c>
      <c r="B561" s="4" t="s">
        <v>219</v>
      </c>
      <c r="C561" s="1">
        <v>1</v>
      </c>
      <c r="D561" s="1" t="s">
        <v>221</v>
      </c>
      <c r="E561" s="1" t="s">
        <v>12</v>
      </c>
      <c r="F561" s="1">
        <v>2</v>
      </c>
      <c r="G561" s="1">
        <v>107</v>
      </c>
      <c r="H561" s="1">
        <v>120</v>
      </c>
      <c r="I561" s="1">
        <v>72</v>
      </c>
    </row>
    <row r="562" spans="1:9" ht="14.25" customHeight="1" x14ac:dyDescent="0.25">
      <c r="A562">
        <v>2023</v>
      </c>
      <c r="B562" s="4" t="s">
        <v>219</v>
      </c>
      <c r="C562" s="1">
        <v>1</v>
      </c>
      <c r="D562" s="1" t="s">
        <v>221</v>
      </c>
      <c r="E562" s="1" t="s">
        <v>12</v>
      </c>
      <c r="F562" s="1">
        <v>3</v>
      </c>
      <c r="G562" s="1">
        <v>107</v>
      </c>
      <c r="H562" s="1">
        <v>115</v>
      </c>
      <c r="I562" s="1">
        <v>48</v>
      </c>
    </row>
    <row r="563" spans="1:9" ht="14.25" customHeight="1" x14ac:dyDescent="0.25">
      <c r="A563">
        <v>2023</v>
      </c>
      <c r="B563" s="4" t="s">
        <v>219</v>
      </c>
      <c r="C563" s="1">
        <v>2</v>
      </c>
      <c r="D563" s="1" t="s">
        <v>222</v>
      </c>
      <c r="E563" s="1" t="s">
        <v>12</v>
      </c>
      <c r="F563" s="1">
        <v>1</v>
      </c>
      <c r="G563" s="1">
        <v>85</v>
      </c>
      <c r="H563" s="1">
        <v>117</v>
      </c>
      <c r="I563" s="5">
        <v>72</v>
      </c>
    </row>
    <row r="564" spans="1:9" ht="14.25" customHeight="1" x14ac:dyDescent="0.25">
      <c r="A564">
        <v>2023</v>
      </c>
      <c r="B564" s="4" t="s">
        <v>219</v>
      </c>
      <c r="C564" s="1">
        <v>2</v>
      </c>
      <c r="D564" s="1" t="s">
        <v>222</v>
      </c>
      <c r="E564" s="1" t="s">
        <v>12</v>
      </c>
      <c r="F564" s="1">
        <v>2</v>
      </c>
      <c r="G564" s="1">
        <v>85</v>
      </c>
      <c r="H564" s="1">
        <v>119</v>
      </c>
      <c r="I564" s="1">
        <v>60</v>
      </c>
    </row>
    <row r="565" spans="1:9" ht="14.25" customHeight="1" x14ac:dyDescent="0.25">
      <c r="A565">
        <v>2023</v>
      </c>
      <c r="B565" s="4" t="s">
        <v>219</v>
      </c>
      <c r="C565" s="1">
        <v>2</v>
      </c>
      <c r="D565" s="1" t="s">
        <v>222</v>
      </c>
      <c r="E565" s="1" t="s">
        <v>12</v>
      </c>
      <c r="F565" s="1">
        <v>3</v>
      </c>
      <c r="G565" s="1">
        <v>84</v>
      </c>
      <c r="H565" s="1">
        <v>124</v>
      </c>
      <c r="I565" s="1">
        <v>72</v>
      </c>
    </row>
    <row r="566" spans="1:9" ht="14.25" customHeight="1" x14ac:dyDescent="0.25">
      <c r="A566">
        <v>2023</v>
      </c>
      <c r="B566" s="4" t="s">
        <v>14</v>
      </c>
      <c r="C566" s="1">
        <v>1</v>
      </c>
      <c r="D566" s="1" t="s">
        <v>223</v>
      </c>
      <c r="E566" s="1" t="s">
        <v>12</v>
      </c>
      <c r="F566" s="1">
        <v>1</v>
      </c>
      <c r="G566" s="1">
        <v>162</v>
      </c>
      <c r="H566" s="1">
        <v>104</v>
      </c>
      <c r="I566" s="5">
        <v>78</v>
      </c>
    </row>
    <row r="567" spans="1:9" ht="14.25" customHeight="1" x14ac:dyDescent="0.25">
      <c r="A567">
        <v>2023</v>
      </c>
      <c r="B567" s="4" t="s">
        <v>14</v>
      </c>
      <c r="C567" s="1">
        <v>1</v>
      </c>
      <c r="D567" s="1" t="s">
        <v>223</v>
      </c>
      <c r="E567" s="1" t="s">
        <v>12</v>
      </c>
      <c r="F567" s="1">
        <v>2</v>
      </c>
      <c r="G567" s="1">
        <v>196</v>
      </c>
      <c r="H567" s="1">
        <v>90</v>
      </c>
      <c r="I567" s="1">
        <v>96</v>
      </c>
    </row>
    <row r="568" spans="1:9" ht="14.25" customHeight="1" x14ac:dyDescent="0.25">
      <c r="A568">
        <v>2023</v>
      </c>
      <c r="B568" s="4" t="s">
        <v>14</v>
      </c>
      <c r="C568" s="1">
        <v>1</v>
      </c>
      <c r="D568" s="1" t="s">
        <v>223</v>
      </c>
      <c r="E568" s="1" t="s">
        <v>12</v>
      </c>
      <c r="F568" s="1">
        <v>3</v>
      </c>
      <c r="G568" s="1">
        <v>191</v>
      </c>
      <c r="H568" s="1">
        <v>88</v>
      </c>
      <c r="I568" s="1">
        <v>72</v>
      </c>
    </row>
    <row r="569" spans="1:9" ht="14.25" customHeight="1" x14ac:dyDescent="0.25">
      <c r="A569">
        <v>2023</v>
      </c>
      <c r="B569" s="4" t="s">
        <v>224</v>
      </c>
      <c r="C569" s="1">
        <v>1</v>
      </c>
      <c r="D569" s="1" t="s">
        <v>225</v>
      </c>
      <c r="E569" s="1" t="s">
        <v>12</v>
      </c>
      <c r="F569" s="1">
        <v>1</v>
      </c>
      <c r="G569" s="1">
        <v>141</v>
      </c>
      <c r="H569" s="1">
        <v>107</v>
      </c>
      <c r="I569" s="1">
        <v>108</v>
      </c>
    </row>
    <row r="570" spans="1:9" ht="14.25" customHeight="1" x14ac:dyDescent="0.25">
      <c r="A570">
        <v>2023</v>
      </c>
      <c r="B570" s="4" t="s">
        <v>224</v>
      </c>
      <c r="C570" s="1">
        <v>1</v>
      </c>
      <c r="D570" s="1" t="s">
        <v>225</v>
      </c>
      <c r="E570" s="1" t="s">
        <v>12</v>
      </c>
      <c r="F570" s="1">
        <v>2</v>
      </c>
      <c r="G570" s="1">
        <v>143</v>
      </c>
      <c r="H570" s="1">
        <v>103</v>
      </c>
      <c r="I570" s="1">
        <v>96</v>
      </c>
    </row>
    <row r="571" spans="1:9" ht="14.25" customHeight="1" x14ac:dyDescent="0.25">
      <c r="A571">
        <v>2023</v>
      </c>
      <c r="B571" s="4" t="s">
        <v>224</v>
      </c>
      <c r="C571" s="1">
        <v>1</v>
      </c>
      <c r="D571" s="1" t="s">
        <v>225</v>
      </c>
      <c r="E571" s="1" t="s">
        <v>12</v>
      </c>
      <c r="F571" s="1">
        <v>3</v>
      </c>
      <c r="G571" s="1">
        <v>142</v>
      </c>
      <c r="H571" s="1">
        <v>110</v>
      </c>
      <c r="I571" s="1">
        <v>96</v>
      </c>
    </row>
    <row r="572" spans="1:9" ht="14.25" customHeight="1" x14ac:dyDescent="0.25">
      <c r="A572">
        <v>2023</v>
      </c>
      <c r="B572" s="4" t="s">
        <v>226</v>
      </c>
      <c r="C572" s="1">
        <v>2</v>
      </c>
      <c r="D572" s="1" t="s">
        <v>227</v>
      </c>
      <c r="E572" s="1" t="s">
        <v>12</v>
      </c>
      <c r="F572" s="1">
        <v>1</v>
      </c>
      <c r="G572" s="1">
        <v>102</v>
      </c>
      <c r="H572" s="1">
        <v>119</v>
      </c>
      <c r="I572" s="1">
        <v>24</v>
      </c>
    </row>
    <row r="573" spans="1:9" ht="14.25" customHeight="1" x14ac:dyDescent="0.25">
      <c r="A573">
        <v>2023</v>
      </c>
      <c r="B573" s="4" t="s">
        <v>226</v>
      </c>
      <c r="C573" s="1">
        <v>2</v>
      </c>
      <c r="D573" s="1" t="s">
        <v>227</v>
      </c>
      <c r="E573" s="1" t="s">
        <v>12</v>
      </c>
      <c r="F573" s="1">
        <v>2</v>
      </c>
      <c r="G573" s="1">
        <v>107</v>
      </c>
      <c r="H573" s="1">
        <v>127</v>
      </c>
      <c r="I573" s="1">
        <v>12</v>
      </c>
    </row>
    <row r="574" spans="1:9" ht="14.25" customHeight="1" x14ac:dyDescent="0.25">
      <c r="A574">
        <v>2023</v>
      </c>
      <c r="B574" s="4" t="s">
        <v>226</v>
      </c>
      <c r="C574" s="1">
        <v>2</v>
      </c>
      <c r="D574" s="1" t="s">
        <v>227</v>
      </c>
      <c r="E574" s="1" t="s">
        <v>12</v>
      </c>
      <c r="F574" s="1">
        <v>3</v>
      </c>
      <c r="G574" s="1">
        <v>107</v>
      </c>
      <c r="H574" s="1">
        <v>136</v>
      </c>
      <c r="I574" s="1">
        <v>24</v>
      </c>
    </row>
    <row r="575" spans="1:9" ht="14.25" customHeight="1" x14ac:dyDescent="0.25">
      <c r="A575">
        <v>2023</v>
      </c>
      <c r="B575" s="4" t="s">
        <v>228</v>
      </c>
      <c r="C575" s="1">
        <v>2</v>
      </c>
      <c r="D575" s="1" t="s">
        <v>229</v>
      </c>
      <c r="E575" s="1" t="s">
        <v>12</v>
      </c>
      <c r="F575" s="1">
        <v>1</v>
      </c>
      <c r="G575" s="1">
        <v>109</v>
      </c>
      <c r="H575" s="1">
        <v>115</v>
      </c>
      <c r="I575" s="1">
        <v>96</v>
      </c>
    </row>
    <row r="576" spans="1:9" ht="14.25" customHeight="1" x14ac:dyDescent="0.25">
      <c r="A576">
        <v>2023</v>
      </c>
      <c r="B576" s="4" t="s">
        <v>228</v>
      </c>
      <c r="C576" s="1">
        <v>2</v>
      </c>
      <c r="D576" s="1" t="s">
        <v>229</v>
      </c>
      <c r="E576" s="1" t="s">
        <v>12</v>
      </c>
      <c r="F576" s="1">
        <v>2</v>
      </c>
      <c r="G576" s="1">
        <v>104</v>
      </c>
      <c r="H576" s="1">
        <v>117</v>
      </c>
      <c r="I576" s="1">
        <v>108</v>
      </c>
    </row>
    <row r="577" spans="1:9" ht="14.25" customHeight="1" x14ac:dyDescent="0.25">
      <c r="A577">
        <v>2023</v>
      </c>
      <c r="B577" s="4" t="s">
        <v>228</v>
      </c>
      <c r="C577" s="1">
        <v>2</v>
      </c>
      <c r="D577" s="1" t="s">
        <v>229</v>
      </c>
      <c r="E577" s="1" t="s">
        <v>12</v>
      </c>
      <c r="F577" s="1">
        <v>3</v>
      </c>
      <c r="G577" s="5">
        <v>109</v>
      </c>
      <c r="H577" s="1">
        <v>118</v>
      </c>
      <c r="I577" s="1">
        <v>84</v>
      </c>
    </row>
    <row r="578" spans="1:9" ht="14.25" customHeight="1" x14ac:dyDescent="0.25">
      <c r="A578">
        <v>2023</v>
      </c>
      <c r="B578" s="4" t="s">
        <v>230</v>
      </c>
      <c r="C578" s="1">
        <v>2</v>
      </c>
      <c r="D578" s="1" t="s">
        <v>231</v>
      </c>
      <c r="E578" s="1" t="s">
        <v>12</v>
      </c>
      <c r="F578" s="1">
        <v>1</v>
      </c>
      <c r="G578" s="1">
        <v>88</v>
      </c>
      <c r="H578" s="1">
        <v>85</v>
      </c>
      <c r="I578" s="1">
        <v>108</v>
      </c>
    </row>
    <row r="579" spans="1:9" ht="14.25" customHeight="1" x14ac:dyDescent="0.25">
      <c r="A579">
        <v>2023</v>
      </c>
      <c r="B579" s="4" t="s">
        <v>230</v>
      </c>
      <c r="C579" s="1">
        <v>2</v>
      </c>
      <c r="D579" s="1" t="s">
        <v>231</v>
      </c>
      <c r="E579" s="1" t="s">
        <v>12</v>
      </c>
      <c r="F579" s="1">
        <v>2</v>
      </c>
      <c r="G579" s="1">
        <v>88</v>
      </c>
      <c r="H579" s="1">
        <v>90</v>
      </c>
      <c r="I579" s="1">
        <v>96</v>
      </c>
    </row>
    <row r="580" spans="1:9" ht="14.25" customHeight="1" x14ac:dyDescent="0.25">
      <c r="A580">
        <v>2023</v>
      </c>
      <c r="B580" s="4" t="s">
        <v>230</v>
      </c>
      <c r="C580" s="1">
        <v>2</v>
      </c>
      <c r="D580" s="1" t="s">
        <v>231</v>
      </c>
      <c r="E580" s="1" t="s">
        <v>12</v>
      </c>
      <c r="F580" s="1">
        <v>3</v>
      </c>
      <c r="G580" s="1">
        <v>90</v>
      </c>
      <c r="H580" s="1">
        <v>93</v>
      </c>
      <c r="I580" s="1">
        <v>84</v>
      </c>
    </row>
    <row r="581" spans="1:9" ht="14.25" customHeight="1" x14ac:dyDescent="0.25">
      <c r="A581">
        <v>2023</v>
      </c>
      <c r="B581" s="4" t="s">
        <v>230</v>
      </c>
      <c r="C581" s="1">
        <v>2</v>
      </c>
      <c r="D581" s="1" t="s">
        <v>232</v>
      </c>
      <c r="E581" s="1" t="s">
        <v>12</v>
      </c>
      <c r="F581" s="1">
        <v>1</v>
      </c>
      <c r="G581" s="1">
        <v>90</v>
      </c>
      <c r="H581" s="1">
        <v>94</v>
      </c>
      <c r="I581" s="1">
        <v>96</v>
      </c>
    </row>
    <row r="582" spans="1:9" ht="14.25" customHeight="1" x14ac:dyDescent="0.25">
      <c r="A582">
        <v>2023</v>
      </c>
      <c r="B582" s="4" t="s">
        <v>230</v>
      </c>
      <c r="C582" s="1">
        <v>2</v>
      </c>
      <c r="D582" s="1" t="s">
        <v>232</v>
      </c>
      <c r="E582" s="1" t="s">
        <v>12</v>
      </c>
      <c r="F582" s="1">
        <v>2</v>
      </c>
      <c r="G582" s="1">
        <v>91</v>
      </c>
      <c r="H582" s="1">
        <v>76</v>
      </c>
      <c r="I582" s="1">
        <v>108</v>
      </c>
    </row>
    <row r="583" spans="1:9" ht="14.25" customHeight="1" x14ac:dyDescent="0.25">
      <c r="A583">
        <v>2023</v>
      </c>
      <c r="B583" s="4" t="s">
        <v>230</v>
      </c>
      <c r="C583" s="1">
        <v>2</v>
      </c>
      <c r="D583" s="1" t="s">
        <v>232</v>
      </c>
      <c r="E583" s="1" t="s">
        <v>12</v>
      </c>
      <c r="F583" s="1">
        <v>3</v>
      </c>
      <c r="G583" s="1">
        <v>94</v>
      </c>
      <c r="H583" s="1">
        <v>86</v>
      </c>
      <c r="I583" s="1">
        <v>60</v>
      </c>
    </row>
    <row r="584" spans="1:9" ht="14.25" customHeight="1" x14ac:dyDescent="0.25">
      <c r="A584">
        <v>2023</v>
      </c>
      <c r="B584" s="4" t="s">
        <v>233</v>
      </c>
      <c r="C584" s="1">
        <v>1</v>
      </c>
      <c r="D584" s="1" t="s">
        <v>234</v>
      </c>
      <c r="E584" s="1" t="s">
        <v>12</v>
      </c>
      <c r="F584" s="1">
        <v>1</v>
      </c>
      <c r="G584" s="1">
        <v>162</v>
      </c>
      <c r="H584" s="1">
        <v>129</v>
      </c>
      <c r="I584" s="1">
        <v>108</v>
      </c>
    </row>
    <row r="585" spans="1:9" ht="14.25" customHeight="1" x14ac:dyDescent="0.25">
      <c r="A585">
        <v>2023</v>
      </c>
      <c r="B585" s="4" t="s">
        <v>233</v>
      </c>
      <c r="C585" s="1">
        <v>1</v>
      </c>
      <c r="D585" s="1" t="s">
        <v>234</v>
      </c>
      <c r="E585" s="1" t="s">
        <v>12</v>
      </c>
      <c r="F585" s="1">
        <v>2</v>
      </c>
      <c r="G585" s="1">
        <v>159</v>
      </c>
      <c r="H585" s="1">
        <v>123</v>
      </c>
      <c r="I585" s="1">
        <v>60</v>
      </c>
    </row>
    <row r="586" spans="1:9" ht="14.25" customHeight="1" x14ac:dyDescent="0.25">
      <c r="A586">
        <v>2023</v>
      </c>
      <c r="B586" s="4" t="s">
        <v>233</v>
      </c>
      <c r="C586" s="1">
        <v>1</v>
      </c>
      <c r="D586" s="1" t="s">
        <v>234</v>
      </c>
      <c r="E586" s="1" t="s">
        <v>12</v>
      </c>
      <c r="F586" s="1">
        <v>3</v>
      </c>
      <c r="G586" s="1">
        <v>163</v>
      </c>
      <c r="H586" s="1">
        <v>121</v>
      </c>
      <c r="I586" s="1">
        <v>72</v>
      </c>
    </row>
    <row r="587" spans="1:9" ht="14.25" customHeight="1" x14ac:dyDescent="0.25">
      <c r="A587">
        <v>2023</v>
      </c>
      <c r="B587" s="4" t="s">
        <v>216</v>
      </c>
      <c r="C587" s="1">
        <v>1</v>
      </c>
      <c r="D587" s="1" t="s">
        <v>235</v>
      </c>
      <c r="E587" s="1" t="s">
        <v>12</v>
      </c>
      <c r="F587" s="1">
        <v>1</v>
      </c>
      <c r="G587" s="1">
        <v>137</v>
      </c>
      <c r="H587" s="1">
        <v>116</v>
      </c>
      <c r="I587" s="5">
        <v>78</v>
      </c>
    </row>
    <row r="588" spans="1:9" ht="14.25" customHeight="1" x14ac:dyDescent="0.25">
      <c r="A588">
        <v>2023</v>
      </c>
      <c r="B588" s="4" t="s">
        <v>216</v>
      </c>
      <c r="C588" s="1">
        <v>1</v>
      </c>
      <c r="D588" s="1" t="s">
        <v>235</v>
      </c>
      <c r="E588" s="1" t="s">
        <v>12</v>
      </c>
      <c r="F588" s="1">
        <v>2</v>
      </c>
      <c r="G588" s="1">
        <v>139</v>
      </c>
      <c r="H588" s="1">
        <v>128</v>
      </c>
      <c r="I588" s="1">
        <v>84</v>
      </c>
    </row>
    <row r="589" spans="1:9" ht="14.25" customHeight="1" x14ac:dyDescent="0.25">
      <c r="A589">
        <v>2023</v>
      </c>
      <c r="B589" s="4" t="s">
        <v>216</v>
      </c>
      <c r="C589" s="1">
        <v>1</v>
      </c>
      <c r="D589" s="1" t="s">
        <v>235</v>
      </c>
      <c r="E589" s="1" t="s">
        <v>12</v>
      </c>
      <c r="F589" s="1">
        <v>3</v>
      </c>
      <c r="G589" s="1">
        <v>154</v>
      </c>
      <c r="H589" s="1">
        <v>150</v>
      </c>
      <c r="I589" s="1">
        <v>84</v>
      </c>
    </row>
    <row r="590" spans="1:9" ht="14.25" customHeight="1" x14ac:dyDescent="0.25">
      <c r="A590">
        <v>2023</v>
      </c>
      <c r="B590" s="4" t="s">
        <v>224</v>
      </c>
      <c r="C590" s="1">
        <v>1</v>
      </c>
      <c r="D590" s="1" t="s">
        <v>236</v>
      </c>
      <c r="E590" s="1" t="s">
        <v>12</v>
      </c>
      <c r="F590" s="1">
        <v>1</v>
      </c>
      <c r="G590" s="1">
        <v>153</v>
      </c>
      <c r="H590" s="1">
        <v>126</v>
      </c>
      <c r="I590" s="5">
        <v>84</v>
      </c>
    </row>
    <row r="591" spans="1:9" ht="14.25" customHeight="1" x14ac:dyDescent="0.25">
      <c r="A591">
        <v>2023</v>
      </c>
      <c r="B591" s="4" t="s">
        <v>224</v>
      </c>
      <c r="C591" s="1">
        <v>1</v>
      </c>
      <c r="D591" s="1" t="s">
        <v>236</v>
      </c>
      <c r="E591" s="1" t="s">
        <v>12</v>
      </c>
      <c r="F591" s="1">
        <v>2</v>
      </c>
      <c r="G591" s="1">
        <v>139</v>
      </c>
      <c r="H591" s="1">
        <v>116</v>
      </c>
      <c r="I591" s="1">
        <v>84</v>
      </c>
    </row>
    <row r="592" spans="1:9" ht="14.25" customHeight="1" x14ac:dyDescent="0.25">
      <c r="A592">
        <v>2023</v>
      </c>
      <c r="B592" s="4" t="s">
        <v>224</v>
      </c>
      <c r="C592" s="1">
        <v>1</v>
      </c>
      <c r="D592" s="1" t="s">
        <v>236</v>
      </c>
      <c r="E592" s="1" t="s">
        <v>12</v>
      </c>
      <c r="F592" s="1">
        <v>3</v>
      </c>
      <c r="G592" s="1">
        <v>139</v>
      </c>
      <c r="H592" s="1">
        <v>121</v>
      </c>
      <c r="I592" s="1">
        <v>84</v>
      </c>
    </row>
    <row r="593" spans="1:9" ht="14.25" customHeight="1" x14ac:dyDescent="0.25">
      <c r="A593">
        <v>2023</v>
      </c>
      <c r="B593" s="4" t="s">
        <v>14</v>
      </c>
      <c r="C593" s="1">
        <v>1</v>
      </c>
      <c r="D593" s="1" t="s">
        <v>237</v>
      </c>
      <c r="E593" s="1" t="s">
        <v>12</v>
      </c>
      <c r="F593" s="1">
        <v>1</v>
      </c>
      <c r="G593" s="5">
        <v>0</v>
      </c>
      <c r="H593" s="1">
        <v>117</v>
      </c>
      <c r="I593" s="1">
        <v>96</v>
      </c>
    </row>
    <row r="594" spans="1:9" ht="14.25" customHeight="1" x14ac:dyDescent="0.25">
      <c r="A594">
        <v>2023</v>
      </c>
      <c r="B594" s="4" t="s">
        <v>14</v>
      </c>
      <c r="C594" s="1">
        <v>1</v>
      </c>
      <c r="D594" s="1" t="s">
        <v>237</v>
      </c>
      <c r="E594" s="1" t="s">
        <v>12</v>
      </c>
      <c r="F594" s="1">
        <v>2</v>
      </c>
      <c r="G594" s="5">
        <v>0</v>
      </c>
      <c r="H594" s="1">
        <v>100</v>
      </c>
      <c r="I594" s="1">
        <v>84</v>
      </c>
    </row>
    <row r="595" spans="1:9" ht="14.25" customHeight="1" x14ac:dyDescent="0.25">
      <c r="A595">
        <v>2023</v>
      </c>
      <c r="B595" s="4" t="s">
        <v>14</v>
      </c>
      <c r="C595" s="1">
        <v>1</v>
      </c>
      <c r="D595" s="1" t="s">
        <v>237</v>
      </c>
      <c r="E595" s="1" t="s">
        <v>12</v>
      </c>
      <c r="F595" s="1">
        <v>3</v>
      </c>
      <c r="G595" s="5">
        <v>0</v>
      </c>
      <c r="H595" s="1">
        <v>122</v>
      </c>
      <c r="I595" s="1">
        <v>48</v>
      </c>
    </row>
    <row r="596" spans="1:9" ht="14.25" customHeight="1" x14ac:dyDescent="0.25">
      <c r="A596">
        <v>2023</v>
      </c>
      <c r="B596" s="4" t="s">
        <v>224</v>
      </c>
      <c r="C596" s="1">
        <v>1</v>
      </c>
      <c r="D596" s="1" t="s">
        <v>238</v>
      </c>
      <c r="E596" s="1" t="s">
        <v>12</v>
      </c>
      <c r="F596" s="1">
        <v>1</v>
      </c>
      <c r="G596" s="1">
        <v>121</v>
      </c>
      <c r="H596" s="1">
        <v>109</v>
      </c>
      <c r="I596" s="1">
        <v>84</v>
      </c>
    </row>
    <row r="597" spans="1:9" ht="14.25" customHeight="1" x14ac:dyDescent="0.25">
      <c r="A597">
        <v>2023</v>
      </c>
      <c r="B597" s="4" t="s">
        <v>224</v>
      </c>
      <c r="C597" s="1">
        <v>1</v>
      </c>
      <c r="D597" s="1" t="s">
        <v>238</v>
      </c>
      <c r="E597" s="1" t="s">
        <v>12</v>
      </c>
      <c r="F597" s="1">
        <v>2</v>
      </c>
      <c r="G597" s="1">
        <v>122</v>
      </c>
      <c r="H597" s="1">
        <v>115</v>
      </c>
      <c r="I597" s="1">
        <v>60</v>
      </c>
    </row>
    <row r="598" spans="1:9" ht="14.25" customHeight="1" x14ac:dyDescent="0.25">
      <c r="A598">
        <v>2023</v>
      </c>
      <c r="B598" s="4" t="s">
        <v>224</v>
      </c>
      <c r="C598" s="1">
        <v>1</v>
      </c>
      <c r="D598" s="1" t="s">
        <v>238</v>
      </c>
      <c r="E598" s="1" t="s">
        <v>12</v>
      </c>
      <c r="F598" s="1">
        <v>3</v>
      </c>
      <c r="G598" s="1">
        <v>127</v>
      </c>
      <c r="H598" s="1">
        <v>130</v>
      </c>
      <c r="I598" s="1">
        <v>72</v>
      </c>
    </row>
    <row r="599" spans="1:9" ht="14.25" customHeight="1" x14ac:dyDescent="0.25">
      <c r="A599">
        <v>2023</v>
      </c>
      <c r="B599" s="4" t="s">
        <v>224</v>
      </c>
      <c r="C599" s="1">
        <v>1</v>
      </c>
      <c r="D599" s="1" t="s">
        <v>239</v>
      </c>
      <c r="E599" s="1" t="s">
        <v>12</v>
      </c>
      <c r="F599" s="1">
        <v>1</v>
      </c>
      <c r="G599" s="1">
        <v>136</v>
      </c>
      <c r="H599" s="1">
        <v>127</v>
      </c>
      <c r="I599" s="1">
        <v>132</v>
      </c>
    </row>
    <row r="600" spans="1:9" ht="14.25" customHeight="1" x14ac:dyDescent="0.25">
      <c r="A600">
        <v>2023</v>
      </c>
      <c r="B600" s="4" t="s">
        <v>224</v>
      </c>
      <c r="C600" s="1">
        <v>1</v>
      </c>
      <c r="D600" s="1" t="s">
        <v>239</v>
      </c>
      <c r="E600" s="1" t="s">
        <v>12</v>
      </c>
      <c r="F600" s="1">
        <v>2</v>
      </c>
      <c r="G600" s="1">
        <v>140</v>
      </c>
      <c r="H600" s="1">
        <v>128</v>
      </c>
      <c r="I600" s="1">
        <v>84</v>
      </c>
    </row>
    <row r="601" spans="1:9" ht="14.25" customHeight="1" x14ac:dyDescent="0.25">
      <c r="A601">
        <v>2023</v>
      </c>
      <c r="B601" s="4" t="s">
        <v>224</v>
      </c>
      <c r="C601" s="1">
        <v>1</v>
      </c>
      <c r="D601" s="1" t="s">
        <v>239</v>
      </c>
      <c r="E601" s="1" t="s">
        <v>12</v>
      </c>
      <c r="F601" s="1">
        <v>3</v>
      </c>
      <c r="G601" s="1">
        <v>138</v>
      </c>
      <c r="H601" s="1">
        <v>128</v>
      </c>
      <c r="I601" s="1">
        <v>84</v>
      </c>
    </row>
    <row r="602" spans="1:9" ht="14.25" customHeight="1" x14ac:dyDescent="0.25">
      <c r="A602">
        <v>2023</v>
      </c>
      <c r="B602" s="4" t="s">
        <v>230</v>
      </c>
      <c r="C602" s="1">
        <v>2</v>
      </c>
      <c r="D602" s="1" t="s">
        <v>240</v>
      </c>
      <c r="E602" s="1" t="s">
        <v>12</v>
      </c>
      <c r="F602" s="1">
        <v>1</v>
      </c>
      <c r="G602" s="1">
        <v>93</v>
      </c>
      <c r="H602" s="1">
        <v>125</v>
      </c>
      <c r="I602" s="1">
        <v>60</v>
      </c>
    </row>
    <row r="603" spans="1:9" ht="14.25" customHeight="1" x14ac:dyDescent="0.25">
      <c r="A603">
        <v>2023</v>
      </c>
      <c r="B603" s="4" t="s">
        <v>230</v>
      </c>
      <c r="C603" s="1">
        <v>2</v>
      </c>
      <c r="D603" s="1" t="s">
        <v>240</v>
      </c>
      <c r="E603" s="1" t="s">
        <v>12</v>
      </c>
      <c r="F603" s="1">
        <v>2</v>
      </c>
      <c r="G603" s="1">
        <v>94</v>
      </c>
      <c r="H603" s="1">
        <v>110</v>
      </c>
      <c r="I603" s="5">
        <v>48</v>
      </c>
    </row>
    <row r="604" spans="1:9" ht="14.25" customHeight="1" x14ac:dyDescent="0.25">
      <c r="A604">
        <v>2023</v>
      </c>
      <c r="B604" s="4" t="s">
        <v>230</v>
      </c>
      <c r="C604" s="1">
        <v>2</v>
      </c>
      <c r="D604" s="1" t="s">
        <v>240</v>
      </c>
      <c r="E604" s="1" t="s">
        <v>12</v>
      </c>
      <c r="F604" s="1">
        <v>3</v>
      </c>
      <c r="G604" s="1">
        <v>92</v>
      </c>
      <c r="H604" s="1">
        <v>116</v>
      </c>
      <c r="I604" s="1">
        <v>36</v>
      </c>
    </row>
    <row r="605" spans="1:9" ht="14.25" customHeight="1" x14ac:dyDescent="0.25">
      <c r="A605">
        <v>2023</v>
      </c>
      <c r="B605" s="4" t="s">
        <v>230</v>
      </c>
      <c r="C605" s="1">
        <v>2</v>
      </c>
      <c r="D605" s="1" t="s">
        <v>241</v>
      </c>
      <c r="E605" s="1" t="s">
        <v>12</v>
      </c>
      <c r="F605" s="1">
        <v>1</v>
      </c>
      <c r="G605" s="1">
        <v>84</v>
      </c>
      <c r="H605" s="1">
        <v>99</v>
      </c>
      <c r="I605" s="5">
        <v>48</v>
      </c>
    </row>
    <row r="606" spans="1:9" ht="14.25" customHeight="1" x14ac:dyDescent="0.25">
      <c r="A606">
        <v>2023</v>
      </c>
      <c r="B606" s="4" t="s">
        <v>230</v>
      </c>
      <c r="C606" s="1">
        <v>2</v>
      </c>
      <c r="D606" s="1" t="s">
        <v>241</v>
      </c>
      <c r="E606" s="1" t="s">
        <v>12</v>
      </c>
      <c r="F606" s="1">
        <v>2</v>
      </c>
      <c r="G606" s="1">
        <v>85</v>
      </c>
      <c r="H606" s="1">
        <v>98</v>
      </c>
      <c r="I606" s="5">
        <v>48</v>
      </c>
    </row>
    <row r="607" spans="1:9" ht="14.25" customHeight="1" x14ac:dyDescent="0.25">
      <c r="A607">
        <v>2023</v>
      </c>
      <c r="B607" s="4" t="s">
        <v>230</v>
      </c>
      <c r="C607" s="1">
        <v>2</v>
      </c>
      <c r="D607" s="1" t="s">
        <v>241</v>
      </c>
      <c r="E607" s="1" t="s">
        <v>12</v>
      </c>
      <c r="F607" s="1">
        <v>3</v>
      </c>
      <c r="G607" s="1">
        <v>84</v>
      </c>
      <c r="H607" s="1">
        <v>87</v>
      </c>
      <c r="I607" s="1">
        <v>60</v>
      </c>
    </row>
    <row r="608" spans="1:9" ht="14.25" customHeight="1" x14ac:dyDescent="0.25">
      <c r="A608">
        <v>2023</v>
      </c>
      <c r="B608" s="4" t="s">
        <v>230</v>
      </c>
      <c r="C608" s="1">
        <v>1</v>
      </c>
      <c r="D608" s="1" t="s">
        <v>242</v>
      </c>
      <c r="E608" s="1" t="s">
        <v>12</v>
      </c>
      <c r="F608" s="1">
        <v>1</v>
      </c>
      <c r="G608" s="1">
        <v>113</v>
      </c>
      <c r="H608" s="1">
        <v>114</v>
      </c>
      <c r="I608" s="1">
        <v>96</v>
      </c>
    </row>
    <row r="609" spans="1:9" ht="14.25" customHeight="1" x14ac:dyDescent="0.25">
      <c r="A609">
        <v>2023</v>
      </c>
      <c r="B609" s="4" t="s">
        <v>230</v>
      </c>
      <c r="C609" s="1">
        <v>1</v>
      </c>
      <c r="D609" s="1" t="s">
        <v>242</v>
      </c>
      <c r="E609" s="1" t="s">
        <v>12</v>
      </c>
      <c r="F609" s="1">
        <v>2</v>
      </c>
      <c r="G609" s="1">
        <v>114</v>
      </c>
      <c r="H609" s="1">
        <v>113</v>
      </c>
      <c r="I609" s="1">
        <v>72</v>
      </c>
    </row>
    <row r="610" spans="1:9" ht="14.25" customHeight="1" x14ac:dyDescent="0.25">
      <c r="A610">
        <v>2023</v>
      </c>
      <c r="B610" s="4" t="s">
        <v>230</v>
      </c>
      <c r="C610" s="1">
        <v>1</v>
      </c>
      <c r="D610" s="1" t="s">
        <v>242</v>
      </c>
      <c r="E610" s="1" t="s">
        <v>12</v>
      </c>
      <c r="F610" s="1">
        <v>3</v>
      </c>
      <c r="G610" s="1">
        <v>116</v>
      </c>
      <c r="H610" s="1">
        <v>113</v>
      </c>
      <c r="I610" s="1">
        <v>84</v>
      </c>
    </row>
    <row r="611" spans="1:9" ht="14.25" customHeight="1" x14ac:dyDescent="0.25">
      <c r="A611">
        <v>2023</v>
      </c>
      <c r="B611" s="4" t="s">
        <v>230</v>
      </c>
      <c r="C611" s="1">
        <v>1</v>
      </c>
      <c r="D611" s="1" t="s">
        <v>243</v>
      </c>
      <c r="E611" s="1" t="s">
        <v>12</v>
      </c>
      <c r="F611" s="1">
        <v>1</v>
      </c>
      <c r="G611" s="1">
        <v>107</v>
      </c>
      <c r="H611" s="1">
        <v>105</v>
      </c>
      <c r="I611" s="1">
        <v>108</v>
      </c>
    </row>
    <row r="612" spans="1:9" ht="14.25" customHeight="1" x14ac:dyDescent="0.25">
      <c r="A612">
        <v>2023</v>
      </c>
      <c r="B612" s="4" t="s">
        <v>230</v>
      </c>
      <c r="C612" s="1">
        <v>1</v>
      </c>
      <c r="D612" s="1" t="s">
        <v>243</v>
      </c>
      <c r="E612" s="1" t="s">
        <v>12</v>
      </c>
      <c r="F612" s="1">
        <v>2</v>
      </c>
      <c r="G612" s="1">
        <v>111</v>
      </c>
      <c r="H612" s="1">
        <v>115</v>
      </c>
      <c r="I612" s="1">
        <v>96</v>
      </c>
    </row>
    <row r="613" spans="1:9" ht="14.25" customHeight="1" x14ac:dyDescent="0.25">
      <c r="A613">
        <v>2023</v>
      </c>
      <c r="B613" s="4" t="s">
        <v>230</v>
      </c>
      <c r="C613" s="1">
        <v>1</v>
      </c>
      <c r="D613" s="1" t="s">
        <v>243</v>
      </c>
      <c r="E613" s="1" t="s">
        <v>12</v>
      </c>
      <c r="F613" s="1">
        <v>3</v>
      </c>
      <c r="G613" s="1">
        <v>109</v>
      </c>
      <c r="H613" s="1">
        <v>103</v>
      </c>
      <c r="I613" s="1">
        <v>132</v>
      </c>
    </row>
    <row r="614" spans="1:9" ht="14.25" customHeight="1" x14ac:dyDescent="0.25">
      <c r="A614">
        <v>2023</v>
      </c>
      <c r="B614" s="4" t="s">
        <v>230</v>
      </c>
      <c r="C614" s="1">
        <v>1</v>
      </c>
      <c r="D614" s="1" t="s">
        <v>244</v>
      </c>
      <c r="E614" s="1" t="s">
        <v>12</v>
      </c>
      <c r="F614" s="1">
        <v>1</v>
      </c>
      <c r="G614" s="1">
        <v>104</v>
      </c>
      <c r="H614" s="1">
        <v>108</v>
      </c>
      <c r="I614" s="1">
        <v>72</v>
      </c>
    </row>
    <row r="615" spans="1:9" ht="14.25" customHeight="1" x14ac:dyDescent="0.25">
      <c r="A615">
        <v>2023</v>
      </c>
      <c r="B615" s="4" t="s">
        <v>230</v>
      </c>
      <c r="C615" s="1">
        <v>1</v>
      </c>
      <c r="D615" s="1" t="s">
        <v>244</v>
      </c>
      <c r="E615" s="1" t="s">
        <v>12</v>
      </c>
      <c r="F615" s="1">
        <v>2</v>
      </c>
      <c r="G615" s="1">
        <v>110</v>
      </c>
      <c r="H615" s="1">
        <v>93</v>
      </c>
      <c r="I615" s="1">
        <v>48</v>
      </c>
    </row>
    <row r="616" spans="1:9" ht="14.25" customHeight="1" x14ac:dyDescent="0.25">
      <c r="A616">
        <v>2023</v>
      </c>
      <c r="B616" s="4" t="s">
        <v>230</v>
      </c>
      <c r="C616" s="1">
        <v>1</v>
      </c>
      <c r="D616" s="1" t="s">
        <v>244</v>
      </c>
      <c r="E616" s="1" t="s">
        <v>12</v>
      </c>
      <c r="F616" s="1">
        <v>3</v>
      </c>
      <c r="G616" s="1">
        <v>109</v>
      </c>
      <c r="H616" s="1">
        <v>96</v>
      </c>
      <c r="I616" s="1">
        <v>84</v>
      </c>
    </row>
    <row r="617" spans="1:9" ht="14.25" customHeight="1" x14ac:dyDescent="0.25">
      <c r="A617">
        <v>2023</v>
      </c>
      <c r="B617" s="4" t="s">
        <v>245</v>
      </c>
      <c r="C617" s="1">
        <v>5</v>
      </c>
      <c r="D617" s="1" t="s">
        <v>246</v>
      </c>
      <c r="E617" s="1" t="s">
        <v>12</v>
      </c>
      <c r="F617" s="1">
        <v>1</v>
      </c>
      <c r="G617" s="1">
        <v>128</v>
      </c>
      <c r="H617" s="1">
        <v>124</v>
      </c>
      <c r="I617" s="1">
        <v>120</v>
      </c>
    </row>
    <row r="618" spans="1:9" ht="14.25" customHeight="1" x14ac:dyDescent="0.25">
      <c r="A618">
        <v>2023</v>
      </c>
      <c r="B618" s="4" t="s">
        <v>245</v>
      </c>
      <c r="C618" s="1">
        <v>5</v>
      </c>
      <c r="D618" s="1" t="s">
        <v>246</v>
      </c>
      <c r="E618" s="1" t="s">
        <v>12</v>
      </c>
      <c r="F618" s="1">
        <v>2</v>
      </c>
      <c r="G618" s="1">
        <v>129</v>
      </c>
      <c r="H618" s="1">
        <v>140</v>
      </c>
      <c r="I618" s="1">
        <v>72</v>
      </c>
    </row>
    <row r="619" spans="1:9" ht="14.25" customHeight="1" x14ac:dyDescent="0.25">
      <c r="A619">
        <v>2023</v>
      </c>
      <c r="B619" s="4" t="s">
        <v>245</v>
      </c>
      <c r="C619" s="1">
        <v>5</v>
      </c>
      <c r="D619" s="1" t="s">
        <v>246</v>
      </c>
      <c r="E619" s="1" t="s">
        <v>12</v>
      </c>
      <c r="F619" s="1">
        <v>3</v>
      </c>
      <c r="G619" s="1">
        <v>135</v>
      </c>
      <c r="H619" s="1">
        <v>135</v>
      </c>
      <c r="I619" s="1">
        <v>72</v>
      </c>
    </row>
    <row r="620" spans="1:9" ht="14.25" customHeight="1" x14ac:dyDescent="0.25">
      <c r="A620">
        <v>2023</v>
      </c>
      <c r="B620" s="4" t="s">
        <v>247</v>
      </c>
      <c r="C620" s="1">
        <v>2</v>
      </c>
      <c r="D620" s="1" t="s">
        <v>248</v>
      </c>
      <c r="E620" s="1" t="s">
        <v>12</v>
      </c>
      <c r="F620" s="1">
        <v>1</v>
      </c>
      <c r="G620" s="1">
        <v>108</v>
      </c>
      <c r="H620" s="1">
        <v>152</v>
      </c>
      <c r="I620" s="1">
        <v>60</v>
      </c>
    </row>
    <row r="621" spans="1:9" ht="14.25" customHeight="1" x14ac:dyDescent="0.25">
      <c r="A621">
        <v>2023</v>
      </c>
      <c r="B621" s="4" t="s">
        <v>247</v>
      </c>
      <c r="C621" s="1">
        <v>2</v>
      </c>
      <c r="D621" s="1" t="s">
        <v>248</v>
      </c>
      <c r="E621" s="1" t="s">
        <v>12</v>
      </c>
      <c r="F621" s="1">
        <v>2</v>
      </c>
      <c r="G621" s="1">
        <v>108</v>
      </c>
      <c r="H621" s="1">
        <v>138</v>
      </c>
      <c r="I621" s="1">
        <v>84</v>
      </c>
    </row>
    <row r="622" spans="1:9" ht="14.25" customHeight="1" x14ac:dyDescent="0.25">
      <c r="A622">
        <v>2023</v>
      </c>
      <c r="B622" s="4" t="s">
        <v>247</v>
      </c>
      <c r="C622" s="1">
        <v>2</v>
      </c>
      <c r="D622" s="1" t="s">
        <v>248</v>
      </c>
      <c r="E622" s="1" t="s">
        <v>12</v>
      </c>
      <c r="F622" s="1">
        <v>3</v>
      </c>
      <c r="G622" s="1">
        <v>109</v>
      </c>
      <c r="H622" s="1">
        <v>130</v>
      </c>
      <c r="I622" s="1">
        <v>96</v>
      </c>
    </row>
    <row r="623" spans="1:9" ht="14.25" customHeight="1" x14ac:dyDescent="0.25">
      <c r="A623">
        <v>2023</v>
      </c>
      <c r="B623" s="4" t="s">
        <v>219</v>
      </c>
      <c r="C623" s="1">
        <v>2</v>
      </c>
      <c r="D623" s="1" t="s">
        <v>249</v>
      </c>
      <c r="E623" s="1" t="s">
        <v>12</v>
      </c>
      <c r="F623" s="1">
        <v>1</v>
      </c>
      <c r="G623" s="1">
        <v>107</v>
      </c>
      <c r="H623" s="1">
        <v>105</v>
      </c>
      <c r="I623" s="1">
        <v>84</v>
      </c>
    </row>
    <row r="624" spans="1:9" ht="14.25" customHeight="1" x14ac:dyDescent="0.25">
      <c r="A624">
        <v>2023</v>
      </c>
      <c r="B624" s="4" t="s">
        <v>219</v>
      </c>
      <c r="C624" s="1">
        <v>2</v>
      </c>
      <c r="D624" s="1" t="s">
        <v>249</v>
      </c>
      <c r="E624" s="1" t="s">
        <v>12</v>
      </c>
      <c r="F624" s="1">
        <v>2</v>
      </c>
      <c r="G624" s="1">
        <v>106</v>
      </c>
      <c r="H624" s="1">
        <v>110</v>
      </c>
      <c r="I624" s="1">
        <v>96</v>
      </c>
    </row>
    <row r="625" spans="1:9" ht="14.25" customHeight="1" x14ac:dyDescent="0.25">
      <c r="A625">
        <v>2023</v>
      </c>
      <c r="B625" s="4" t="s">
        <v>219</v>
      </c>
      <c r="C625" s="1">
        <v>2</v>
      </c>
      <c r="D625" s="1" t="s">
        <v>249</v>
      </c>
      <c r="E625" s="1" t="s">
        <v>12</v>
      </c>
      <c r="F625" s="1">
        <v>3</v>
      </c>
      <c r="G625" s="5">
        <v>107</v>
      </c>
      <c r="H625" s="1">
        <v>112</v>
      </c>
      <c r="I625" s="1">
        <v>96</v>
      </c>
    </row>
    <row r="626" spans="1:9" ht="14.25" customHeight="1" x14ac:dyDescent="0.25">
      <c r="A626">
        <v>2023</v>
      </c>
      <c r="B626" s="4" t="s">
        <v>245</v>
      </c>
      <c r="C626" s="1">
        <v>2</v>
      </c>
      <c r="D626" s="1" t="s">
        <v>250</v>
      </c>
      <c r="E626" s="1" t="s">
        <v>12</v>
      </c>
      <c r="F626" s="1">
        <v>1</v>
      </c>
      <c r="G626" s="1">
        <v>91</v>
      </c>
      <c r="H626" s="1">
        <v>105</v>
      </c>
      <c r="I626" s="1">
        <v>108</v>
      </c>
    </row>
    <row r="627" spans="1:9" ht="14.25" customHeight="1" x14ac:dyDescent="0.25">
      <c r="A627">
        <v>2023</v>
      </c>
      <c r="B627" s="4" t="s">
        <v>245</v>
      </c>
      <c r="C627" s="1">
        <v>2</v>
      </c>
      <c r="D627" s="1" t="s">
        <v>250</v>
      </c>
      <c r="E627" s="1" t="s">
        <v>12</v>
      </c>
      <c r="F627" s="1">
        <v>2</v>
      </c>
      <c r="G627" s="1">
        <v>90</v>
      </c>
      <c r="H627" s="1">
        <v>99</v>
      </c>
      <c r="I627" s="1">
        <v>96</v>
      </c>
    </row>
    <row r="628" spans="1:9" ht="14.25" customHeight="1" x14ac:dyDescent="0.25">
      <c r="A628">
        <v>2023</v>
      </c>
      <c r="B628" s="4" t="s">
        <v>245</v>
      </c>
      <c r="C628" s="1">
        <v>2</v>
      </c>
      <c r="D628" s="1" t="s">
        <v>250</v>
      </c>
      <c r="E628" s="1" t="s">
        <v>12</v>
      </c>
      <c r="F628" s="1">
        <v>3</v>
      </c>
      <c r="G628" s="1">
        <v>94</v>
      </c>
      <c r="H628" s="1">
        <v>108</v>
      </c>
      <c r="I628" s="1">
        <v>60</v>
      </c>
    </row>
    <row r="629" spans="1:9" ht="14.25" customHeight="1" x14ac:dyDescent="0.25">
      <c r="A629">
        <v>2023</v>
      </c>
      <c r="B629" s="4" t="s">
        <v>172</v>
      </c>
      <c r="C629" s="1">
        <v>4</v>
      </c>
      <c r="D629" s="1" t="s">
        <v>251</v>
      </c>
      <c r="E629" s="1" t="s">
        <v>12</v>
      </c>
      <c r="F629" s="1">
        <v>1</v>
      </c>
      <c r="G629" s="1">
        <v>102</v>
      </c>
      <c r="H629" s="1">
        <v>130</v>
      </c>
      <c r="I629" s="1">
        <v>72</v>
      </c>
    </row>
    <row r="630" spans="1:9" ht="14.25" customHeight="1" x14ac:dyDescent="0.25">
      <c r="A630">
        <v>2023</v>
      </c>
      <c r="B630" s="4" t="s">
        <v>172</v>
      </c>
      <c r="C630" s="1">
        <v>4</v>
      </c>
      <c r="D630" s="1" t="s">
        <v>251</v>
      </c>
      <c r="E630" s="1" t="s">
        <v>12</v>
      </c>
      <c r="F630" s="1">
        <v>2</v>
      </c>
      <c r="G630" s="1">
        <v>106</v>
      </c>
      <c r="H630" s="1">
        <v>137</v>
      </c>
      <c r="I630" s="1">
        <v>60</v>
      </c>
    </row>
    <row r="631" spans="1:9" ht="14.25" customHeight="1" x14ac:dyDescent="0.25">
      <c r="A631">
        <v>2023</v>
      </c>
      <c r="B631" s="4" t="s">
        <v>172</v>
      </c>
      <c r="C631" s="1">
        <v>4</v>
      </c>
      <c r="D631" s="1" t="s">
        <v>251</v>
      </c>
      <c r="E631" s="1" t="s">
        <v>12</v>
      </c>
      <c r="F631" s="1">
        <v>3</v>
      </c>
      <c r="G631" s="1">
        <v>103</v>
      </c>
      <c r="H631" s="1">
        <v>134</v>
      </c>
      <c r="I631" s="1">
        <v>96</v>
      </c>
    </row>
    <row r="632" spans="1:9" ht="14.25" customHeight="1" x14ac:dyDescent="0.25">
      <c r="A632">
        <v>2023</v>
      </c>
      <c r="B632" s="4" t="s">
        <v>14</v>
      </c>
      <c r="C632" s="1">
        <v>1</v>
      </c>
      <c r="D632" s="1" t="s">
        <v>252</v>
      </c>
      <c r="E632" s="1" t="s">
        <v>12</v>
      </c>
      <c r="F632" s="1">
        <v>1</v>
      </c>
      <c r="G632" s="5">
        <v>162</v>
      </c>
      <c r="H632" s="1">
        <v>105</v>
      </c>
      <c r="I632" s="1">
        <v>84</v>
      </c>
    </row>
    <row r="633" spans="1:9" ht="14.25" customHeight="1" x14ac:dyDescent="0.25">
      <c r="A633">
        <v>2023</v>
      </c>
      <c r="B633" s="4" t="s">
        <v>14</v>
      </c>
      <c r="C633" s="1">
        <v>1</v>
      </c>
      <c r="D633" s="1" t="s">
        <v>252</v>
      </c>
      <c r="E633" s="1" t="s">
        <v>12</v>
      </c>
      <c r="F633" s="1">
        <v>2</v>
      </c>
      <c r="G633" s="1">
        <v>162</v>
      </c>
      <c r="H633" s="1">
        <v>88</v>
      </c>
      <c r="I633" s="1">
        <v>72</v>
      </c>
    </row>
    <row r="634" spans="1:9" ht="14.25" customHeight="1" x14ac:dyDescent="0.25">
      <c r="A634">
        <v>2023</v>
      </c>
      <c r="B634" s="4" t="s">
        <v>14</v>
      </c>
      <c r="C634" s="1">
        <v>1</v>
      </c>
      <c r="D634" s="1" t="s">
        <v>252</v>
      </c>
      <c r="E634" s="1" t="s">
        <v>12</v>
      </c>
      <c r="F634" s="1">
        <v>3</v>
      </c>
      <c r="G634" s="1">
        <v>154</v>
      </c>
      <c r="H634" s="1">
        <v>107</v>
      </c>
      <c r="I634" s="1">
        <v>48</v>
      </c>
    </row>
    <row r="635" spans="1:9" ht="14.25" customHeight="1" x14ac:dyDescent="0.25">
      <c r="A635">
        <v>2023</v>
      </c>
      <c r="B635" s="4" t="s">
        <v>14</v>
      </c>
      <c r="C635" s="1">
        <v>1</v>
      </c>
      <c r="D635" s="1" t="s">
        <v>253</v>
      </c>
      <c r="E635" s="1" t="s">
        <v>12</v>
      </c>
      <c r="F635" s="1">
        <v>1</v>
      </c>
      <c r="G635" s="1">
        <v>122</v>
      </c>
      <c r="H635" s="1">
        <v>143</v>
      </c>
      <c r="I635" s="1">
        <v>108</v>
      </c>
    </row>
    <row r="636" spans="1:9" ht="14.25" customHeight="1" x14ac:dyDescent="0.25">
      <c r="A636">
        <v>2023</v>
      </c>
      <c r="B636" s="4" t="s">
        <v>14</v>
      </c>
      <c r="C636" s="1">
        <v>1</v>
      </c>
      <c r="D636" s="1" t="s">
        <v>253</v>
      </c>
      <c r="E636" s="1" t="s">
        <v>12</v>
      </c>
      <c r="F636" s="1">
        <v>2</v>
      </c>
      <c r="G636" s="1">
        <v>128</v>
      </c>
      <c r="H636" s="1">
        <v>142</v>
      </c>
      <c r="I636" s="1">
        <v>84</v>
      </c>
    </row>
    <row r="637" spans="1:9" ht="14.25" customHeight="1" x14ac:dyDescent="0.25">
      <c r="A637">
        <v>2023</v>
      </c>
      <c r="B637" s="4" t="s">
        <v>14</v>
      </c>
      <c r="C637" s="1">
        <v>1</v>
      </c>
      <c r="D637" s="1" t="s">
        <v>253</v>
      </c>
      <c r="E637" s="1" t="s">
        <v>12</v>
      </c>
      <c r="F637" s="1">
        <v>3</v>
      </c>
      <c r="G637" s="1">
        <v>127</v>
      </c>
      <c r="H637" s="1">
        <v>141</v>
      </c>
      <c r="I637" s="1">
        <v>84</v>
      </c>
    </row>
    <row r="638" spans="1:9" ht="14.25" customHeight="1" x14ac:dyDescent="0.25">
      <c r="A638">
        <v>2023</v>
      </c>
      <c r="B638" s="4" t="s">
        <v>14</v>
      </c>
      <c r="C638" s="1">
        <v>1</v>
      </c>
      <c r="D638" s="1" t="s">
        <v>254</v>
      </c>
      <c r="E638" s="1" t="s">
        <v>12</v>
      </c>
      <c r="F638" s="1">
        <v>1</v>
      </c>
      <c r="G638" s="1">
        <v>154</v>
      </c>
      <c r="H638" s="1">
        <v>121</v>
      </c>
      <c r="I638" s="1">
        <v>84</v>
      </c>
    </row>
    <row r="639" spans="1:9" ht="14.25" customHeight="1" x14ac:dyDescent="0.25">
      <c r="A639">
        <v>2023</v>
      </c>
      <c r="B639" s="4" t="s">
        <v>14</v>
      </c>
      <c r="C639" s="1">
        <v>1</v>
      </c>
      <c r="D639" s="1" t="s">
        <v>254</v>
      </c>
      <c r="E639" s="1" t="s">
        <v>12</v>
      </c>
      <c r="F639" s="1">
        <v>2</v>
      </c>
      <c r="G639" s="1">
        <v>162</v>
      </c>
      <c r="H639" s="1">
        <v>108</v>
      </c>
      <c r="I639" s="1">
        <v>48</v>
      </c>
    </row>
    <row r="640" spans="1:9" ht="14.25" customHeight="1" x14ac:dyDescent="0.25">
      <c r="A640">
        <v>2023</v>
      </c>
      <c r="B640" s="4" t="s">
        <v>14</v>
      </c>
      <c r="C640" s="1">
        <v>1</v>
      </c>
      <c r="D640" s="1" t="s">
        <v>254</v>
      </c>
      <c r="E640" s="1" t="s">
        <v>12</v>
      </c>
      <c r="F640" s="1">
        <v>3</v>
      </c>
      <c r="G640" s="1">
        <v>160</v>
      </c>
      <c r="H640" s="1">
        <v>118</v>
      </c>
      <c r="I640" s="1">
        <v>36</v>
      </c>
    </row>
    <row r="641" spans="1:9" ht="14.25" customHeight="1" x14ac:dyDescent="0.25">
      <c r="A641">
        <v>2023</v>
      </c>
      <c r="B641" s="4" t="s">
        <v>14</v>
      </c>
      <c r="C641" s="1">
        <v>1</v>
      </c>
      <c r="D641" s="1" t="s">
        <v>255</v>
      </c>
      <c r="E641" s="1" t="s">
        <v>12</v>
      </c>
      <c r="F641" s="1">
        <v>1</v>
      </c>
      <c r="G641" s="1">
        <v>128</v>
      </c>
      <c r="H641" s="1">
        <v>115</v>
      </c>
      <c r="I641" s="1">
        <v>48</v>
      </c>
    </row>
    <row r="642" spans="1:9" ht="14.25" customHeight="1" x14ac:dyDescent="0.25">
      <c r="A642">
        <v>2023</v>
      </c>
      <c r="B642" s="4" t="s">
        <v>14</v>
      </c>
      <c r="C642" s="1">
        <v>1</v>
      </c>
      <c r="D642" s="1" t="s">
        <v>255</v>
      </c>
      <c r="E642" s="1" t="s">
        <v>12</v>
      </c>
      <c r="F642" s="1">
        <v>2</v>
      </c>
      <c r="G642" s="1">
        <v>137</v>
      </c>
      <c r="H642" s="1">
        <v>92</v>
      </c>
      <c r="I642" s="1">
        <v>36</v>
      </c>
    </row>
    <row r="643" spans="1:9" ht="14.25" customHeight="1" x14ac:dyDescent="0.25">
      <c r="A643">
        <v>2023</v>
      </c>
      <c r="B643" s="4" t="s">
        <v>14</v>
      </c>
      <c r="C643" s="1">
        <v>1</v>
      </c>
      <c r="D643" s="1" t="s">
        <v>255</v>
      </c>
      <c r="E643" s="1" t="s">
        <v>12</v>
      </c>
      <c r="F643" s="1">
        <v>3</v>
      </c>
      <c r="G643" s="1">
        <v>137</v>
      </c>
      <c r="H643" s="1">
        <v>120</v>
      </c>
      <c r="I643" s="1">
        <v>12</v>
      </c>
    </row>
    <row r="644" spans="1:9" ht="14.25" customHeight="1" x14ac:dyDescent="0.25">
      <c r="A644">
        <v>2023</v>
      </c>
      <c r="B644" s="4" t="s">
        <v>14</v>
      </c>
      <c r="C644" s="1" t="s">
        <v>20</v>
      </c>
      <c r="D644" s="1" t="s">
        <v>256</v>
      </c>
      <c r="E644" s="1" t="s">
        <v>12</v>
      </c>
      <c r="F644" s="1">
        <v>1</v>
      </c>
      <c r="G644" s="1">
        <v>141</v>
      </c>
      <c r="H644" s="1">
        <v>102</v>
      </c>
      <c r="I644" s="5">
        <v>48</v>
      </c>
    </row>
    <row r="645" spans="1:9" ht="14.25" customHeight="1" x14ac:dyDescent="0.25">
      <c r="A645">
        <v>2023</v>
      </c>
      <c r="B645" s="4" t="s">
        <v>14</v>
      </c>
      <c r="C645" s="1" t="s">
        <v>20</v>
      </c>
      <c r="D645" s="1" t="s">
        <v>256</v>
      </c>
      <c r="E645" s="1" t="s">
        <v>12</v>
      </c>
      <c r="F645" s="1">
        <v>2</v>
      </c>
      <c r="G645" s="1">
        <v>153</v>
      </c>
      <c r="H645" s="1">
        <v>125</v>
      </c>
      <c r="I645" s="1">
        <v>36</v>
      </c>
    </row>
    <row r="646" spans="1:9" ht="14.25" customHeight="1" x14ac:dyDescent="0.25">
      <c r="A646">
        <v>2023</v>
      </c>
      <c r="B646" s="4" t="s">
        <v>14</v>
      </c>
      <c r="C646" s="1" t="s">
        <v>20</v>
      </c>
      <c r="D646" s="1" t="s">
        <v>256</v>
      </c>
      <c r="E646" s="1" t="s">
        <v>12</v>
      </c>
      <c r="F646" s="1">
        <v>3</v>
      </c>
      <c r="G646" s="1">
        <v>143</v>
      </c>
      <c r="H646" s="1">
        <v>114</v>
      </c>
      <c r="I646" s="1">
        <v>36</v>
      </c>
    </row>
    <row r="647" spans="1:9" ht="14.25" customHeight="1" x14ac:dyDescent="0.25">
      <c r="A647">
        <v>2023</v>
      </c>
      <c r="B647" s="4" t="s">
        <v>14</v>
      </c>
      <c r="C647" s="1">
        <v>1</v>
      </c>
      <c r="D647" s="1" t="s">
        <v>257</v>
      </c>
      <c r="E647" s="1" t="s">
        <v>12</v>
      </c>
      <c r="F647" s="1">
        <v>1</v>
      </c>
      <c r="G647" s="1">
        <v>141</v>
      </c>
      <c r="H647" s="1">
        <v>127</v>
      </c>
      <c r="I647" s="1">
        <v>96</v>
      </c>
    </row>
    <row r="648" spans="1:9" ht="14.25" customHeight="1" x14ac:dyDescent="0.25">
      <c r="A648">
        <v>2023</v>
      </c>
      <c r="B648" s="4" t="s">
        <v>14</v>
      </c>
      <c r="C648" s="1">
        <v>1</v>
      </c>
      <c r="D648" s="1" t="s">
        <v>257</v>
      </c>
      <c r="E648" s="1" t="s">
        <v>12</v>
      </c>
      <c r="F648" s="1">
        <v>2</v>
      </c>
      <c r="G648" s="1">
        <v>137</v>
      </c>
      <c r="H648" s="1">
        <v>125</v>
      </c>
      <c r="I648" s="1">
        <v>48</v>
      </c>
    </row>
    <row r="649" spans="1:9" ht="14.25" customHeight="1" x14ac:dyDescent="0.25">
      <c r="A649">
        <v>2023</v>
      </c>
      <c r="B649" s="4" t="s">
        <v>14</v>
      </c>
      <c r="C649" s="1">
        <v>1</v>
      </c>
      <c r="D649" s="1" t="s">
        <v>257</v>
      </c>
      <c r="E649" s="1" t="s">
        <v>12</v>
      </c>
      <c r="F649" s="1">
        <v>3</v>
      </c>
      <c r="G649" s="1">
        <v>139</v>
      </c>
      <c r="H649" s="1">
        <v>125</v>
      </c>
      <c r="I649" s="1">
        <v>84</v>
      </c>
    </row>
    <row r="650" spans="1:9" ht="14.25" customHeight="1" x14ac:dyDescent="0.25">
      <c r="A650">
        <v>2023</v>
      </c>
      <c r="B650" s="4" t="s">
        <v>14</v>
      </c>
      <c r="C650" s="1">
        <v>1</v>
      </c>
      <c r="D650" s="1" t="s">
        <v>258</v>
      </c>
      <c r="E650" s="1" t="s">
        <v>12</v>
      </c>
      <c r="F650" s="1">
        <v>1</v>
      </c>
      <c r="G650" s="1">
        <v>140</v>
      </c>
      <c r="H650" s="1">
        <v>101</v>
      </c>
      <c r="I650" s="1">
        <v>60</v>
      </c>
    </row>
    <row r="651" spans="1:9" ht="14.25" customHeight="1" x14ac:dyDescent="0.25">
      <c r="A651">
        <v>2023</v>
      </c>
      <c r="B651" s="4" t="s">
        <v>14</v>
      </c>
      <c r="C651" s="1">
        <v>1</v>
      </c>
      <c r="D651" s="1" t="s">
        <v>258</v>
      </c>
      <c r="E651" s="1" t="s">
        <v>12</v>
      </c>
      <c r="F651" s="1">
        <v>2</v>
      </c>
      <c r="G651" s="1">
        <v>143</v>
      </c>
      <c r="H651" s="1">
        <v>107</v>
      </c>
      <c r="I651" s="1">
        <v>36</v>
      </c>
    </row>
    <row r="652" spans="1:9" ht="14.25" customHeight="1" x14ac:dyDescent="0.25">
      <c r="A652">
        <v>2023</v>
      </c>
      <c r="B652" s="4" t="s">
        <v>14</v>
      </c>
      <c r="C652" s="1">
        <v>1</v>
      </c>
      <c r="D652" s="1" t="s">
        <v>258</v>
      </c>
      <c r="E652" s="1" t="s">
        <v>12</v>
      </c>
      <c r="F652" s="1">
        <v>3</v>
      </c>
      <c r="G652" s="1">
        <v>153</v>
      </c>
      <c r="H652" s="1">
        <v>116</v>
      </c>
      <c r="I652" s="1">
        <v>60</v>
      </c>
    </row>
    <row r="653" spans="1:9" ht="14.25" customHeight="1" x14ac:dyDescent="0.25">
      <c r="A653">
        <v>2023</v>
      </c>
      <c r="B653" s="4" t="s">
        <v>14</v>
      </c>
      <c r="C653" s="1">
        <v>1</v>
      </c>
      <c r="D653" s="1" t="s">
        <v>259</v>
      </c>
      <c r="E653" s="1" t="s">
        <v>12</v>
      </c>
      <c r="F653" s="1">
        <v>1</v>
      </c>
      <c r="G653" s="1">
        <v>154</v>
      </c>
      <c r="H653" s="1">
        <v>123</v>
      </c>
      <c r="I653" s="5">
        <v>84</v>
      </c>
    </row>
    <row r="654" spans="1:9" ht="14.25" customHeight="1" x14ac:dyDescent="0.25">
      <c r="A654">
        <v>2023</v>
      </c>
      <c r="B654" s="4" t="s">
        <v>14</v>
      </c>
      <c r="C654" s="1">
        <v>1</v>
      </c>
      <c r="D654" s="1" t="s">
        <v>259</v>
      </c>
      <c r="E654" s="1" t="s">
        <v>12</v>
      </c>
      <c r="F654" s="1">
        <v>2</v>
      </c>
      <c r="G654" s="1">
        <v>160</v>
      </c>
      <c r="H654" s="1">
        <v>103</v>
      </c>
      <c r="I654" s="1">
        <v>72</v>
      </c>
    </row>
    <row r="655" spans="1:9" ht="14.25" customHeight="1" x14ac:dyDescent="0.25">
      <c r="A655">
        <v>2023</v>
      </c>
      <c r="B655" s="4" t="s">
        <v>14</v>
      </c>
      <c r="C655" s="1">
        <v>1</v>
      </c>
      <c r="D655" s="1" t="s">
        <v>259</v>
      </c>
      <c r="E655" s="1" t="s">
        <v>12</v>
      </c>
      <c r="F655" s="1">
        <v>3</v>
      </c>
      <c r="G655" s="1">
        <v>151</v>
      </c>
      <c r="H655" s="1">
        <v>117</v>
      </c>
      <c r="I655" s="1">
        <v>60</v>
      </c>
    </row>
    <row r="656" spans="1:9" ht="14.25" customHeight="1" x14ac:dyDescent="0.25">
      <c r="A656">
        <v>2023</v>
      </c>
      <c r="B656" s="4" t="s">
        <v>14</v>
      </c>
      <c r="C656" s="1">
        <v>1</v>
      </c>
      <c r="D656" s="1" t="s">
        <v>260</v>
      </c>
      <c r="E656" s="1" t="s">
        <v>12</v>
      </c>
      <c r="F656" s="1">
        <v>1</v>
      </c>
      <c r="G656" s="1">
        <v>140</v>
      </c>
      <c r="H656" s="1">
        <v>126</v>
      </c>
      <c r="I656" s="5">
        <v>60</v>
      </c>
    </row>
    <row r="657" spans="1:9" ht="14.25" customHeight="1" x14ac:dyDescent="0.25">
      <c r="A657">
        <v>2023</v>
      </c>
      <c r="B657" s="4" t="s">
        <v>14</v>
      </c>
      <c r="C657" s="1">
        <v>1</v>
      </c>
      <c r="D657" s="1" t="s">
        <v>260</v>
      </c>
      <c r="E657" s="1" t="s">
        <v>12</v>
      </c>
      <c r="F657" s="1">
        <v>2</v>
      </c>
      <c r="G657" s="1">
        <v>153</v>
      </c>
      <c r="H657" s="1">
        <v>118</v>
      </c>
      <c r="I657" s="1">
        <v>60</v>
      </c>
    </row>
    <row r="658" spans="1:9" ht="14.25" customHeight="1" x14ac:dyDescent="0.25">
      <c r="A658">
        <v>2023</v>
      </c>
      <c r="B658" s="4" t="s">
        <v>14</v>
      </c>
      <c r="C658" s="1">
        <v>1</v>
      </c>
      <c r="D658" s="1" t="s">
        <v>260</v>
      </c>
      <c r="E658" s="1" t="s">
        <v>12</v>
      </c>
      <c r="F658" s="1">
        <v>3</v>
      </c>
      <c r="G658" s="1">
        <v>143</v>
      </c>
      <c r="H658" s="1">
        <v>129</v>
      </c>
      <c r="I658" s="1">
        <v>96</v>
      </c>
    </row>
    <row r="659" spans="1:9" ht="14.25" customHeight="1" x14ac:dyDescent="0.25">
      <c r="A659">
        <v>2023</v>
      </c>
      <c r="B659" s="4" t="s">
        <v>14</v>
      </c>
      <c r="C659" s="1">
        <v>1</v>
      </c>
      <c r="D659" s="1" t="s">
        <v>261</v>
      </c>
      <c r="E659" s="1" t="s">
        <v>12</v>
      </c>
      <c r="F659" s="1">
        <v>1</v>
      </c>
      <c r="G659" s="1">
        <v>151</v>
      </c>
      <c r="H659" s="1">
        <v>102</v>
      </c>
      <c r="I659" s="1">
        <v>48</v>
      </c>
    </row>
    <row r="660" spans="1:9" ht="14.25" customHeight="1" x14ac:dyDescent="0.25">
      <c r="A660">
        <v>2023</v>
      </c>
      <c r="B660" s="4" t="s">
        <v>14</v>
      </c>
      <c r="C660" s="1">
        <v>1</v>
      </c>
      <c r="D660" s="1" t="s">
        <v>261</v>
      </c>
      <c r="E660" s="1" t="s">
        <v>12</v>
      </c>
      <c r="F660" s="1">
        <v>2</v>
      </c>
      <c r="G660" s="1">
        <v>160</v>
      </c>
      <c r="H660" s="1">
        <v>121</v>
      </c>
      <c r="I660" s="1">
        <v>60</v>
      </c>
    </row>
    <row r="661" spans="1:9" ht="14.25" customHeight="1" x14ac:dyDescent="0.25">
      <c r="A661">
        <v>2023</v>
      </c>
      <c r="B661" s="4" t="s">
        <v>14</v>
      </c>
      <c r="C661" s="1">
        <v>1</v>
      </c>
      <c r="D661" s="1" t="s">
        <v>261</v>
      </c>
      <c r="E661" s="1" t="s">
        <v>12</v>
      </c>
      <c r="F661" s="1">
        <v>3</v>
      </c>
      <c r="G661" s="5">
        <v>160</v>
      </c>
      <c r="H661" s="1">
        <v>125</v>
      </c>
      <c r="I661" s="1">
        <v>36</v>
      </c>
    </row>
    <row r="662" spans="1:9" ht="14.25" customHeight="1" x14ac:dyDescent="0.25">
      <c r="A662">
        <v>2023</v>
      </c>
      <c r="B662" s="4" t="s">
        <v>14</v>
      </c>
      <c r="C662" s="1">
        <v>1</v>
      </c>
      <c r="D662" s="1" t="s">
        <v>262</v>
      </c>
      <c r="E662" s="1" t="s">
        <v>12</v>
      </c>
      <c r="F662" s="1">
        <v>1</v>
      </c>
      <c r="G662" s="1">
        <v>137</v>
      </c>
      <c r="H662" s="1">
        <v>102</v>
      </c>
      <c r="I662" s="5">
        <v>54</v>
      </c>
    </row>
    <row r="663" spans="1:9" ht="14.25" customHeight="1" x14ac:dyDescent="0.25">
      <c r="A663">
        <v>2023</v>
      </c>
      <c r="B663" s="4" t="s">
        <v>14</v>
      </c>
      <c r="C663" s="1">
        <v>1</v>
      </c>
      <c r="D663" s="1" t="s">
        <v>262</v>
      </c>
      <c r="E663" s="1" t="s">
        <v>12</v>
      </c>
      <c r="F663" s="1">
        <v>2</v>
      </c>
      <c r="G663" s="1">
        <v>142</v>
      </c>
      <c r="H663" s="1">
        <v>103</v>
      </c>
      <c r="I663" s="1">
        <v>60</v>
      </c>
    </row>
    <row r="664" spans="1:9" ht="14.25" customHeight="1" x14ac:dyDescent="0.25">
      <c r="A664">
        <v>2023</v>
      </c>
      <c r="B664" s="4" t="s">
        <v>14</v>
      </c>
      <c r="C664" s="1">
        <v>1</v>
      </c>
      <c r="D664" s="1" t="s">
        <v>262</v>
      </c>
      <c r="E664" s="1" t="s">
        <v>12</v>
      </c>
      <c r="F664" s="1">
        <v>3</v>
      </c>
      <c r="G664" s="1">
        <v>143</v>
      </c>
      <c r="H664" s="1">
        <v>110</v>
      </c>
      <c r="I664" s="1">
        <v>48</v>
      </c>
    </row>
    <row r="665" spans="1:9" ht="14.25" customHeight="1" x14ac:dyDescent="0.25">
      <c r="A665">
        <v>2023</v>
      </c>
      <c r="B665" s="4" t="s">
        <v>14</v>
      </c>
      <c r="C665" s="1">
        <v>1</v>
      </c>
      <c r="D665" s="1" t="s">
        <v>263</v>
      </c>
      <c r="E665" s="1" t="s">
        <v>12</v>
      </c>
      <c r="F665" s="1">
        <v>1</v>
      </c>
      <c r="G665" s="1">
        <v>160</v>
      </c>
      <c r="H665" s="1">
        <v>115</v>
      </c>
      <c r="I665" s="1">
        <v>72</v>
      </c>
    </row>
    <row r="666" spans="1:9" ht="14.25" customHeight="1" x14ac:dyDescent="0.25">
      <c r="A666">
        <v>2023</v>
      </c>
      <c r="B666" s="4" t="s">
        <v>14</v>
      </c>
      <c r="C666" s="1">
        <v>1</v>
      </c>
      <c r="D666" s="1" t="s">
        <v>263</v>
      </c>
      <c r="E666" s="1" t="s">
        <v>12</v>
      </c>
      <c r="F666" s="1">
        <v>2</v>
      </c>
      <c r="G666" s="5">
        <v>160</v>
      </c>
      <c r="H666" s="1">
        <v>115</v>
      </c>
      <c r="I666" s="1">
        <v>72</v>
      </c>
    </row>
    <row r="667" spans="1:9" ht="14.25" customHeight="1" x14ac:dyDescent="0.25">
      <c r="A667">
        <v>2023</v>
      </c>
      <c r="B667" s="4" t="s">
        <v>14</v>
      </c>
      <c r="C667" s="1">
        <v>1</v>
      </c>
      <c r="D667" s="1" t="s">
        <v>263</v>
      </c>
      <c r="E667" s="1" t="s">
        <v>12</v>
      </c>
      <c r="F667" s="1">
        <v>3</v>
      </c>
      <c r="G667" s="1">
        <v>150</v>
      </c>
      <c r="H667" s="1">
        <v>123</v>
      </c>
      <c r="I667" s="1">
        <v>48</v>
      </c>
    </row>
    <row r="668" spans="1:9" ht="14.25" customHeight="1" x14ac:dyDescent="0.25">
      <c r="A668">
        <v>2023</v>
      </c>
      <c r="B668" s="4" t="s">
        <v>10</v>
      </c>
      <c r="C668" s="1">
        <v>1</v>
      </c>
      <c r="D668" s="1" t="s">
        <v>264</v>
      </c>
      <c r="E668" s="1" t="s">
        <v>12</v>
      </c>
      <c r="F668" s="1">
        <v>1</v>
      </c>
      <c r="G668" s="1">
        <v>154</v>
      </c>
      <c r="H668" s="1">
        <v>85</v>
      </c>
      <c r="I668" s="1">
        <v>96</v>
      </c>
    </row>
    <row r="669" spans="1:9" ht="14.25" customHeight="1" x14ac:dyDescent="0.25">
      <c r="A669">
        <v>2023</v>
      </c>
      <c r="B669" s="4" t="s">
        <v>10</v>
      </c>
      <c r="C669" s="1">
        <v>1</v>
      </c>
      <c r="D669" s="1" t="s">
        <v>264</v>
      </c>
      <c r="E669" s="1" t="s">
        <v>12</v>
      </c>
      <c r="F669" s="1">
        <v>2</v>
      </c>
      <c r="G669" s="1">
        <v>160</v>
      </c>
      <c r="H669" s="1">
        <v>92</v>
      </c>
      <c r="I669" s="1">
        <v>96</v>
      </c>
    </row>
    <row r="670" spans="1:9" ht="14.25" customHeight="1" x14ac:dyDescent="0.25">
      <c r="A670">
        <v>2023</v>
      </c>
      <c r="B670" s="4" t="s">
        <v>10</v>
      </c>
      <c r="C670" s="1">
        <v>1</v>
      </c>
      <c r="D670" s="1" t="s">
        <v>264</v>
      </c>
      <c r="E670" s="1" t="s">
        <v>12</v>
      </c>
      <c r="F670" s="1">
        <v>3</v>
      </c>
      <c r="G670" s="1">
        <v>154</v>
      </c>
      <c r="H670" s="1">
        <v>86</v>
      </c>
      <c r="I670" s="1">
        <v>132</v>
      </c>
    </row>
    <row r="671" spans="1:9" ht="14.25" customHeight="1" x14ac:dyDescent="0.25">
      <c r="A671">
        <v>2023</v>
      </c>
      <c r="B671" s="4" t="s">
        <v>10</v>
      </c>
      <c r="C671" s="1">
        <v>1</v>
      </c>
      <c r="D671" s="1" t="s">
        <v>265</v>
      </c>
      <c r="E671" s="1" t="s">
        <v>12</v>
      </c>
      <c r="F671" s="1">
        <v>1</v>
      </c>
      <c r="G671" s="1">
        <v>141</v>
      </c>
      <c r="H671" s="1">
        <v>126</v>
      </c>
      <c r="I671" s="5">
        <v>48</v>
      </c>
    </row>
    <row r="672" spans="1:9" ht="14.25" customHeight="1" x14ac:dyDescent="0.25">
      <c r="A672">
        <v>2023</v>
      </c>
      <c r="B672" s="4" t="s">
        <v>10</v>
      </c>
      <c r="C672" s="1">
        <v>1</v>
      </c>
      <c r="D672" s="1" t="s">
        <v>265</v>
      </c>
      <c r="E672" s="1" t="s">
        <v>12</v>
      </c>
      <c r="F672" s="1">
        <v>2</v>
      </c>
      <c r="G672" s="1">
        <v>139</v>
      </c>
      <c r="H672" s="1">
        <v>123</v>
      </c>
      <c r="I672" s="1">
        <v>84</v>
      </c>
    </row>
    <row r="673" spans="1:9" ht="14.25" customHeight="1" x14ac:dyDescent="0.25">
      <c r="A673">
        <v>2023</v>
      </c>
      <c r="B673" s="4" t="s">
        <v>10</v>
      </c>
      <c r="C673" s="1">
        <v>1</v>
      </c>
      <c r="D673" s="1" t="s">
        <v>265</v>
      </c>
      <c r="E673" s="1" t="s">
        <v>12</v>
      </c>
      <c r="F673" s="1">
        <v>3</v>
      </c>
      <c r="G673" s="1">
        <v>139</v>
      </c>
      <c r="H673" s="1">
        <v>120</v>
      </c>
      <c r="I673" s="1">
        <v>72</v>
      </c>
    </row>
    <row r="674" spans="1:9" x14ac:dyDescent="0.25">
      <c r="A674">
        <v>2024</v>
      </c>
      <c r="B674" s="4" t="s">
        <v>24</v>
      </c>
      <c r="C674" s="1">
        <v>3</v>
      </c>
      <c r="D674" t="s">
        <v>25</v>
      </c>
      <c r="E674">
        <v>40</v>
      </c>
      <c r="F674">
        <v>1</v>
      </c>
      <c r="G674">
        <v>6</v>
      </c>
      <c r="H674">
        <v>116</v>
      </c>
      <c r="I674">
        <v>32</v>
      </c>
    </row>
    <row r="675" spans="1:9" x14ac:dyDescent="0.25">
      <c r="A675">
        <v>2024</v>
      </c>
      <c r="B675" s="4" t="s">
        <v>24</v>
      </c>
      <c r="C675" s="1">
        <v>3</v>
      </c>
      <c r="D675" t="s">
        <v>25</v>
      </c>
      <c r="E675">
        <v>40</v>
      </c>
      <c r="F675">
        <v>2</v>
      </c>
      <c r="G675">
        <v>10</v>
      </c>
      <c r="H675">
        <v>106</v>
      </c>
      <c r="I675">
        <v>74</v>
      </c>
    </row>
    <row r="676" spans="1:9" x14ac:dyDescent="0.25">
      <c r="A676">
        <v>2024</v>
      </c>
      <c r="B676" s="4" t="s">
        <v>24</v>
      </c>
      <c r="C676" s="1">
        <v>3</v>
      </c>
      <c r="D676" t="s">
        <v>25</v>
      </c>
      <c r="E676">
        <v>40</v>
      </c>
      <c r="F676">
        <v>3</v>
      </c>
      <c r="G676">
        <v>6</v>
      </c>
      <c r="H676">
        <v>118</v>
      </c>
      <c r="I676">
        <v>42</v>
      </c>
    </row>
    <row r="677" spans="1:9" x14ac:dyDescent="0.25">
      <c r="A677">
        <v>2024</v>
      </c>
      <c r="B677" s="4" t="s">
        <v>14</v>
      </c>
      <c r="C677" s="4">
        <v>1</v>
      </c>
      <c r="D677" t="s">
        <v>37</v>
      </c>
      <c r="E677">
        <v>40</v>
      </c>
      <c r="F677">
        <v>1</v>
      </c>
      <c r="G677">
        <v>68</v>
      </c>
      <c r="H677">
        <v>0</v>
      </c>
      <c r="I677">
        <v>70</v>
      </c>
    </row>
    <row r="678" spans="1:9" x14ac:dyDescent="0.25">
      <c r="A678">
        <v>2024</v>
      </c>
      <c r="B678" s="4" t="s">
        <v>14</v>
      </c>
      <c r="C678" s="4">
        <v>1</v>
      </c>
      <c r="D678" t="s">
        <v>37</v>
      </c>
      <c r="E678">
        <v>40</v>
      </c>
      <c r="F678">
        <v>2</v>
      </c>
      <c r="G678">
        <v>62</v>
      </c>
      <c r="H678">
        <v>0</v>
      </c>
      <c r="I678">
        <v>75</v>
      </c>
    </row>
    <row r="679" spans="1:9" x14ac:dyDescent="0.25">
      <c r="A679">
        <v>2024</v>
      </c>
      <c r="B679" s="4" t="s">
        <v>14</v>
      </c>
      <c r="C679" s="4">
        <v>1</v>
      </c>
      <c r="D679" t="s">
        <v>37</v>
      </c>
      <c r="E679">
        <v>40</v>
      </c>
      <c r="F679">
        <v>3</v>
      </c>
      <c r="G679">
        <v>64</v>
      </c>
      <c r="H679">
        <v>0</v>
      </c>
      <c r="I679">
        <v>56</v>
      </c>
    </row>
    <row r="680" spans="1:9" x14ac:dyDescent="0.25">
      <c r="A680">
        <v>2024</v>
      </c>
      <c r="B680" s="4" t="s">
        <v>14</v>
      </c>
      <c r="C680" s="4">
        <v>1</v>
      </c>
      <c r="D680" t="s">
        <v>38</v>
      </c>
      <c r="E680">
        <v>40</v>
      </c>
      <c r="F680">
        <v>1</v>
      </c>
      <c r="G680">
        <v>18</v>
      </c>
      <c r="H680">
        <v>130</v>
      </c>
      <c r="I680">
        <v>104</v>
      </c>
    </row>
    <row r="681" spans="1:9" x14ac:dyDescent="0.25">
      <c r="A681">
        <v>2024</v>
      </c>
      <c r="B681" s="4" t="s">
        <v>14</v>
      </c>
      <c r="C681" s="4">
        <v>1</v>
      </c>
      <c r="D681" t="s">
        <v>38</v>
      </c>
      <c r="E681">
        <v>40</v>
      </c>
      <c r="F681">
        <v>2</v>
      </c>
      <c r="G681">
        <v>16</v>
      </c>
      <c r="H681">
        <v>139</v>
      </c>
      <c r="I681">
        <v>117</v>
      </c>
    </row>
    <row r="682" spans="1:9" x14ac:dyDescent="0.25">
      <c r="A682">
        <v>2024</v>
      </c>
      <c r="B682" s="4" t="s">
        <v>14</v>
      </c>
      <c r="C682" s="4">
        <v>1</v>
      </c>
      <c r="D682" t="s">
        <v>38</v>
      </c>
      <c r="E682">
        <v>40</v>
      </c>
      <c r="F682">
        <v>3</v>
      </c>
      <c r="G682">
        <v>20</v>
      </c>
      <c r="H682">
        <v>138</v>
      </c>
      <c r="I682">
        <v>110</v>
      </c>
    </row>
    <row r="683" spans="1:9" x14ac:dyDescent="0.25">
      <c r="A683">
        <v>2024</v>
      </c>
      <c r="B683" s="4" t="s">
        <v>14</v>
      </c>
      <c r="C683" s="4">
        <v>1</v>
      </c>
      <c r="D683" t="s">
        <v>40</v>
      </c>
      <c r="E683">
        <v>40</v>
      </c>
      <c r="F683">
        <v>1</v>
      </c>
      <c r="G683">
        <v>32</v>
      </c>
      <c r="H683">
        <v>130</v>
      </c>
      <c r="I683">
        <v>102</v>
      </c>
    </row>
    <row r="684" spans="1:9" x14ac:dyDescent="0.25">
      <c r="A684">
        <v>2024</v>
      </c>
      <c r="B684" s="4" t="s">
        <v>14</v>
      </c>
      <c r="C684" s="4">
        <v>1</v>
      </c>
      <c r="D684" t="s">
        <v>40</v>
      </c>
      <c r="E684">
        <v>40</v>
      </c>
      <c r="F684">
        <v>2</v>
      </c>
      <c r="G684">
        <v>44</v>
      </c>
      <c r="H684">
        <v>125</v>
      </c>
      <c r="I684">
        <v>110</v>
      </c>
    </row>
    <row r="685" spans="1:9" x14ac:dyDescent="0.25">
      <c r="A685">
        <v>2024</v>
      </c>
      <c r="B685" s="4" t="s">
        <v>14</v>
      </c>
      <c r="C685" s="4">
        <v>1</v>
      </c>
      <c r="D685" t="s">
        <v>40</v>
      </c>
      <c r="E685">
        <v>40</v>
      </c>
      <c r="F685">
        <v>3</v>
      </c>
      <c r="G685">
        <v>60</v>
      </c>
      <c r="H685">
        <v>124</v>
      </c>
      <c r="I685">
        <v>108</v>
      </c>
    </row>
    <row r="686" spans="1:9" x14ac:dyDescent="0.25">
      <c r="A686">
        <v>2024</v>
      </c>
      <c r="B686" s="4" t="s">
        <v>14</v>
      </c>
      <c r="C686" s="4">
        <v>1</v>
      </c>
      <c r="D686" t="s">
        <v>41</v>
      </c>
      <c r="E686">
        <v>40</v>
      </c>
      <c r="F686">
        <v>1</v>
      </c>
      <c r="G686">
        <v>24</v>
      </c>
      <c r="H686">
        <v>139</v>
      </c>
      <c r="I686">
        <v>88</v>
      </c>
    </row>
    <row r="687" spans="1:9" x14ac:dyDescent="0.25">
      <c r="A687">
        <v>2024</v>
      </c>
      <c r="B687" s="4" t="s">
        <v>14</v>
      </c>
      <c r="C687" s="4">
        <v>1</v>
      </c>
      <c r="D687" t="s">
        <v>41</v>
      </c>
      <c r="E687">
        <v>40</v>
      </c>
      <c r="F687">
        <v>2</v>
      </c>
      <c r="G687">
        <v>26</v>
      </c>
      <c r="H687">
        <v>139</v>
      </c>
      <c r="I687">
        <v>101</v>
      </c>
    </row>
    <row r="688" spans="1:9" x14ac:dyDescent="0.25">
      <c r="A688">
        <v>2024</v>
      </c>
      <c r="B688" s="4" t="s">
        <v>14</v>
      </c>
      <c r="C688" s="4">
        <v>1</v>
      </c>
      <c r="D688" t="s">
        <v>41</v>
      </c>
      <c r="E688">
        <v>40</v>
      </c>
      <c r="F688">
        <v>3</v>
      </c>
      <c r="G688">
        <v>22</v>
      </c>
      <c r="H688">
        <v>139</v>
      </c>
      <c r="I688">
        <v>90</v>
      </c>
    </row>
    <row r="689" spans="1:9" x14ac:dyDescent="0.25">
      <c r="A689">
        <v>2024</v>
      </c>
      <c r="B689" s="4" t="s">
        <v>14</v>
      </c>
      <c r="C689" s="4">
        <v>1</v>
      </c>
      <c r="D689" t="s">
        <v>43</v>
      </c>
      <c r="E689">
        <v>40</v>
      </c>
      <c r="F689">
        <v>1</v>
      </c>
      <c r="G689">
        <v>20</v>
      </c>
      <c r="H689">
        <v>130</v>
      </c>
      <c r="I689">
        <v>102</v>
      </c>
    </row>
    <row r="690" spans="1:9" x14ac:dyDescent="0.25">
      <c r="A690">
        <v>2024</v>
      </c>
      <c r="B690" s="4" t="s">
        <v>14</v>
      </c>
      <c r="C690" s="4">
        <v>1</v>
      </c>
      <c r="D690" t="s">
        <v>43</v>
      </c>
      <c r="E690">
        <v>40</v>
      </c>
      <c r="F690">
        <v>2</v>
      </c>
      <c r="G690">
        <v>16</v>
      </c>
      <c r="H690">
        <v>122</v>
      </c>
      <c r="I690">
        <v>95</v>
      </c>
    </row>
    <row r="691" spans="1:9" x14ac:dyDescent="0.25">
      <c r="A691">
        <v>2024</v>
      </c>
      <c r="B691" s="4" t="s">
        <v>14</v>
      </c>
      <c r="C691" s="4">
        <v>1</v>
      </c>
      <c r="D691" t="s">
        <v>43</v>
      </c>
      <c r="E691">
        <v>40</v>
      </c>
      <c r="F691">
        <v>3</v>
      </c>
      <c r="G691">
        <v>22</v>
      </c>
      <c r="H691">
        <v>130</v>
      </c>
      <c r="I691">
        <v>99</v>
      </c>
    </row>
    <row r="692" spans="1:9" x14ac:dyDescent="0.25">
      <c r="A692">
        <v>2024</v>
      </c>
      <c r="B692" s="4" t="s">
        <v>14</v>
      </c>
      <c r="C692" s="1">
        <v>2</v>
      </c>
      <c r="D692" t="s">
        <v>46</v>
      </c>
      <c r="E692">
        <v>40</v>
      </c>
      <c r="F692">
        <v>1</v>
      </c>
      <c r="G692">
        <v>64</v>
      </c>
      <c r="H692">
        <v>78</v>
      </c>
      <c r="I692">
        <v>98</v>
      </c>
    </row>
    <row r="693" spans="1:9" x14ac:dyDescent="0.25">
      <c r="A693">
        <v>2024</v>
      </c>
      <c r="B693" s="4" t="s">
        <v>14</v>
      </c>
      <c r="C693" s="1">
        <v>2</v>
      </c>
      <c r="D693" t="s">
        <v>46</v>
      </c>
      <c r="E693">
        <v>40</v>
      </c>
      <c r="F693">
        <v>2</v>
      </c>
      <c r="G693">
        <v>86</v>
      </c>
      <c r="H693">
        <v>78</v>
      </c>
      <c r="I693">
        <v>107</v>
      </c>
    </row>
    <row r="694" spans="1:9" x14ac:dyDescent="0.25">
      <c r="A694">
        <v>2024</v>
      </c>
      <c r="B694" s="4" t="s">
        <v>14</v>
      </c>
      <c r="C694" s="1">
        <v>2</v>
      </c>
      <c r="D694" t="s">
        <v>46</v>
      </c>
      <c r="E694">
        <v>40</v>
      </c>
      <c r="F694">
        <v>3</v>
      </c>
      <c r="G694">
        <v>90</v>
      </c>
      <c r="H694">
        <v>83</v>
      </c>
      <c r="I694">
        <v>98</v>
      </c>
    </row>
    <row r="695" spans="1:9" x14ac:dyDescent="0.25">
      <c r="A695">
        <v>2024</v>
      </c>
      <c r="B695" s="4" t="s">
        <v>14</v>
      </c>
      <c r="C695" s="1">
        <v>1</v>
      </c>
      <c r="D695" t="s">
        <v>48</v>
      </c>
      <c r="E695">
        <v>40</v>
      </c>
      <c r="F695">
        <v>1</v>
      </c>
      <c r="G695" t="s">
        <v>20</v>
      </c>
      <c r="H695">
        <v>122</v>
      </c>
      <c r="I695">
        <v>114</v>
      </c>
    </row>
    <row r="696" spans="1:9" x14ac:dyDescent="0.25">
      <c r="A696">
        <v>2024</v>
      </c>
      <c r="B696" s="4" t="s">
        <v>14</v>
      </c>
      <c r="C696" s="1">
        <v>1</v>
      </c>
      <c r="D696" t="s">
        <v>48</v>
      </c>
      <c r="E696">
        <v>40</v>
      </c>
      <c r="F696">
        <v>2</v>
      </c>
      <c r="G696">
        <v>76</v>
      </c>
      <c r="H696">
        <v>121</v>
      </c>
      <c r="I696">
        <v>110</v>
      </c>
    </row>
    <row r="697" spans="1:9" x14ac:dyDescent="0.25">
      <c r="A697">
        <v>2024</v>
      </c>
      <c r="B697" s="4" t="s">
        <v>14</v>
      </c>
      <c r="C697" s="1">
        <v>1</v>
      </c>
      <c r="D697" t="s">
        <v>48</v>
      </c>
      <c r="E697">
        <v>40</v>
      </c>
      <c r="F697">
        <v>3</v>
      </c>
      <c r="G697">
        <v>60</v>
      </c>
      <c r="H697">
        <v>122</v>
      </c>
      <c r="I697">
        <v>95</v>
      </c>
    </row>
    <row r="698" spans="1:9" x14ac:dyDescent="0.25">
      <c r="A698">
        <v>2024</v>
      </c>
      <c r="B698" s="4" t="s">
        <v>49</v>
      </c>
      <c r="C698" s="1">
        <v>4</v>
      </c>
      <c r="D698" t="s">
        <v>50</v>
      </c>
      <c r="E698">
        <v>40</v>
      </c>
      <c r="F698">
        <v>1</v>
      </c>
      <c r="G698">
        <v>40</v>
      </c>
      <c r="H698">
        <v>99</v>
      </c>
      <c r="I698">
        <v>113</v>
      </c>
    </row>
    <row r="699" spans="1:9" x14ac:dyDescent="0.25">
      <c r="A699">
        <v>2024</v>
      </c>
      <c r="B699" s="4" t="s">
        <v>49</v>
      </c>
      <c r="C699" s="1">
        <v>4</v>
      </c>
      <c r="D699" t="s">
        <v>50</v>
      </c>
      <c r="E699">
        <v>40</v>
      </c>
      <c r="F699">
        <v>2</v>
      </c>
      <c r="G699">
        <v>48</v>
      </c>
      <c r="H699">
        <v>99</v>
      </c>
      <c r="I699">
        <v>113</v>
      </c>
    </row>
    <row r="700" spans="1:9" x14ac:dyDescent="0.25">
      <c r="A700">
        <v>2024</v>
      </c>
      <c r="B700" s="4" t="s">
        <v>49</v>
      </c>
      <c r="C700" s="1">
        <v>4</v>
      </c>
      <c r="D700" t="s">
        <v>50</v>
      </c>
      <c r="E700">
        <v>40</v>
      </c>
      <c r="F700">
        <v>3</v>
      </c>
      <c r="G700">
        <v>62</v>
      </c>
      <c r="H700">
        <v>98</v>
      </c>
      <c r="I700">
        <v>102</v>
      </c>
    </row>
    <row r="701" spans="1:9" x14ac:dyDescent="0.25">
      <c r="A701">
        <v>2024</v>
      </c>
      <c r="B701" s="4" t="s">
        <v>52</v>
      </c>
      <c r="C701" s="1">
        <v>4</v>
      </c>
      <c r="D701" t="s">
        <v>53</v>
      </c>
      <c r="E701">
        <v>40</v>
      </c>
      <c r="F701">
        <v>1</v>
      </c>
      <c r="G701">
        <v>62</v>
      </c>
      <c r="H701">
        <v>99</v>
      </c>
      <c r="I701">
        <v>85</v>
      </c>
    </row>
    <row r="702" spans="1:9" x14ac:dyDescent="0.25">
      <c r="A702">
        <v>2024</v>
      </c>
      <c r="B702" s="4" t="s">
        <v>52</v>
      </c>
      <c r="C702" s="1">
        <v>4</v>
      </c>
      <c r="D702" t="s">
        <v>53</v>
      </c>
      <c r="E702">
        <v>40</v>
      </c>
      <c r="F702">
        <v>2</v>
      </c>
      <c r="G702">
        <v>70</v>
      </c>
      <c r="H702">
        <v>95</v>
      </c>
      <c r="I702">
        <v>94</v>
      </c>
    </row>
    <row r="703" spans="1:9" x14ac:dyDescent="0.25">
      <c r="A703">
        <v>2024</v>
      </c>
      <c r="B703" s="4" t="s">
        <v>52</v>
      </c>
      <c r="C703" s="1">
        <v>4</v>
      </c>
      <c r="D703" t="s">
        <v>53</v>
      </c>
      <c r="E703">
        <v>40</v>
      </c>
      <c r="F703">
        <v>3</v>
      </c>
      <c r="G703">
        <v>64</v>
      </c>
      <c r="H703">
        <v>95</v>
      </c>
      <c r="I703">
        <v>98</v>
      </c>
    </row>
    <row r="704" spans="1:9" x14ac:dyDescent="0.25">
      <c r="A704">
        <v>2024</v>
      </c>
      <c r="B704" s="4" t="s">
        <v>49</v>
      </c>
      <c r="C704" s="1">
        <v>4</v>
      </c>
      <c r="D704" t="s">
        <v>54</v>
      </c>
      <c r="E704">
        <v>40</v>
      </c>
      <c r="F704">
        <v>1</v>
      </c>
      <c r="G704">
        <v>12</v>
      </c>
      <c r="H704">
        <v>100</v>
      </c>
      <c r="I704">
        <v>88</v>
      </c>
    </row>
    <row r="705" spans="1:9" x14ac:dyDescent="0.25">
      <c r="A705">
        <v>2024</v>
      </c>
      <c r="B705" s="4" t="s">
        <v>49</v>
      </c>
      <c r="C705" s="1">
        <v>4</v>
      </c>
      <c r="D705" t="s">
        <v>54</v>
      </c>
      <c r="E705">
        <v>40</v>
      </c>
      <c r="F705">
        <v>2</v>
      </c>
      <c r="G705">
        <v>12</v>
      </c>
      <c r="H705">
        <v>100</v>
      </c>
      <c r="I705">
        <v>93</v>
      </c>
    </row>
    <row r="706" spans="1:9" x14ac:dyDescent="0.25">
      <c r="A706">
        <v>2024</v>
      </c>
      <c r="B706" s="4" t="s">
        <v>49</v>
      </c>
      <c r="C706" s="1">
        <v>4</v>
      </c>
      <c r="D706" t="s">
        <v>54</v>
      </c>
      <c r="E706">
        <v>40</v>
      </c>
      <c r="F706">
        <v>3</v>
      </c>
      <c r="G706">
        <v>16</v>
      </c>
      <c r="H706">
        <v>92</v>
      </c>
      <c r="I706">
        <v>86</v>
      </c>
    </row>
    <row r="707" spans="1:9" x14ac:dyDescent="0.25">
      <c r="A707">
        <v>2024</v>
      </c>
      <c r="B707" s="4" t="s">
        <v>55</v>
      </c>
      <c r="C707" s="1">
        <v>2</v>
      </c>
      <c r="D707" t="s">
        <v>56</v>
      </c>
      <c r="E707">
        <v>40</v>
      </c>
      <c r="F707">
        <v>1</v>
      </c>
      <c r="G707">
        <v>68</v>
      </c>
      <c r="H707">
        <v>106</v>
      </c>
      <c r="I707">
        <v>125</v>
      </c>
    </row>
    <row r="708" spans="1:9" x14ac:dyDescent="0.25">
      <c r="A708">
        <v>2024</v>
      </c>
      <c r="B708" s="4" t="s">
        <v>55</v>
      </c>
      <c r="C708" s="1">
        <v>2</v>
      </c>
      <c r="D708" t="s">
        <v>56</v>
      </c>
      <c r="E708">
        <v>40</v>
      </c>
      <c r="F708">
        <v>2</v>
      </c>
      <c r="G708">
        <v>58</v>
      </c>
      <c r="H708">
        <v>106</v>
      </c>
      <c r="I708">
        <v>135</v>
      </c>
    </row>
    <row r="709" spans="1:9" x14ac:dyDescent="0.25">
      <c r="A709">
        <v>2024</v>
      </c>
      <c r="B709" s="4" t="s">
        <v>55</v>
      </c>
      <c r="C709" s="1">
        <v>2</v>
      </c>
      <c r="D709" t="s">
        <v>56</v>
      </c>
      <c r="E709">
        <v>40</v>
      </c>
      <c r="F709">
        <v>3</v>
      </c>
      <c r="G709">
        <v>70</v>
      </c>
      <c r="H709">
        <v>107</v>
      </c>
      <c r="I709">
        <v>125</v>
      </c>
    </row>
    <row r="710" spans="1:9" x14ac:dyDescent="0.25">
      <c r="A710">
        <v>2024</v>
      </c>
      <c r="B710" s="4" t="s">
        <v>49</v>
      </c>
      <c r="C710" s="1">
        <v>3</v>
      </c>
      <c r="D710" t="s">
        <v>57</v>
      </c>
      <c r="E710">
        <v>40</v>
      </c>
      <c r="F710">
        <v>1</v>
      </c>
      <c r="G710">
        <v>36</v>
      </c>
      <c r="H710">
        <v>85</v>
      </c>
      <c r="I710">
        <v>99</v>
      </c>
    </row>
    <row r="711" spans="1:9" x14ac:dyDescent="0.25">
      <c r="A711">
        <v>2024</v>
      </c>
      <c r="B711" s="4" t="s">
        <v>49</v>
      </c>
      <c r="C711" s="1">
        <v>3</v>
      </c>
      <c r="D711" t="s">
        <v>57</v>
      </c>
      <c r="E711">
        <v>40</v>
      </c>
      <c r="F711">
        <v>2</v>
      </c>
      <c r="G711">
        <v>42</v>
      </c>
      <c r="H711">
        <v>86</v>
      </c>
      <c r="I711">
        <v>96</v>
      </c>
    </row>
    <row r="712" spans="1:9" x14ac:dyDescent="0.25">
      <c r="A712">
        <v>2024</v>
      </c>
      <c r="B712" s="4" t="s">
        <v>49</v>
      </c>
      <c r="C712" s="1">
        <v>3</v>
      </c>
      <c r="D712" t="s">
        <v>57</v>
      </c>
      <c r="E712">
        <v>40</v>
      </c>
      <c r="F712">
        <v>3</v>
      </c>
      <c r="G712">
        <v>30</v>
      </c>
      <c r="H712">
        <v>85</v>
      </c>
      <c r="I712">
        <v>106</v>
      </c>
    </row>
    <row r="713" spans="1:9" x14ac:dyDescent="0.25">
      <c r="A713">
        <v>2024</v>
      </c>
      <c r="B713" s="4" t="s">
        <v>58</v>
      </c>
      <c r="C713" s="1">
        <v>2</v>
      </c>
      <c r="D713" t="s">
        <v>62</v>
      </c>
      <c r="E713">
        <v>40</v>
      </c>
      <c r="F713">
        <v>1</v>
      </c>
      <c r="G713">
        <v>14</v>
      </c>
      <c r="H713">
        <v>123</v>
      </c>
      <c r="I713">
        <v>110</v>
      </c>
    </row>
    <row r="714" spans="1:9" x14ac:dyDescent="0.25">
      <c r="A714">
        <v>2024</v>
      </c>
      <c r="B714" s="4" t="s">
        <v>58</v>
      </c>
      <c r="C714" s="1">
        <v>2</v>
      </c>
      <c r="D714" t="s">
        <v>62</v>
      </c>
      <c r="E714">
        <v>40</v>
      </c>
      <c r="F714">
        <v>2</v>
      </c>
      <c r="G714">
        <v>10</v>
      </c>
      <c r="H714">
        <v>121</v>
      </c>
      <c r="I714">
        <v>106</v>
      </c>
    </row>
    <row r="715" spans="1:9" x14ac:dyDescent="0.25">
      <c r="A715">
        <v>2024</v>
      </c>
      <c r="B715" s="4" t="s">
        <v>58</v>
      </c>
      <c r="C715" s="1">
        <v>2</v>
      </c>
      <c r="D715" t="s">
        <v>62</v>
      </c>
      <c r="E715">
        <v>40</v>
      </c>
      <c r="F715">
        <v>3</v>
      </c>
      <c r="G715">
        <v>8</v>
      </c>
      <c r="H715">
        <v>124</v>
      </c>
      <c r="I715">
        <v>102</v>
      </c>
    </row>
    <row r="716" spans="1:9" x14ac:dyDescent="0.25">
      <c r="A716">
        <v>2024</v>
      </c>
      <c r="B716" s="4" t="s">
        <v>52</v>
      </c>
      <c r="C716" s="1">
        <v>5</v>
      </c>
      <c r="D716" t="s">
        <v>63</v>
      </c>
      <c r="E716">
        <v>40</v>
      </c>
      <c r="F716">
        <v>1</v>
      </c>
      <c r="G716">
        <v>46</v>
      </c>
      <c r="H716">
        <v>91</v>
      </c>
      <c r="I716">
        <v>102</v>
      </c>
    </row>
    <row r="717" spans="1:9" x14ac:dyDescent="0.25">
      <c r="A717">
        <v>2024</v>
      </c>
      <c r="B717" s="4" t="s">
        <v>52</v>
      </c>
      <c r="C717" s="1">
        <v>5</v>
      </c>
      <c r="D717" t="s">
        <v>63</v>
      </c>
      <c r="E717">
        <v>40</v>
      </c>
      <c r="F717">
        <v>2</v>
      </c>
      <c r="G717">
        <v>60</v>
      </c>
      <c r="H717">
        <v>91</v>
      </c>
      <c r="I717">
        <v>94</v>
      </c>
    </row>
    <row r="718" spans="1:9" x14ac:dyDescent="0.25">
      <c r="A718">
        <v>2024</v>
      </c>
      <c r="B718" s="4" t="s">
        <v>52</v>
      </c>
      <c r="C718" s="1">
        <v>5</v>
      </c>
      <c r="D718" t="s">
        <v>63</v>
      </c>
      <c r="E718">
        <v>40</v>
      </c>
      <c r="F718">
        <v>3</v>
      </c>
      <c r="G718">
        <v>76</v>
      </c>
      <c r="H718">
        <v>89</v>
      </c>
      <c r="I718">
        <v>112</v>
      </c>
    </row>
    <row r="719" spans="1:9" x14ac:dyDescent="0.25">
      <c r="A719">
        <v>2024</v>
      </c>
      <c r="B719" s="4" t="s">
        <v>64</v>
      </c>
      <c r="C719" s="1">
        <v>2</v>
      </c>
      <c r="D719" t="s">
        <v>65</v>
      </c>
      <c r="E719">
        <v>40</v>
      </c>
      <c r="F719">
        <v>1</v>
      </c>
      <c r="G719">
        <v>112</v>
      </c>
      <c r="H719">
        <v>76</v>
      </c>
      <c r="I719">
        <v>121</v>
      </c>
    </row>
    <row r="720" spans="1:9" x14ac:dyDescent="0.25">
      <c r="A720">
        <v>2024</v>
      </c>
      <c r="B720" s="4" t="s">
        <v>64</v>
      </c>
      <c r="C720" s="1">
        <v>2</v>
      </c>
      <c r="D720" t="s">
        <v>65</v>
      </c>
      <c r="E720">
        <v>40</v>
      </c>
      <c r="F720">
        <v>2</v>
      </c>
      <c r="G720">
        <v>94</v>
      </c>
      <c r="H720">
        <v>76</v>
      </c>
      <c r="I720">
        <v>120</v>
      </c>
    </row>
    <row r="721" spans="1:9" x14ac:dyDescent="0.25">
      <c r="A721">
        <v>2024</v>
      </c>
      <c r="B721" s="4" t="s">
        <v>64</v>
      </c>
      <c r="C721" s="1">
        <v>2</v>
      </c>
      <c r="D721" t="s">
        <v>65</v>
      </c>
      <c r="E721">
        <v>40</v>
      </c>
      <c r="F721">
        <v>3</v>
      </c>
      <c r="G721">
        <v>78</v>
      </c>
      <c r="H721">
        <v>74</v>
      </c>
      <c r="I721">
        <v>128</v>
      </c>
    </row>
    <row r="722" spans="1:9" x14ac:dyDescent="0.25">
      <c r="A722">
        <v>2024</v>
      </c>
      <c r="B722" s="4" t="s">
        <v>66</v>
      </c>
      <c r="C722" s="1">
        <v>4</v>
      </c>
      <c r="D722" t="s">
        <v>67</v>
      </c>
      <c r="E722">
        <v>40</v>
      </c>
      <c r="F722">
        <v>1</v>
      </c>
      <c r="G722">
        <v>4</v>
      </c>
      <c r="H722" t="s">
        <v>20</v>
      </c>
      <c r="I722" t="s">
        <v>20</v>
      </c>
    </row>
    <row r="723" spans="1:9" x14ac:dyDescent="0.25">
      <c r="A723">
        <v>2024</v>
      </c>
      <c r="B723" s="4" t="s">
        <v>66</v>
      </c>
      <c r="C723" s="1">
        <v>4</v>
      </c>
      <c r="D723" t="s">
        <v>67</v>
      </c>
      <c r="E723">
        <v>40</v>
      </c>
      <c r="F723">
        <v>2</v>
      </c>
      <c r="G723">
        <v>6</v>
      </c>
      <c r="H723">
        <v>104</v>
      </c>
      <c r="I723">
        <v>90</v>
      </c>
    </row>
    <row r="724" spans="1:9" x14ac:dyDescent="0.25">
      <c r="A724">
        <v>2024</v>
      </c>
      <c r="B724" s="4" t="s">
        <v>66</v>
      </c>
      <c r="C724" s="1">
        <v>4</v>
      </c>
      <c r="D724" t="s">
        <v>67</v>
      </c>
      <c r="E724">
        <v>40</v>
      </c>
      <c r="F724">
        <v>3</v>
      </c>
      <c r="G724">
        <v>4</v>
      </c>
      <c r="H724" t="s">
        <v>20</v>
      </c>
      <c r="I724" t="s">
        <v>20</v>
      </c>
    </row>
    <row r="725" spans="1:9" x14ac:dyDescent="0.25">
      <c r="A725">
        <v>2024</v>
      </c>
      <c r="B725" s="4" t="s">
        <v>64</v>
      </c>
      <c r="C725" s="1">
        <v>2</v>
      </c>
      <c r="D725" t="s">
        <v>68</v>
      </c>
      <c r="E725">
        <v>40</v>
      </c>
      <c r="F725">
        <v>1</v>
      </c>
      <c r="G725">
        <v>80</v>
      </c>
      <c r="H725">
        <v>73</v>
      </c>
      <c r="I725">
        <v>98</v>
      </c>
    </row>
    <row r="726" spans="1:9" x14ac:dyDescent="0.25">
      <c r="A726">
        <v>2024</v>
      </c>
      <c r="B726" s="4" t="s">
        <v>64</v>
      </c>
      <c r="C726" s="1">
        <v>2</v>
      </c>
      <c r="D726" t="s">
        <v>68</v>
      </c>
      <c r="E726">
        <v>40</v>
      </c>
      <c r="F726">
        <v>2</v>
      </c>
      <c r="G726">
        <v>84</v>
      </c>
      <c r="H726">
        <v>73</v>
      </c>
      <c r="I726">
        <v>106</v>
      </c>
    </row>
    <row r="727" spans="1:9" x14ac:dyDescent="0.25">
      <c r="A727">
        <v>2024</v>
      </c>
      <c r="B727" s="4" t="s">
        <v>64</v>
      </c>
      <c r="C727" s="1">
        <v>2</v>
      </c>
      <c r="D727" t="s">
        <v>68</v>
      </c>
      <c r="E727">
        <v>40</v>
      </c>
      <c r="F727">
        <v>3</v>
      </c>
      <c r="G727">
        <v>104</v>
      </c>
      <c r="H727">
        <v>72</v>
      </c>
      <c r="I727">
        <v>108</v>
      </c>
    </row>
    <row r="728" spans="1:9" x14ac:dyDescent="0.25">
      <c r="A728">
        <v>2024</v>
      </c>
      <c r="B728" s="4" t="s">
        <v>52</v>
      </c>
      <c r="C728" s="1">
        <v>5</v>
      </c>
      <c r="D728" t="s">
        <v>71</v>
      </c>
      <c r="E728">
        <v>40</v>
      </c>
      <c r="F728">
        <v>1</v>
      </c>
      <c r="G728">
        <v>30</v>
      </c>
      <c r="H728">
        <v>95</v>
      </c>
      <c r="I728">
        <v>102</v>
      </c>
    </row>
    <row r="729" spans="1:9" x14ac:dyDescent="0.25">
      <c r="A729">
        <v>2024</v>
      </c>
      <c r="B729" s="4" t="s">
        <v>52</v>
      </c>
      <c r="C729" s="1">
        <v>5</v>
      </c>
      <c r="D729" t="s">
        <v>71</v>
      </c>
      <c r="E729">
        <v>40</v>
      </c>
      <c r="F729">
        <v>2</v>
      </c>
      <c r="G729">
        <v>36</v>
      </c>
      <c r="H729">
        <v>104</v>
      </c>
      <c r="I729">
        <v>95</v>
      </c>
    </row>
    <row r="730" spans="1:9" x14ac:dyDescent="0.25">
      <c r="A730">
        <v>2024</v>
      </c>
      <c r="B730" s="4" t="s">
        <v>52</v>
      </c>
      <c r="C730" s="1">
        <v>5</v>
      </c>
      <c r="D730" t="s">
        <v>71</v>
      </c>
      <c r="E730">
        <v>40</v>
      </c>
      <c r="F730">
        <v>3</v>
      </c>
      <c r="G730">
        <v>28</v>
      </c>
      <c r="H730">
        <v>104</v>
      </c>
      <c r="I730">
        <v>105</v>
      </c>
    </row>
    <row r="731" spans="1:9" x14ac:dyDescent="0.25">
      <c r="A731">
        <v>2024</v>
      </c>
      <c r="B731" s="4" t="s">
        <v>69</v>
      </c>
      <c r="C731" s="1">
        <v>2</v>
      </c>
      <c r="D731" t="s">
        <v>72</v>
      </c>
      <c r="E731">
        <v>40</v>
      </c>
      <c r="F731">
        <v>1</v>
      </c>
      <c r="G731">
        <v>94</v>
      </c>
      <c r="H731">
        <v>82</v>
      </c>
      <c r="I731">
        <v>111</v>
      </c>
    </row>
    <row r="732" spans="1:9" x14ac:dyDescent="0.25">
      <c r="A732">
        <v>2024</v>
      </c>
      <c r="B732" s="4" t="s">
        <v>69</v>
      </c>
      <c r="C732" s="1">
        <v>2</v>
      </c>
      <c r="D732" t="s">
        <v>72</v>
      </c>
      <c r="E732">
        <v>40</v>
      </c>
      <c r="F732">
        <v>2</v>
      </c>
      <c r="G732">
        <v>82</v>
      </c>
      <c r="H732">
        <v>83</v>
      </c>
      <c r="I732">
        <v>100</v>
      </c>
    </row>
    <row r="733" spans="1:9" x14ac:dyDescent="0.25">
      <c r="A733">
        <v>2024</v>
      </c>
      <c r="B733" s="4" t="s">
        <v>69</v>
      </c>
      <c r="C733" s="1">
        <v>2</v>
      </c>
      <c r="D733" t="s">
        <v>72</v>
      </c>
      <c r="E733">
        <v>40</v>
      </c>
      <c r="F733">
        <v>3</v>
      </c>
      <c r="G733">
        <v>90</v>
      </c>
      <c r="H733">
        <v>82</v>
      </c>
      <c r="I733">
        <v>98</v>
      </c>
    </row>
    <row r="734" spans="1:9" x14ac:dyDescent="0.25">
      <c r="A734">
        <v>2024</v>
      </c>
      <c r="B734" s="4" t="s">
        <v>52</v>
      </c>
      <c r="C734" s="1">
        <v>4</v>
      </c>
      <c r="D734" t="s">
        <v>73</v>
      </c>
      <c r="E734">
        <v>40</v>
      </c>
      <c r="F734">
        <v>1</v>
      </c>
      <c r="G734">
        <v>2</v>
      </c>
      <c r="H734">
        <v>106</v>
      </c>
      <c r="I734">
        <v>98</v>
      </c>
    </row>
    <row r="735" spans="1:9" x14ac:dyDescent="0.25">
      <c r="A735">
        <v>2024</v>
      </c>
      <c r="B735" s="4" t="s">
        <v>52</v>
      </c>
      <c r="C735" s="1">
        <v>4</v>
      </c>
      <c r="D735" t="s">
        <v>73</v>
      </c>
      <c r="E735">
        <v>40</v>
      </c>
      <c r="F735">
        <v>2</v>
      </c>
      <c r="G735">
        <v>12</v>
      </c>
      <c r="H735">
        <v>109</v>
      </c>
      <c r="I735">
        <v>77</v>
      </c>
    </row>
    <row r="736" spans="1:9" x14ac:dyDescent="0.25">
      <c r="A736">
        <v>2024</v>
      </c>
      <c r="B736" s="4" t="s">
        <v>52</v>
      </c>
      <c r="C736" s="1">
        <v>4</v>
      </c>
      <c r="D736" t="s">
        <v>73</v>
      </c>
      <c r="E736">
        <v>40</v>
      </c>
      <c r="F736">
        <v>3</v>
      </c>
      <c r="G736">
        <v>12</v>
      </c>
      <c r="H736">
        <v>109</v>
      </c>
      <c r="I736">
        <v>115</v>
      </c>
    </row>
    <row r="737" spans="1:9" x14ac:dyDescent="0.25">
      <c r="A737">
        <v>2024</v>
      </c>
      <c r="B737" s="4" t="s">
        <v>75</v>
      </c>
      <c r="C737" s="1">
        <v>4</v>
      </c>
      <c r="D737" t="s">
        <v>77</v>
      </c>
      <c r="E737">
        <v>40</v>
      </c>
      <c r="F737">
        <v>1</v>
      </c>
      <c r="G737">
        <v>36</v>
      </c>
      <c r="H737">
        <v>115</v>
      </c>
      <c r="I737">
        <v>103</v>
      </c>
    </row>
    <row r="738" spans="1:9" x14ac:dyDescent="0.25">
      <c r="A738">
        <v>2024</v>
      </c>
      <c r="B738" s="4" t="s">
        <v>75</v>
      </c>
      <c r="C738" s="1">
        <v>4</v>
      </c>
      <c r="D738" t="s">
        <v>77</v>
      </c>
      <c r="E738">
        <v>40</v>
      </c>
      <c r="F738">
        <v>2</v>
      </c>
      <c r="G738">
        <v>22</v>
      </c>
      <c r="H738">
        <v>116</v>
      </c>
      <c r="I738">
        <v>93</v>
      </c>
    </row>
    <row r="739" spans="1:9" x14ac:dyDescent="0.25">
      <c r="A739">
        <v>2024</v>
      </c>
      <c r="B739" s="4" t="s">
        <v>75</v>
      </c>
      <c r="C739" s="1">
        <v>4</v>
      </c>
      <c r="D739" t="s">
        <v>77</v>
      </c>
      <c r="E739">
        <v>40</v>
      </c>
      <c r="F739">
        <v>3</v>
      </c>
      <c r="G739">
        <v>40</v>
      </c>
      <c r="H739">
        <v>112</v>
      </c>
      <c r="I739">
        <v>110</v>
      </c>
    </row>
    <row r="740" spans="1:9" x14ac:dyDescent="0.25">
      <c r="A740">
        <v>2024</v>
      </c>
      <c r="B740" s="4" t="s">
        <v>75</v>
      </c>
      <c r="C740" s="1">
        <v>4</v>
      </c>
      <c r="D740" t="s">
        <v>79</v>
      </c>
      <c r="E740">
        <v>40</v>
      </c>
      <c r="F740">
        <v>1</v>
      </c>
      <c r="G740">
        <v>32</v>
      </c>
      <c r="H740">
        <v>121</v>
      </c>
      <c r="I740">
        <v>101</v>
      </c>
    </row>
    <row r="741" spans="1:9" x14ac:dyDescent="0.25">
      <c r="A741">
        <v>2024</v>
      </c>
      <c r="B741" s="4" t="s">
        <v>75</v>
      </c>
      <c r="C741" s="1">
        <v>4</v>
      </c>
      <c r="D741" t="s">
        <v>79</v>
      </c>
      <c r="E741">
        <v>40</v>
      </c>
      <c r="F741">
        <v>2</v>
      </c>
      <c r="G741">
        <v>28</v>
      </c>
      <c r="H741">
        <v>129</v>
      </c>
      <c r="I741">
        <v>110</v>
      </c>
    </row>
    <row r="742" spans="1:9" x14ac:dyDescent="0.25">
      <c r="A742">
        <v>2024</v>
      </c>
      <c r="B742" s="4" t="s">
        <v>75</v>
      </c>
      <c r="C742" s="1">
        <v>4</v>
      </c>
      <c r="D742" t="s">
        <v>79</v>
      </c>
      <c r="E742">
        <v>40</v>
      </c>
      <c r="F742">
        <v>3</v>
      </c>
      <c r="G742">
        <v>20</v>
      </c>
      <c r="H742">
        <v>124</v>
      </c>
      <c r="I742">
        <v>110</v>
      </c>
    </row>
    <row r="743" spans="1:9" x14ac:dyDescent="0.25">
      <c r="A743">
        <v>2024</v>
      </c>
      <c r="B743" s="4" t="s">
        <v>64</v>
      </c>
      <c r="C743" s="1">
        <v>3</v>
      </c>
      <c r="D743" t="s">
        <v>80</v>
      </c>
      <c r="E743">
        <v>40</v>
      </c>
      <c r="F743">
        <v>1</v>
      </c>
      <c r="G743">
        <v>56</v>
      </c>
      <c r="H743">
        <v>95</v>
      </c>
      <c r="I743">
        <v>122</v>
      </c>
    </row>
    <row r="744" spans="1:9" x14ac:dyDescent="0.25">
      <c r="A744">
        <v>2024</v>
      </c>
      <c r="B744" s="4" t="s">
        <v>64</v>
      </c>
      <c r="C744" s="1">
        <v>3</v>
      </c>
      <c r="D744" t="s">
        <v>80</v>
      </c>
      <c r="E744">
        <v>40</v>
      </c>
      <c r="F744">
        <v>2</v>
      </c>
      <c r="G744">
        <v>60</v>
      </c>
      <c r="H744">
        <v>91</v>
      </c>
      <c r="I744">
        <v>121</v>
      </c>
    </row>
    <row r="745" spans="1:9" x14ac:dyDescent="0.25">
      <c r="A745">
        <v>2024</v>
      </c>
      <c r="B745" s="4" t="s">
        <v>64</v>
      </c>
      <c r="C745" s="1">
        <v>3</v>
      </c>
      <c r="D745" t="s">
        <v>80</v>
      </c>
      <c r="E745">
        <v>40</v>
      </c>
      <c r="F745">
        <v>3</v>
      </c>
      <c r="G745">
        <v>56</v>
      </c>
      <c r="H745">
        <v>95</v>
      </c>
      <c r="I745">
        <v>133</v>
      </c>
    </row>
    <row r="746" spans="1:9" x14ac:dyDescent="0.25">
      <c r="A746">
        <v>2024</v>
      </c>
      <c r="B746" s="4" t="s">
        <v>81</v>
      </c>
      <c r="C746" s="1">
        <v>4</v>
      </c>
      <c r="D746" t="s">
        <v>82</v>
      </c>
      <c r="E746">
        <v>40</v>
      </c>
      <c r="F746">
        <v>1</v>
      </c>
      <c r="G746">
        <v>24</v>
      </c>
      <c r="H746">
        <v>121</v>
      </c>
      <c r="I746">
        <v>101</v>
      </c>
    </row>
    <row r="747" spans="1:9" x14ac:dyDescent="0.25">
      <c r="A747">
        <v>2024</v>
      </c>
      <c r="B747" s="4" t="s">
        <v>81</v>
      </c>
      <c r="C747" s="1">
        <v>4</v>
      </c>
      <c r="D747" t="s">
        <v>82</v>
      </c>
      <c r="E747">
        <v>40</v>
      </c>
      <c r="F747">
        <v>2</v>
      </c>
      <c r="G747">
        <v>36</v>
      </c>
      <c r="H747">
        <v>118</v>
      </c>
      <c r="I747">
        <v>108</v>
      </c>
    </row>
    <row r="748" spans="1:9" x14ac:dyDescent="0.25">
      <c r="A748">
        <v>2024</v>
      </c>
      <c r="B748" s="4" t="s">
        <v>81</v>
      </c>
      <c r="C748" s="1">
        <v>4</v>
      </c>
      <c r="D748" t="s">
        <v>82</v>
      </c>
      <c r="E748">
        <v>40</v>
      </c>
      <c r="F748">
        <v>3</v>
      </c>
      <c r="G748">
        <v>36</v>
      </c>
      <c r="H748">
        <v>124</v>
      </c>
      <c r="I748">
        <v>113</v>
      </c>
    </row>
    <row r="749" spans="1:9" x14ac:dyDescent="0.25">
      <c r="A749">
        <v>2024</v>
      </c>
      <c r="B749" s="4" t="s">
        <v>58</v>
      </c>
      <c r="C749" s="1">
        <v>2</v>
      </c>
      <c r="D749" t="s">
        <v>85</v>
      </c>
      <c r="E749">
        <v>40</v>
      </c>
      <c r="F749">
        <v>1</v>
      </c>
      <c r="G749">
        <v>48</v>
      </c>
      <c r="H749">
        <v>124</v>
      </c>
      <c r="I749">
        <v>118</v>
      </c>
    </row>
    <row r="750" spans="1:9" x14ac:dyDescent="0.25">
      <c r="A750">
        <v>2024</v>
      </c>
      <c r="B750" s="4" t="s">
        <v>58</v>
      </c>
      <c r="C750" s="1">
        <v>2</v>
      </c>
      <c r="D750" t="s">
        <v>85</v>
      </c>
      <c r="E750">
        <v>40</v>
      </c>
      <c r="F750">
        <v>2</v>
      </c>
      <c r="G750">
        <v>56</v>
      </c>
      <c r="H750">
        <v>125</v>
      </c>
      <c r="I750">
        <v>121</v>
      </c>
    </row>
    <row r="751" spans="1:9" x14ac:dyDescent="0.25">
      <c r="A751">
        <v>2024</v>
      </c>
      <c r="B751" s="4" t="s">
        <v>58</v>
      </c>
      <c r="C751" s="1">
        <v>2</v>
      </c>
      <c r="D751" t="s">
        <v>85</v>
      </c>
      <c r="E751">
        <v>40</v>
      </c>
      <c r="F751">
        <v>3</v>
      </c>
      <c r="G751">
        <v>44</v>
      </c>
      <c r="H751">
        <v>138</v>
      </c>
      <c r="I751">
        <v>115</v>
      </c>
    </row>
    <row r="752" spans="1:9" x14ac:dyDescent="0.25">
      <c r="A752">
        <v>2024</v>
      </c>
      <c r="B752" s="4" t="s">
        <v>58</v>
      </c>
      <c r="C752" s="1">
        <v>2</v>
      </c>
      <c r="D752" t="s">
        <v>86</v>
      </c>
      <c r="E752">
        <v>40</v>
      </c>
      <c r="F752">
        <v>1</v>
      </c>
      <c r="G752">
        <v>20</v>
      </c>
      <c r="H752">
        <v>136</v>
      </c>
      <c r="I752">
        <v>120</v>
      </c>
    </row>
    <row r="753" spans="1:9" x14ac:dyDescent="0.25">
      <c r="A753">
        <v>2024</v>
      </c>
      <c r="B753" s="4" t="s">
        <v>58</v>
      </c>
      <c r="C753" s="1">
        <v>2</v>
      </c>
      <c r="D753" t="s">
        <v>86</v>
      </c>
      <c r="E753">
        <v>40</v>
      </c>
      <c r="F753">
        <v>2</v>
      </c>
      <c r="G753">
        <v>18</v>
      </c>
      <c r="H753">
        <v>136</v>
      </c>
      <c r="I753">
        <v>127</v>
      </c>
    </row>
    <row r="754" spans="1:9" x14ac:dyDescent="0.25">
      <c r="A754">
        <v>2024</v>
      </c>
      <c r="B754" s="4" t="s">
        <v>58</v>
      </c>
      <c r="C754" s="1">
        <v>2</v>
      </c>
      <c r="D754" t="s">
        <v>86</v>
      </c>
      <c r="E754">
        <v>40</v>
      </c>
      <c r="F754">
        <v>3</v>
      </c>
      <c r="G754">
        <v>30</v>
      </c>
      <c r="H754">
        <v>121</v>
      </c>
      <c r="I754">
        <v>135</v>
      </c>
    </row>
    <row r="755" spans="1:9" x14ac:dyDescent="0.25">
      <c r="A755">
        <v>2024</v>
      </c>
      <c r="B755" s="4" t="s">
        <v>14</v>
      </c>
      <c r="C755" s="1" t="s">
        <v>20</v>
      </c>
      <c r="D755" t="s">
        <v>90</v>
      </c>
      <c r="E755">
        <v>40</v>
      </c>
      <c r="F755">
        <v>1</v>
      </c>
      <c r="G755">
        <v>64</v>
      </c>
      <c r="H755">
        <v>135</v>
      </c>
      <c r="I755">
        <v>110</v>
      </c>
    </row>
    <row r="756" spans="1:9" x14ac:dyDescent="0.25">
      <c r="A756">
        <v>2024</v>
      </c>
      <c r="B756" s="4" t="s">
        <v>14</v>
      </c>
      <c r="C756" s="1" t="s">
        <v>20</v>
      </c>
      <c r="D756" t="s">
        <v>90</v>
      </c>
      <c r="E756">
        <v>40</v>
      </c>
      <c r="F756">
        <v>2</v>
      </c>
      <c r="G756">
        <v>64</v>
      </c>
      <c r="H756">
        <v>147</v>
      </c>
      <c r="I756">
        <v>120</v>
      </c>
    </row>
    <row r="757" spans="1:9" x14ac:dyDescent="0.25">
      <c r="A757">
        <v>2024</v>
      </c>
      <c r="B757" s="4" t="s">
        <v>14</v>
      </c>
      <c r="C757" s="1" t="s">
        <v>20</v>
      </c>
      <c r="D757" t="s">
        <v>90</v>
      </c>
      <c r="E757">
        <v>40</v>
      </c>
      <c r="F757">
        <v>3</v>
      </c>
      <c r="G757">
        <v>52</v>
      </c>
      <c r="H757">
        <v>140</v>
      </c>
      <c r="I757">
        <v>105</v>
      </c>
    </row>
    <row r="758" spans="1:9" x14ac:dyDescent="0.25">
      <c r="A758">
        <v>2024</v>
      </c>
      <c r="B758" s="4" t="s">
        <v>49</v>
      </c>
      <c r="C758" s="1">
        <v>5</v>
      </c>
      <c r="D758" t="s">
        <v>93</v>
      </c>
      <c r="E758">
        <v>40</v>
      </c>
      <c r="F758">
        <v>1</v>
      </c>
      <c r="G758">
        <v>33</v>
      </c>
      <c r="H758">
        <v>86</v>
      </c>
      <c r="I758">
        <v>97</v>
      </c>
    </row>
    <row r="759" spans="1:9" x14ac:dyDescent="0.25">
      <c r="A759">
        <v>2024</v>
      </c>
      <c r="B759" s="4" t="s">
        <v>49</v>
      </c>
      <c r="C759" s="1">
        <v>5</v>
      </c>
      <c r="D759" t="s">
        <v>93</v>
      </c>
      <c r="E759">
        <v>40</v>
      </c>
      <c r="F759">
        <v>2</v>
      </c>
      <c r="G759">
        <v>32</v>
      </c>
      <c r="H759">
        <v>91</v>
      </c>
      <c r="I759">
        <v>100</v>
      </c>
    </row>
    <row r="760" spans="1:9" x14ac:dyDescent="0.25">
      <c r="A760">
        <v>2024</v>
      </c>
      <c r="B760" s="4" t="s">
        <v>49</v>
      </c>
      <c r="C760" s="1">
        <v>5</v>
      </c>
      <c r="D760" t="s">
        <v>93</v>
      </c>
      <c r="E760">
        <v>40</v>
      </c>
      <c r="F760">
        <v>3</v>
      </c>
      <c r="G760">
        <v>24</v>
      </c>
      <c r="H760">
        <v>92</v>
      </c>
      <c r="I760">
        <v>93</v>
      </c>
    </row>
    <row r="761" spans="1:9" x14ac:dyDescent="0.25">
      <c r="A761">
        <v>2024</v>
      </c>
      <c r="B761" s="4" t="s">
        <v>94</v>
      </c>
      <c r="C761" s="1">
        <v>4</v>
      </c>
      <c r="D761" t="s">
        <v>95</v>
      </c>
      <c r="E761">
        <v>40</v>
      </c>
      <c r="F761">
        <v>1</v>
      </c>
      <c r="G761">
        <v>16</v>
      </c>
      <c r="H761">
        <v>125</v>
      </c>
      <c r="I761">
        <v>100</v>
      </c>
    </row>
    <row r="762" spans="1:9" x14ac:dyDescent="0.25">
      <c r="A762">
        <v>2024</v>
      </c>
      <c r="B762" s="4" t="s">
        <v>94</v>
      </c>
      <c r="C762" s="1">
        <v>4</v>
      </c>
      <c r="D762" t="s">
        <v>95</v>
      </c>
      <c r="E762">
        <v>40</v>
      </c>
      <c r="F762">
        <v>2</v>
      </c>
      <c r="G762">
        <v>32</v>
      </c>
      <c r="H762">
        <v>113</v>
      </c>
      <c r="I762">
        <v>100</v>
      </c>
    </row>
    <row r="763" spans="1:9" x14ac:dyDescent="0.25">
      <c r="A763">
        <v>2024</v>
      </c>
      <c r="B763" s="4" t="s">
        <v>94</v>
      </c>
      <c r="C763" s="1">
        <v>4</v>
      </c>
      <c r="D763" t="s">
        <v>95</v>
      </c>
      <c r="E763">
        <v>40</v>
      </c>
      <c r="F763">
        <v>3</v>
      </c>
      <c r="G763">
        <v>16</v>
      </c>
      <c r="H763">
        <v>124</v>
      </c>
      <c r="I763">
        <v>102</v>
      </c>
    </row>
    <row r="764" spans="1:9" x14ac:dyDescent="0.25">
      <c r="A764">
        <v>2024</v>
      </c>
      <c r="B764" s="4" t="s">
        <v>94</v>
      </c>
      <c r="C764" s="1">
        <v>4</v>
      </c>
      <c r="D764" t="s">
        <v>102</v>
      </c>
      <c r="E764">
        <v>40</v>
      </c>
      <c r="F764">
        <v>1</v>
      </c>
      <c r="G764">
        <v>2</v>
      </c>
      <c r="H764">
        <v>103</v>
      </c>
      <c r="I764">
        <v>87</v>
      </c>
    </row>
    <row r="765" spans="1:9" x14ac:dyDescent="0.25">
      <c r="A765">
        <v>2024</v>
      </c>
      <c r="B765" s="4" t="s">
        <v>94</v>
      </c>
      <c r="C765" s="1">
        <v>4</v>
      </c>
      <c r="D765" t="s">
        <v>102</v>
      </c>
      <c r="E765">
        <v>40</v>
      </c>
      <c r="F765">
        <v>2</v>
      </c>
      <c r="G765">
        <v>6</v>
      </c>
      <c r="H765">
        <v>100</v>
      </c>
      <c r="I765">
        <v>100</v>
      </c>
    </row>
    <row r="766" spans="1:9" x14ac:dyDescent="0.25">
      <c r="A766">
        <v>2024</v>
      </c>
      <c r="B766" s="4" t="s">
        <v>94</v>
      </c>
      <c r="C766" s="1">
        <v>4</v>
      </c>
      <c r="D766" t="s">
        <v>102</v>
      </c>
      <c r="E766">
        <v>40</v>
      </c>
      <c r="F766">
        <v>3</v>
      </c>
      <c r="G766">
        <v>10</v>
      </c>
      <c r="H766">
        <v>103</v>
      </c>
      <c r="I766">
        <v>90</v>
      </c>
    </row>
    <row r="767" spans="1:9" x14ac:dyDescent="0.25">
      <c r="A767">
        <v>2024</v>
      </c>
      <c r="B767" s="4" t="s">
        <v>94</v>
      </c>
      <c r="C767" s="1">
        <v>5</v>
      </c>
      <c r="D767" t="s">
        <v>103</v>
      </c>
      <c r="E767">
        <v>40</v>
      </c>
      <c r="F767">
        <v>1</v>
      </c>
      <c r="G767">
        <v>56</v>
      </c>
      <c r="H767">
        <v>106</v>
      </c>
      <c r="I767">
        <v>105</v>
      </c>
    </row>
    <row r="768" spans="1:9" x14ac:dyDescent="0.25">
      <c r="A768">
        <v>2024</v>
      </c>
      <c r="B768" s="4" t="s">
        <v>94</v>
      </c>
      <c r="C768" s="1">
        <v>5</v>
      </c>
      <c r="D768" t="s">
        <v>103</v>
      </c>
      <c r="E768">
        <v>40</v>
      </c>
      <c r="F768">
        <v>2</v>
      </c>
      <c r="G768">
        <v>70</v>
      </c>
      <c r="H768">
        <v>104</v>
      </c>
      <c r="I768">
        <v>106</v>
      </c>
    </row>
    <row r="769" spans="1:9" x14ac:dyDescent="0.25">
      <c r="A769">
        <v>2024</v>
      </c>
      <c r="B769" s="4" t="s">
        <v>94</v>
      </c>
      <c r="C769" s="1">
        <v>5</v>
      </c>
      <c r="D769" t="s">
        <v>103</v>
      </c>
      <c r="E769">
        <v>40</v>
      </c>
      <c r="F769">
        <v>3</v>
      </c>
      <c r="G769">
        <v>60</v>
      </c>
      <c r="H769">
        <v>106</v>
      </c>
      <c r="I769">
        <v>108</v>
      </c>
    </row>
    <row r="770" spans="1:9" x14ac:dyDescent="0.25">
      <c r="A770">
        <v>2024</v>
      </c>
      <c r="B770" s="4" t="s">
        <v>94</v>
      </c>
      <c r="C770" s="1">
        <v>4</v>
      </c>
      <c r="D770" t="s">
        <v>104</v>
      </c>
      <c r="E770">
        <v>40</v>
      </c>
      <c r="F770">
        <v>1</v>
      </c>
      <c r="G770">
        <v>50</v>
      </c>
      <c r="H770">
        <v>119</v>
      </c>
      <c r="I770">
        <v>122</v>
      </c>
    </row>
    <row r="771" spans="1:9" x14ac:dyDescent="0.25">
      <c r="A771">
        <v>2024</v>
      </c>
      <c r="B771" s="4" t="s">
        <v>94</v>
      </c>
      <c r="C771" s="1">
        <v>4</v>
      </c>
      <c r="D771" t="s">
        <v>104</v>
      </c>
      <c r="E771">
        <v>40</v>
      </c>
      <c r="F771">
        <v>2</v>
      </c>
      <c r="G771">
        <v>62</v>
      </c>
      <c r="H771">
        <v>118</v>
      </c>
      <c r="I771">
        <v>118</v>
      </c>
    </row>
    <row r="772" spans="1:9" x14ac:dyDescent="0.25">
      <c r="A772">
        <v>2024</v>
      </c>
      <c r="B772" s="4" t="s">
        <v>94</v>
      </c>
      <c r="C772" s="1">
        <v>4</v>
      </c>
      <c r="D772" t="s">
        <v>104</v>
      </c>
      <c r="E772">
        <v>40</v>
      </c>
      <c r="F772">
        <v>3</v>
      </c>
      <c r="G772">
        <v>62</v>
      </c>
      <c r="H772">
        <v>124</v>
      </c>
      <c r="I772">
        <v>132</v>
      </c>
    </row>
    <row r="773" spans="1:9" x14ac:dyDescent="0.25">
      <c r="A773">
        <v>2024</v>
      </c>
      <c r="B773" s="4" t="s">
        <v>94</v>
      </c>
      <c r="C773" s="1">
        <v>5</v>
      </c>
      <c r="D773" t="s">
        <v>105</v>
      </c>
      <c r="E773">
        <v>40</v>
      </c>
      <c r="F773">
        <v>1</v>
      </c>
      <c r="G773">
        <v>10</v>
      </c>
      <c r="H773">
        <v>122</v>
      </c>
      <c r="I773">
        <v>83</v>
      </c>
    </row>
    <row r="774" spans="1:9" x14ac:dyDescent="0.25">
      <c r="A774">
        <v>2024</v>
      </c>
      <c r="B774" s="4" t="s">
        <v>94</v>
      </c>
      <c r="C774" s="1">
        <v>5</v>
      </c>
      <c r="D774" t="s">
        <v>105</v>
      </c>
      <c r="E774">
        <v>40</v>
      </c>
      <c r="F774">
        <v>2</v>
      </c>
      <c r="G774">
        <v>22</v>
      </c>
      <c r="H774">
        <v>124</v>
      </c>
      <c r="I774">
        <v>86</v>
      </c>
    </row>
    <row r="775" spans="1:9" x14ac:dyDescent="0.25">
      <c r="A775">
        <v>2024</v>
      </c>
      <c r="B775" s="4" t="s">
        <v>94</v>
      </c>
      <c r="C775" s="1">
        <v>5</v>
      </c>
      <c r="D775" t="s">
        <v>105</v>
      </c>
      <c r="E775">
        <v>40</v>
      </c>
      <c r="F775">
        <v>3</v>
      </c>
      <c r="G775">
        <v>14</v>
      </c>
      <c r="H775">
        <v>118</v>
      </c>
      <c r="I775">
        <v>98</v>
      </c>
    </row>
    <row r="776" spans="1:9" x14ac:dyDescent="0.25">
      <c r="A776">
        <v>2024</v>
      </c>
      <c r="B776" s="4" t="s">
        <v>94</v>
      </c>
      <c r="C776" s="1">
        <v>4</v>
      </c>
      <c r="D776" t="s">
        <v>106</v>
      </c>
      <c r="E776">
        <v>40</v>
      </c>
      <c r="F776">
        <v>1</v>
      </c>
      <c r="G776">
        <v>14</v>
      </c>
      <c r="H776">
        <v>116</v>
      </c>
      <c r="I776">
        <v>108</v>
      </c>
    </row>
    <row r="777" spans="1:9" x14ac:dyDescent="0.25">
      <c r="A777">
        <v>2024</v>
      </c>
      <c r="B777" s="4" t="s">
        <v>94</v>
      </c>
      <c r="C777" s="1">
        <v>4</v>
      </c>
      <c r="D777" t="s">
        <v>106</v>
      </c>
      <c r="E777">
        <v>40</v>
      </c>
      <c r="F777">
        <v>2</v>
      </c>
      <c r="G777">
        <v>6</v>
      </c>
      <c r="H777">
        <v>108</v>
      </c>
      <c r="I777">
        <v>112</v>
      </c>
    </row>
    <row r="778" spans="1:9" x14ac:dyDescent="0.25">
      <c r="A778">
        <v>2024</v>
      </c>
      <c r="B778" s="4" t="s">
        <v>94</v>
      </c>
      <c r="C778" s="1">
        <v>4</v>
      </c>
      <c r="D778" t="s">
        <v>106</v>
      </c>
      <c r="E778">
        <v>40</v>
      </c>
      <c r="F778">
        <v>3</v>
      </c>
      <c r="G778">
        <v>16</v>
      </c>
      <c r="H778">
        <v>115</v>
      </c>
      <c r="I778">
        <v>100</v>
      </c>
    </row>
    <row r="779" spans="1:9" x14ac:dyDescent="0.25">
      <c r="A779">
        <v>2024</v>
      </c>
      <c r="B779" s="4" t="s">
        <v>94</v>
      </c>
      <c r="C779" s="1">
        <v>4</v>
      </c>
      <c r="D779" t="s">
        <v>107</v>
      </c>
      <c r="E779">
        <v>40</v>
      </c>
      <c r="F779">
        <v>1</v>
      </c>
      <c r="G779">
        <v>2</v>
      </c>
      <c r="H779">
        <v>116</v>
      </c>
      <c r="I779">
        <v>95</v>
      </c>
    </row>
    <row r="780" spans="1:9" x14ac:dyDescent="0.25">
      <c r="A780">
        <v>2024</v>
      </c>
      <c r="B780" s="4" t="s">
        <v>94</v>
      </c>
      <c r="C780" s="1">
        <v>4</v>
      </c>
      <c r="D780" t="s">
        <v>107</v>
      </c>
      <c r="E780">
        <v>40</v>
      </c>
      <c r="F780">
        <v>2</v>
      </c>
      <c r="G780">
        <v>2</v>
      </c>
      <c r="H780">
        <v>116</v>
      </c>
      <c r="I780">
        <v>87</v>
      </c>
    </row>
    <row r="781" spans="1:9" x14ac:dyDescent="0.25">
      <c r="A781">
        <v>2024</v>
      </c>
      <c r="B781" s="4" t="s">
        <v>94</v>
      </c>
      <c r="C781" s="1">
        <v>4</v>
      </c>
      <c r="D781" t="s">
        <v>107</v>
      </c>
      <c r="E781">
        <v>40</v>
      </c>
      <c r="F781">
        <v>3</v>
      </c>
      <c r="G781">
        <v>4</v>
      </c>
      <c r="H781" t="s">
        <v>20</v>
      </c>
      <c r="I781" t="s">
        <v>20</v>
      </c>
    </row>
    <row r="782" spans="1:9" x14ac:dyDescent="0.25">
      <c r="A782">
        <v>2024</v>
      </c>
      <c r="B782" s="4" t="s">
        <v>94</v>
      </c>
      <c r="C782" s="1">
        <v>4</v>
      </c>
      <c r="D782" t="s">
        <v>108</v>
      </c>
      <c r="E782">
        <v>40</v>
      </c>
      <c r="F782">
        <v>1</v>
      </c>
      <c r="G782">
        <v>36</v>
      </c>
      <c r="H782">
        <v>100</v>
      </c>
      <c r="I782">
        <v>100</v>
      </c>
    </row>
    <row r="783" spans="1:9" x14ac:dyDescent="0.25">
      <c r="A783">
        <v>2024</v>
      </c>
      <c r="B783" s="4" t="s">
        <v>94</v>
      </c>
      <c r="C783" s="1">
        <v>4</v>
      </c>
      <c r="D783" t="s">
        <v>108</v>
      </c>
      <c r="E783">
        <v>40</v>
      </c>
      <c r="F783">
        <v>2</v>
      </c>
      <c r="G783">
        <v>42</v>
      </c>
      <c r="H783">
        <v>101</v>
      </c>
      <c r="I783">
        <v>107</v>
      </c>
    </row>
    <row r="784" spans="1:9" x14ac:dyDescent="0.25">
      <c r="A784">
        <v>2024</v>
      </c>
      <c r="B784" s="4" t="s">
        <v>94</v>
      </c>
      <c r="C784" s="1">
        <v>4</v>
      </c>
      <c r="D784" t="s">
        <v>108</v>
      </c>
      <c r="E784">
        <v>40</v>
      </c>
      <c r="F784">
        <v>3</v>
      </c>
      <c r="G784">
        <v>32</v>
      </c>
      <c r="H784">
        <v>102</v>
      </c>
      <c r="I784">
        <v>100</v>
      </c>
    </row>
    <row r="785" spans="1:9" x14ac:dyDescent="0.25">
      <c r="A785">
        <v>2024</v>
      </c>
      <c r="B785" s="4" t="s">
        <v>94</v>
      </c>
      <c r="C785" s="1">
        <v>4</v>
      </c>
      <c r="D785" t="s">
        <v>109</v>
      </c>
      <c r="E785">
        <v>40</v>
      </c>
      <c r="F785">
        <v>1</v>
      </c>
      <c r="G785">
        <v>24</v>
      </c>
      <c r="H785">
        <v>112</v>
      </c>
      <c r="I785">
        <v>109</v>
      </c>
    </row>
    <row r="786" spans="1:9" x14ac:dyDescent="0.25">
      <c r="A786">
        <v>2024</v>
      </c>
      <c r="B786" s="4" t="s">
        <v>94</v>
      </c>
      <c r="C786" s="1">
        <v>4</v>
      </c>
      <c r="D786" t="s">
        <v>109</v>
      </c>
      <c r="E786">
        <v>40</v>
      </c>
      <c r="F786">
        <v>2</v>
      </c>
      <c r="G786">
        <v>28</v>
      </c>
      <c r="H786">
        <v>109</v>
      </c>
      <c r="I786">
        <v>116</v>
      </c>
    </row>
    <row r="787" spans="1:9" x14ac:dyDescent="0.25">
      <c r="A787">
        <v>2024</v>
      </c>
      <c r="B787" s="4" t="s">
        <v>94</v>
      </c>
      <c r="C787" s="1">
        <v>4</v>
      </c>
      <c r="D787" t="s">
        <v>109</v>
      </c>
      <c r="E787">
        <v>40</v>
      </c>
      <c r="F787">
        <v>3</v>
      </c>
      <c r="G787">
        <v>26</v>
      </c>
      <c r="H787">
        <v>103</v>
      </c>
      <c r="I787">
        <v>121</v>
      </c>
    </row>
    <row r="788" spans="1:9" x14ac:dyDescent="0.25">
      <c r="A788">
        <v>2024</v>
      </c>
      <c r="B788" s="4" t="s">
        <v>94</v>
      </c>
      <c r="C788" s="1">
        <v>4</v>
      </c>
      <c r="D788" t="s">
        <v>110</v>
      </c>
      <c r="E788">
        <v>40</v>
      </c>
      <c r="F788">
        <v>1</v>
      </c>
      <c r="G788">
        <v>28</v>
      </c>
      <c r="H788">
        <v>112</v>
      </c>
      <c r="I788">
        <v>113</v>
      </c>
    </row>
    <row r="789" spans="1:9" x14ac:dyDescent="0.25">
      <c r="A789">
        <v>2024</v>
      </c>
      <c r="B789" s="4" t="s">
        <v>94</v>
      </c>
      <c r="C789" s="1">
        <v>4</v>
      </c>
      <c r="D789" t="s">
        <v>110</v>
      </c>
      <c r="E789">
        <v>40</v>
      </c>
      <c r="F789">
        <v>2</v>
      </c>
      <c r="G789">
        <v>36</v>
      </c>
      <c r="H789">
        <v>106</v>
      </c>
      <c r="I789">
        <v>96</v>
      </c>
    </row>
    <row r="790" spans="1:9" x14ac:dyDescent="0.25">
      <c r="A790">
        <v>2024</v>
      </c>
      <c r="B790" s="4" t="s">
        <v>94</v>
      </c>
      <c r="C790" s="1">
        <v>4</v>
      </c>
      <c r="D790" t="s">
        <v>110</v>
      </c>
      <c r="E790">
        <v>40</v>
      </c>
      <c r="F790">
        <v>3</v>
      </c>
      <c r="G790">
        <v>48</v>
      </c>
      <c r="H790">
        <v>113</v>
      </c>
      <c r="I790">
        <v>105</v>
      </c>
    </row>
    <row r="791" spans="1:9" x14ac:dyDescent="0.25">
      <c r="A791">
        <v>2024</v>
      </c>
      <c r="B791" s="4" t="s">
        <v>94</v>
      </c>
      <c r="C791" s="1">
        <v>5</v>
      </c>
      <c r="D791" t="s">
        <v>111</v>
      </c>
      <c r="E791">
        <v>40</v>
      </c>
      <c r="F791">
        <v>1</v>
      </c>
      <c r="G791" t="s">
        <v>20</v>
      </c>
      <c r="H791">
        <v>109</v>
      </c>
      <c r="I791">
        <v>110</v>
      </c>
    </row>
    <row r="792" spans="1:9" x14ac:dyDescent="0.25">
      <c r="A792">
        <v>2024</v>
      </c>
      <c r="B792" s="4" t="s">
        <v>94</v>
      </c>
      <c r="C792" s="1">
        <v>5</v>
      </c>
      <c r="D792" t="s">
        <v>111</v>
      </c>
      <c r="E792">
        <v>40</v>
      </c>
      <c r="F792">
        <v>2</v>
      </c>
      <c r="G792">
        <v>4</v>
      </c>
      <c r="H792">
        <v>104</v>
      </c>
      <c r="I792">
        <v>100</v>
      </c>
    </row>
    <row r="793" spans="1:9" x14ac:dyDescent="0.25">
      <c r="A793">
        <v>2024</v>
      </c>
      <c r="B793" s="4" t="s">
        <v>94</v>
      </c>
      <c r="C793" s="1">
        <v>5</v>
      </c>
      <c r="D793" t="s">
        <v>111</v>
      </c>
      <c r="E793">
        <v>40</v>
      </c>
      <c r="F793">
        <v>3</v>
      </c>
      <c r="G793">
        <v>12</v>
      </c>
      <c r="H793" t="s">
        <v>20</v>
      </c>
      <c r="I793" t="s">
        <v>20</v>
      </c>
    </row>
    <row r="794" spans="1:9" x14ac:dyDescent="0.25">
      <c r="A794">
        <v>2024</v>
      </c>
      <c r="B794" s="4" t="s">
        <v>94</v>
      </c>
      <c r="C794" s="1">
        <v>4</v>
      </c>
      <c r="D794" t="s">
        <v>112</v>
      </c>
      <c r="E794">
        <v>40</v>
      </c>
      <c r="F794">
        <v>1</v>
      </c>
      <c r="G794">
        <v>32</v>
      </c>
      <c r="H794">
        <v>104</v>
      </c>
      <c r="I794">
        <v>110</v>
      </c>
    </row>
    <row r="795" spans="1:9" x14ac:dyDescent="0.25">
      <c r="A795">
        <v>2024</v>
      </c>
      <c r="B795" s="4" t="s">
        <v>94</v>
      </c>
      <c r="C795" s="1">
        <v>4</v>
      </c>
      <c r="D795" t="s">
        <v>112</v>
      </c>
      <c r="E795">
        <v>40</v>
      </c>
      <c r="F795">
        <v>2</v>
      </c>
      <c r="G795">
        <v>28</v>
      </c>
      <c r="H795">
        <v>112</v>
      </c>
      <c r="I795">
        <v>110</v>
      </c>
    </row>
    <row r="796" spans="1:9" x14ac:dyDescent="0.25">
      <c r="A796">
        <v>2024</v>
      </c>
      <c r="B796" s="4" t="s">
        <v>94</v>
      </c>
      <c r="C796" s="1">
        <v>4</v>
      </c>
      <c r="D796" t="s">
        <v>112</v>
      </c>
      <c r="E796">
        <v>40</v>
      </c>
      <c r="F796">
        <v>3</v>
      </c>
      <c r="G796">
        <v>22</v>
      </c>
      <c r="H796">
        <v>104</v>
      </c>
      <c r="I796">
        <v>117</v>
      </c>
    </row>
    <row r="797" spans="1:9" x14ac:dyDescent="0.25">
      <c r="A797">
        <v>2024</v>
      </c>
      <c r="B797" s="4" t="s">
        <v>94</v>
      </c>
      <c r="C797" s="1">
        <v>4</v>
      </c>
      <c r="D797" t="s">
        <v>113</v>
      </c>
      <c r="E797">
        <v>40</v>
      </c>
      <c r="F797">
        <v>1</v>
      </c>
      <c r="G797">
        <v>36</v>
      </c>
      <c r="H797">
        <v>104</v>
      </c>
      <c r="I797">
        <v>92</v>
      </c>
    </row>
    <row r="798" spans="1:9" x14ac:dyDescent="0.25">
      <c r="A798">
        <v>2024</v>
      </c>
      <c r="B798" s="4" t="s">
        <v>94</v>
      </c>
      <c r="C798" s="1">
        <v>4</v>
      </c>
      <c r="D798" t="s">
        <v>113</v>
      </c>
      <c r="E798">
        <v>40</v>
      </c>
      <c r="F798">
        <v>2</v>
      </c>
      <c r="G798">
        <v>26</v>
      </c>
      <c r="H798">
        <v>106</v>
      </c>
      <c r="I798">
        <v>100</v>
      </c>
    </row>
    <row r="799" spans="1:9" x14ac:dyDescent="0.25">
      <c r="A799">
        <v>2024</v>
      </c>
      <c r="B799" s="4" t="s">
        <v>94</v>
      </c>
      <c r="C799" s="1">
        <v>4</v>
      </c>
      <c r="D799" t="s">
        <v>113</v>
      </c>
      <c r="E799">
        <v>40</v>
      </c>
      <c r="F799">
        <v>3</v>
      </c>
      <c r="G799">
        <v>36</v>
      </c>
      <c r="H799">
        <v>106</v>
      </c>
      <c r="I799">
        <v>87</v>
      </c>
    </row>
    <row r="800" spans="1:9" x14ac:dyDescent="0.25">
      <c r="A800">
        <v>2024</v>
      </c>
      <c r="B800" s="4" t="s">
        <v>94</v>
      </c>
      <c r="C800" s="1">
        <v>4</v>
      </c>
      <c r="D800" t="s">
        <v>114</v>
      </c>
      <c r="E800">
        <v>40</v>
      </c>
      <c r="F800">
        <v>1</v>
      </c>
      <c r="G800">
        <v>36</v>
      </c>
      <c r="H800">
        <v>106</v>
      </c>
      <c r="I800">
        <v>100</v>
      </c>
    </row>
    <row r="801" spans="1:9" x14ac:dyDescent="0.25">
      <c r="A801">
        <v>2024</v>
      </c>
      <c r="B801" s="4" t="s">
        <v>94</v>
      </c>
      <c r="C801" s="1">
        <v>4</v>
      </c>
      <c r="D801" t="s">
        <v>114</v>
      </c>
      <c r="E801">
        <v>40</v>
      </c>
      <c r="F801">
        <v>2</v>
      </c>
      <c r="G801">
        <v>28</v>
      </c>
      <c r="H801">
        <v>112</v>
      </c>
      <c r="I801">
        <v>110</v>
      </c>
    </row>
    <row r="802" spans="1:9" x14ac:dyDescent="0.25">
      <c r="A802">
        <v>2024</v>
      </c>
      <c r="B802" s="4" t="s">
        <v>94</v>
      </c>
      <c r="C802" s="1">
        <v>4</v>
      </c>
      <c r="D802" t="s">
        <v>114</v>
      </c>
      <c r="E802">
        <v>40</v>
      </c>
      <c r="F802">
        <v>3</v>
      </c>
      <c r="G802">
        <v>40</v>
      </c>
      <c r="H802">
        <v>115</v>
      </c>
      <c r="I802">
        <v>110</v>
      </c>
    </row>
    <row r="803" spans="1:9" x14ac:dyDescent="0.25">
      <c r="A803">
        <v>2024</v>
      </c>
      <c r="B803" s="4" t="s">
        <v>94</v>
      </c>
      <c r="C803" s="1">
        <v>4</v>
      </c>
      <c r="D803" t="s">
        <v>116</v>
      </c>
      <c r="E803">
        <v>40</v>
      </c>
      <c r="F803">
        <v>1</v>
      </c>
      <c r="G803">
        <v>56</v>
      </c>
      <c r="H803">
        <v>123</v>
      </c>
      <c r="I803">
        <v>100</v>
      </c>
    </row>
    <row r="804" spans="1:9" x14ac:dyDescent="0.25">
      <c r="A804">
        <v>2024</v>
      </c>
      <c r="B804" s="4" t="s">
        <v>94</v>
      </c>
      <c r="C804" s="1">
        <v>4</v>
      </c>
      <c r="D804" t="s">
        <v>116</v>
      </c>
      <c r="E804">
        <v>40</v>
      </c>
      <c r="F804">
        <v>2</v>
      </c>
      <c r="G804" t="s">
        <v>20</v>
      </c>
      <c r="H804">
        <v>122</v>
      </c>
      <c r="I804">
        <v>110</v>
      </c>
    </row>
    <row r="805" spans="1:9" x14ac:dyDescent="0.25">
      <c r="A805">
        <v>2024</v>
      </c>
      <c r="B805" s="4" t="s">
        <v>94</v>
      </c>
      <c r="C805" s="1">
        <v>4</v>
      </c>
      <c r="D805" t="s">
        <v>116</v>
      </c>
      <c r="E805">
        <v>40</v>
      </c>
      <c r="F805">
        <v>3</v>
      </c>
      <c r="G805">
        <v>76</v>
      </c>
      <c r="H805">
        <v>121</v>
      </c>
      <c r="I805">
        <v>102</v>
      </c>
    </row>
    <row r="806" spans="1:9" x14ac:dyDescent="0.25">
      <c r="A806">
        <v>2024</v>
      </c>
      <c r="B806" s="4" t="s">
        <v>94</v>
      </c>
      <c r="C806" s="1">
        <v>4</v>
      </c>
      <c r="D806" t="s">
        <v>117</v>
      </c>
      <c r="E806">
        <v>40</v>
      </c>
      <c r="F806">
        <v>1</v>
      </c>
      <c r="G806">
        <v>26</v>
      </c>
      <c r="H806">
        <v>115</v>
      </c>
      <c r="I806">
        <v>103</v>
      </c>
    </row>
    <row r="807" spans="1:9" x14ac:dyDescent="0.25">
      <c r="A807">
        <v>2024</v>
      </c>
      <c r="B807" s="4" t="s">
        <v>94</v>
      </c>
      <c r="C807" s="1">
        <v>4</v>
      </c>
      <c r="D807" t="s">
        <v>117</v>
      </c>
      <c r="E807">
        <v>40</v>
      </c>
      <c r="F807">
        <v>2</v>
      </c>
      <c r="G807">
        <v>40</v>
      </c>
      <c r="H807">
        <v>116</v>
      </c>
      <c r="I807">
        <v>112</v>
      </c>
    </row>
    <row r="808" spans="1:9" x14ac:dyDescent="0.25">
      <c r="A808">
        <v>2024</v>
      </c>
      <c r="B808" s="4" t="s">
        <v>94</v>
      </c>
      <c r="C808" s="1">
        <v>4</v>
      </c>
      <c r="D808" t="s">
        <v>117</v>
      </c>
      <c r="E808">
        <v>40</v>
      </c>
      <c r="F808">
        <v>3</v>
      </c>
      <c r="G808">
        <v>26</v>
      </c>
      <c r="H808">
        <v>115</v>
      </c>
      <c r="I808">
        <v>106</v>
      </c>
    </row>
    <row r="809" spans="1:9" x14ac:dyDescent="0.25">
      <c r="A809">
        <v>2024</v>
      </c>
      <c r="B809" s="4" t="s">
        <v>14</v>
      </c>
      <c r="C809" s="1">
        <v>1</v>
      </c>
      <c r="D809" t="s">
        <v>118</v>
      </c>
      <c r="E809">
        <v>40</v>
      </c>
      <c r="F809">
        <v>1</v>
      </c>
      <c r="G809">
        <v>48</v>
      </c>
      <c r="H809">
        <v>113</v>
      </c>
      <c r="I809">
        <v>120</v>
      </c>
    </row>
    <row r="810" spans="1:9" x14ac:dyDescent="0.25">
      <c r="A810">
        <v>2024</v>
      </c>
      <c r="B810" s="4" t="s">
        <v>14</v>
      </c>
      <c r="C810" s="1">
        <v>1</v>
      </c>
      <c r="D810" t="s">
        <v>118</v>
      </c>
      <c r="E810">
        <v>40</v>
      </c>
      <c r="F810">
        <v>2</v>
      </c>
      <c r="G810">
        <v>54</v>
      </c>
      <c r="H810">
        <v>116</v>
      </c>
      <c r="I810">
        <v>100</v>
      </c>
    </row>
    <row r="811" spans="1:9" x14ac:dyDescent="0.25">
      <c r="A811">
        <v>2024</v>
      </c>
      <c r="B811" s="4" t="s">
        <v>14</v>
      </c>
      <c r="C811" s="1">
        <v>1</v>
      </c>
      <c r="D811" t="s">
        <v>118</v>
      </c>
      <c r="E811">
        <v>40</v>
      </c>
      <c r="F811">
        <v>3</v>
      </c>
      <c r="G811">
        <v>44</v>
      </c>
      <c r="H811">
        <v>116</v>
      </c>
      <c r="I811">
        <v>98</v>
      </c>
    </row>
    <row r="812" spans="1:9" x14ac:dyDescent="0.25">
      <c r="A812">
        <v>2024</v>
      </c>
      <c r="B812" s="4" t="s">
        <v>94</v>
      </c>
      <c r="C812" s="1">
        <v>4</v>
      </c>
      <c r="D812" t="s">
        <v>119</v>
      </c>
      <c r="E812">
        <v>40</v>
      </c>
      <c r="F812">
        <v>1</v>
      </c>
      <c r="G812">
        <v>46</v>
      </c>
      <c r="H812">
        <v>106</v>
      </c>
      <c r="I812">
        <v>106</v>
      </c>
    </row>
    <row r="813" spans="1:9" x14ac:dyDescent="0.25">
      <c r="A813">
        <v>2024</v>
      </c>
      <c r="B813" s="4" t="s">
        <v>94</v>
      </c>
      <c r="C813" s="1">
        <v>4</v>
      </c>
      <c r="D813" t="s">
        <v>119</v>
      </c>
      <c r="E813">
        <v>40</v>
      </c>
      <c r="F813">
        <v>2</v>
      </c>
      <c r="G813">
        <v>48</v>
      </c>
      <c r="H813">
        <v>101</v>
      </c>
      <c r="I813">
        <v>105</v>
      </c>
    </row>
    <row r="814" spans="1:9" x14ac:dyDescent="0.25">
      <c r="A814">
        <v>2024</v>
      </c>
      <c r="B814" s="4" t="s">
        <v>94</v>
      </c>
      <c r="C814" s="1">
        <v>4</v>
      </c>
      <c r="D814" t="s">
        <v>119</v>
      </c>
      <c r="E814">
        <v>40</v>
      </c>
      <c r="F814">
        <v>3</v>
      </c>
      <c r="G814">
        <v>52</v>
      </c>
      <c r="H814">
        <v>104</v>
      </c>
      <c r="I814">
        <v>102</v>
      </c>
    </row>
    <row r="815" spans="1:9" x14ac:dyDescent="0.25">
      <c r="A815">
        <v>2024</v>
      </c>
      <c r="B815" s="4" t="s">
        <v>94</v>
      </c>
      <c r="C815" s="1">
        <v>5</v>
      </c>
      <c r="D815" t="s">
        <v>121</v>
      </c>
      <c r="E815">
        <v>40</v>
      </c>
      <c r="F815">
        <v>1</v>
      </c>
      <c r="G815">
        <v>36</v>
      </c>
      <c r="H815">
        <v>106</v>
      </c>
      <c r="I815">
        <v>115</v>
      </c>
    </row>
    <row r="816" spans="1:9" x14ac:dyDescent="0.25">
      <c r="A816">
        <v>2024</v>
      </c>
      <c r="B816" s="4" t="s">
        <v>94</v>
      </c>
      <c r="C816" s="1">
        <v>5</v>
      </c>
      <c r="D816" t="s">
        <v>121</v>
      </c>
      <c r="E816">
        <v>40</v>
      </c>
      <c r="F816">
        <v>2</v>
      </c>
      <c r="G816">
        <v>30</v>
      </c>
      <c r="H816">
        <v>101</v>
      </c>
      <c r="I816">
        <v>110</v>
      </c>
    </row>
    <row r="817" spans="1:9" x14ac:dyDescent="0.25">
      <c r="A817">
        <v>2024</v>
      </c>
      <c r="B817" s="4" t="s">
        <v>94</v>
      </c>
      <c r="C817" s="1">
        <v>5</v>
      </c>
      <c r="D817" t="s">
        <v>121</v>
      </c>
      <c r="E817">
        <v>40</v>
      </c>
      <c r="F817">
        <v>3</v>
      </c>
      <c r="G817">
        <v>26</v>
      </c>
      <c r="H817">
        <v>116</v>
      </c>
      <c r="I817">
        <v>106</v>
      </c>
    </row>
    <row r="818" spans="1:9" x14ac:dyDescent="0.25">
      <c r="A818">
        <v>2024</v>
      </c>
      <c r="B818" s="4" t="s">
        <v>94</v>
      </c>
      <c r="C818" s="1">
        <v>4</v>
      </c>
      <c r="D818" t="s">
        <v>122</v>
      </c>
      <c r="E818">
        <v>40</v>
      </c>
      <c r="F818">
        <v>1</v>
      </c>
      <c r="G818">
        <v>4</v>
      </c>
      <c r="H818">
        <v>120</v>
      </c>
      <c r="I818">
        <v>90</v>
      </c>
    </row>
    <row r="819" spans="1:9" x14ac:dyDescent="0.25">
      <c r="A819">
        <v>2024</v>
      </c>
      <c r="B819" s="4" t="s">
        <v>94</v>
      </c>
      <c r="C819" s="1">
        <v>4</v>
      </c>
      <c r="D819" t="s">
        <v>122</v>
      </c>
      <c r="E819">
        <v>40</v>
      </c>
      <c r="F819">
        <v>2</v>
      </c>
      <c r="G819">
        <v>6</v>
      </c>
      <c r="H819">
        <v>118</v>
      </c>
      <c r="I819">
        <v>95</v>
      </c>
    </row>
    <row r="820" spans="1:9" x14ac:dyDescent="0.25">
      <c r="A820">
        <v>2024</v>
      </c>
      <c r="B820" s="4" t="s">
        <v>94</v>
      </c>
      <c r="C820" s="1">
        <v>4</v>
      </c>
      <c r="D820" t="s">
        <v>122</v>
      </c>
      <c r="E820">
        <v>40</v>
      </c>
      <c r="F820">
        <v>3</v>
      </c>
      <c r="G820">
        <v>10</v>
      </c>
      <c r="H820">
        <v>122</v>
      </c>
      <c r="I820">
        <v>97</v>
      </c>
    </row>
    <row r="821" spans="1:9" x14ac:dyDescent="0.25">
      <c r="A821">
        <v>2024</v>
      </c>
      <c r="B821" s="4" t="s">
        <v>94</v>
      </c>
      <c r="C821" s="1">
        <v>4</v>
      </c>
      <c r="D821" t="s">
        <v>123</v>
      </c>
      <c r="E821">
        <v>40</v>
      </c>
      <c r="F821">
        <v>1</v>
      </c>
      <c r="G821">
        <v>58</v>
      </c>
      <c r="H821">
        <v>100</v>
      </c>
      <c r="I821">
        <v>96</v>
      </c>
    </row>
    <row r="822" spans="1:9" x14ac:dyDescent="0.25">
      <c r="A822">
        <v>2024</v>
      </c>
      <c r="B822" s="4" t="s">
        <v>94</v>
      </c>
      <c r="C822" s="1">
        <v>4</v>
      </c>
      <c r="D822" t="s">
        <v>123</v>
      </c>
      <c r="E822">
        <v>40</v>
      </c>
      <c r="F822">
        <v>2</v>
      </c>
      <c r="G822">
        <v>56</v>
      </c>
      <c r="H822">
        <v>103</v>
      </c>
      <c r="I822">
        <v>104</v>
      </c>
    </row>
    <row r="823" spans="1:9" x14ac:dyDescent="0.25">
      <c r="A823">
        <v>2024</v>
      </c>
      <c r="B823" s="4" t="s">
        <v>94</v>
      </c>
      <c r="C823" s="1">
        <v>4</v>
      </c>
      <c r="D823" t="s">
        <v>123</v>
      </c>
      <c r="E823">
        <v>40</v>
      </c>
      <c r="F823">
        <v>3</v>
      </c>
      <c r="G823">
        <v>64</v>
      </c>
      <c r="H823">
        <v>101</v>
      </c>
      <c r="I823">
        <v>105</v>
      </c>
    </row>
    <row r="824" spans="1:9" x14ac:dyDescent="0.25">
      <c r="A824">
        <v>2024</v>
      </c>
      <c r="B824" s="4" t="s">
        <v>94</v>
      </c>
      <c r="C824" s="1">
        <v>4</v>
      </c>
      <c r="D824" t="s">
        <v>124</v>
      </c>
      <c r="E824">
        <v>40</v>
      </c>
      <c r="F824">
        <v>1</v>
      </c>
      <c r="G824">
        <v>46</v>
      </c>
      <c r="H824">
        <v>100</v>
      </c>
      <c r="I824">
        <v>96</v>
      </c>
    </row>
    <row r="825" spans="1:9" x14ac:dyDescent="0.25">
      <c r="A825">
        <v>2024</v>
      </c>
      <c r="B825" s="4" t="s">
        <v>94</v>
      </c>
      <c r="C825" s="1">
        <v>4</v>
      </c>
      <c r="D825" t="s">
        <v>124</v>
      </c>
      <c r="E825">
        <v>40</v>
      </c>
      <c r="F825">
        <v>2</v>
      </c>
      <c r="G825">
        <v>34</v>
      </c>
      <c r="H825">
        <v>100</v>
      </c>
      <c r="I825">
        <v>85</v>
      </c>
    </row>
    <row r="826" spans="1:9" x14ac:dyDescent="0.25">
      <c r="A826">
        <v>2024</v>
      </c>
      <c r="B826" s="4" t="s">
        <v>94</v>
      </c>
      <c r="C826" s="1">
        <v>4</v>
      </c>
      <c r="D826" t="s">
        <v>124</v>
      </c>
      <c r="E826">
        <v>40</v>
      </c>
      <c r="F826">
        <v>3</v>
      </c>
      <c r="G826">
        <v>30</v>
      </c>
      <c r="H826">
        <v>102</v>
      </c>
      <c r="I826">
        <v>107</v>
      </c>
    </row>
    <row r="827" spans="1:9" x14ac:dyDescent="0.25">
      <c r="A827">
        <v>2024</v>
      </c>
      <c r="B827" s="4" t="s">
        <v>94</v>
      </c>
      <c r="C827" s="1">
        <v>5</v>
      </c>
      <c r="D827" t="s">
        <v>125</v>
      </c>
      <c r="E827">
        <v>40</v>
      </c>
      <c r="F827">
        <v>1</v>
      </c>
      <c r="G827">
        <v>12</v>
      </c>
      <c r="H827">
        <v>101</v>
      </c>
      <c r="I827">
        <v>112</v>
      </c>
    </row>
    <row r="828" spans="1:9" x14ac:dyDescent="0.25">
      <c r="A828">
        <v>2024</v>
      </c>
      <c r="B828" s="4" t="s">
        <v>94</v>
      </c>
      <c r="C828" s="1">
        <v>5</v>
      </c>
      <c r="D828" t="s">
        <v>125</v>
      </c>
      <c r="E828">
        <v>40</v>
      </c>
      <c r="F828">
        <v>2</v>
      </c>
      <c r="G828">
        <v>4</v>
      </c>
      <c r="H828">
        <v>85</v>
      </c>
      <c r="I828">
        <v>105</v>
      </c>
    </row>
    <row r="829" spans="1:9" x14ac:dyDescent="0.25">
      <c r="A829">
        <v>2024</v>
      </c>
      <c r="B829" s="4" t="s">
        <v>94</v>
      </c>
      <c r="C829" s="1">
        <v>5</v>
      </c>
      <c r="D829" t="s">
        <v>125</v>
      </c>
      <c r="E829">
        <v>40</v>
      </c>
      <c r="F829">
        <v>3</v>
      </c>
      <c r="G829">
        <v>6</v>
      </c>
      <c r="H829">
        <v>112</v>
      </c>
      <c r="I829">
        <v>102</v>
      </c>
    </row>
    <row r="830" spans="1:9" x14ac:dyDescent="0.25">
      <c r="A830">
        <v>2024</v>
      </c>
      <c r="B830" s="4" t="s">
        <v>94</v>
      </c>
      <c r="C830" s="1">
        <v>5</v>
      </c>
      <c r="D830" t="s">
        <v>126</v>
      </c>
      <c r="E830">
        <v>40</v>
      </c>
      <c r="F830">
        <v>1</v>
      </c>
      <c r="G830">
        <v>0</v>
      </c>
      <c r="H830">
        <v>124</v>
      </c>
      <c r="I830">
        <v>75</v>
      </c>
    </row>
    <row r="831" spans="1:9" x14ac:dyDescent="0.25">
      <c r="A831">
        <v>2024</v>
      </c>
      <c r="B831" s="4" t="s">
        <v>94</v>
      </c>
      <c r="C831" s="1">
        <v>5</v>
      </c>
      <c r="D831" t="s">
        <v>126</v>
      </c>
      <c r="E831">
        <v>40</v>
      </c>
      <c r="F831">
        <v>2</v>
      </c>
      <c r="G831">
        <v>0</v>
      </c>
      <c r="H831">
        <v>99</v>
      </c>
      <c r="I831">
        <v>72</v>
      </c>
    </row>
    <row r="832" spans="1:9" x14ac:dyDescent="0.25">
      <c r="A832">
        <v>2024</v>
      </c>
      <c r="B832" s="4" t="s">
        <v>94</v>
      </c>
      <c r="C832" s="1">
        <v>5</v>
      </c>
      <c r="D832" t="s">
        <v>126</v>
      </c>
      <c r="E832">
        <v>40</v>
      </c>
      <c r="F832">
        <v>3</v>
      </c>
      <c r="G832">
        <v>12</v>
      </c>
      <c r="H832">
        <v>112</v>
      </c>
      <c r="I832">
        <v>77</v>
      </c>
    </row>
    <row r="833" spans="1:9" x14ac:dyDescent="0.25">
      <c r="A833">
        <v>2024</v>
      </c>
      <c r="B833" s="4" t="s">
        <v>94</v>
      </c>
      <c r="C833" s="1">
        <v>5</v>
      </c>
      <c r="D833" t="s">
        <v>127</v>
      </c>
      <c r="E833">
        <v>40</v>
      </c>
      <c r="F833">
        <v>1</v>
      </c>
      <c r="G833">
        <v>38</v>
      </c>
      <c r="H833">
        <v>118</v>
      </c>
      <c r="I833">
        <v>110</v>
      </c>
    </row>
    <row r="834" spans="1:9" x14ac:dyDescent="0.25">
      <c r="A834">
        <v>2024</v>
      </c>
      <c r="B834" s="4" t="s">
        <v>94</v>
      </c>
      <c r="C834" s="1">
        <v>5</v>
      </c>
      <c r="D834" t="s">
        <v>127</v>
      </c>
      <c r="E834">
        <v>40</v>
      </c>
      <c r="F834">
        <v>2</v>
      </c>
      <c r="G834">
        <v>36</v>
      </c>
      <c r="H834">
        <v>106</v>
      </c>
      <c r="I834">
        <v>118</v>
      </c>
    </row>
    <row r="835" spans="1:9" x14ac:dyDescent="0.25">
      <c r="A835">
        <v>2024</v>
      </c>
      <c r="B835" s="4" t="s">
        <v>94</v>
      </c>
      <c r="C835" s="1">
        <v>5</v>
      </c>
      <c r="D835" t="s">
        <v>127</v>
      </c>
      <c r="E835">
        <v>40</v>
      </c>
      <c r="F835">
        <v>3</v>
      </c>
      <c r="G835">
        <v>34</v>
      </c>
      <c r="H835">
        <v>115</v>
      </c>
      <c r="I835">
        <v>104</v>
      </c>
    </row>
    <row r="836" spans="1:9" x14ac:dyDescent="0.25">
      <c r="A836">
        <v>2024</v>
      </c>
      <c r="B836" s="4" t="s">
        <v>94</v>
      </c>
      <c r="C836" s="1">
        <v>5</v>
      </c>
      <c r="D836" t="s">
        <v>128</v>
      </c>
      <c r="E836">
        <v>40</v>
      </c>
      <c r="F836">
        <v>1</v>
      </c>
      <c r="G836">
        <v>24</v>
      </c>
      <c r="H836">
        <v>112</v>
      </c>
      <c r="I836">
        <v>85</v>
      </c>
    </row>
    <row r="837" spans="1:9" x14ac:dyDescent="0.25">
      <c r="A837">
        <v>2024</v>
      </c>
      <c r="B837" s="4" t="s">
        <v>94</v>
      </c>
      <c r="C837" s="1">
        <v>5</v>
      </c>
      <c r="D837" t="s">
        <v>128</v>
      </c>
      <c r="E837">
        <v>40</v>
      </c>
      <c r="F837">
        <v>2</v>
      </c>
      <c r="G837">
        <v>24</v>
      </c>
      <c r="H837">
        <v>112</v>
      </c>
      <c r="I837">
        <v>90</v>
      </c>
    </row>
    <row r="838" spans="1:9" x14ac:dyDescent="0.25">
      <c r="A838">
        <v>2024</v>
      </c>
      <c r="B838" s="4" t="s">
        <v>94</v>
      </c>
      <c r="C838" s="1">
        <v>5</v>
      </c>
      <c r="D838" t="s">
        <v>128</v>
      </c>
      <c r="E838">
        <v>40</v>
      </c>
      <c r="F838">
        <v>3</v>
      </c>
      <c r="G838">
        <v>26</v>
      </c>
      <c r="H838">
        <v>110</v>
      </c>
      <c r="I838">
        <v>95</v>
      </c>
    </row>
    <row r="839" spans="1:9" x14ac:dyDescent="0.25">
      <c r="A839">
        <v>2024</v>
      </c>
      <c r="B839" s="4" t="s">
        <v>94</v>
      </c>
      <c r="C839" s="1">
        <v>5</v>
      </c>
      <c r="D839" t="s">
        <v>129</v>
      </c>
      <c r="E839">
        <v>40</v>
      </c>
      <c r="F839">
        <v>1</v>
      </c>
      <c r="G839">
        <v>88</v>
      </c>
      <c r="H839">
        <v>106</v>
      </c>
      <c r="I839">
        <v>110</v>
      </c>
    </row>
    <row r="840" spans="1:9" x14ac:dyDescent="0.25">
      <c r="A840">
        <v>2024</v>
      </c>
      <c r="B840" s="4" t="s">
        <v>94</v>
      </c>
      <c r="C840" s="1">
        <v>5</v>
      </c>
      <c r="D840" t="s">
        <v>129</v>
      </c>
      <c r="E840">
        <v>40</v>
      </c>
      <c r="F840">
        <v>2</v>
      </c>
      <c r="G840">
        <v>86</v>
      </c>
      <c r="H840">
        <v>106</v>
      </c>
      <c r="I840">
        <v>110</v>
      </c>
    </row>
    <row r="841" spans="1:9" x14ac:dyDescent="0.25">
      <c r="A841">
        <v>2024</v>
      </c>
      <c r="B841" s="4" t="s">
        <v>94</v>
      </c>
      <c r="C841" s="1">
        <v>5</v>
      </c>
      <c r="D841" t="s">
        <v>129</v>
      </c>
      <c r="E841">
        <v>40</v>
      </c>
      <c r="F841">
        <v>3</v>
      </c>
      <c r="G841">
        <v>82</v>
      </c>
      <c r="H841">
        <v>106</v>
      </c>
      <c r="I841">
        <v>120</v>
      </c>
    </row>
    <row r="842" spans="1:9" x14ac:dyDescent="0.25">
      <c r="A842">
        <v>2024</v>
      </c>
      <c r="B842" s="4" t="s">
        <v>94</v>
      </c>
      <c r="C842" s="1">
        <v>5</v>
      </c>
      <c r="D842" t="s">
        <v>130</v>
      </c>
      <c r="E842">
        <v>40</v>
      </c>
      <c r="F842">
        <v>1</v>
      </c>
      <c r="G842">
        <v>38</v>
      </c>
      <c r="H842">
        <v>103</v>
      </c>
      <c r="I842">
        <v>110</v>
      </c>
    </row>
    <row r="843" spans="1:9" x14ac:dyDescent="0.25">
      <c r="A843">
        <v>2024</v>
      </c>
      <c r="B843" s="4" t="s">
        <v>94</v>
      </c>
      <c r="C843" s="1">
        <v>5</v>
      </c>
      <c r="D843" t="s">
        <v>130</v>
      </c>
      <c r="E843">
        <v>40</v>
      </c>
      <c r="F843">
        <v>2</v>
      </c>
      <c r="G843">
        <v>30</v>
      </c>
      <c r="H843">
        <v>104</v>
      </c>
      <c r="I843">
        <v>105</v>
      </c>
    </row>
    <row r="844" spans="1:9" x14ac:dyDescent="0.25">
      <c r="A844">
        <v>2024</v>
      </c>
      <c r="B844" s="4" t="s">
        <v>94</v>
      </c>
      <c r="C844" s="1">
        <v>5</v>
      </c>
      <c r="D844" t="s">
        <v>130</v>
      </c>
      <c r="E844">
        <v>40</v>
      </c>
      <c r="F844">
        <v>3</v>
      </c>
      <c r="G844">
        <v>44</v>
      </c>
      <c r="H844">
        <v>104</v>
      </c>
      <c r="I844">
        <v>105</v>
      </c>
    </row>
    <row r="845" spans="1:9" x14ac:dyDescent="0.25">
      <c r="A845">
        <v>2024</v>
      </c>
      <c r="B845" s="4" t="s">
        <v>94</v>
      </c>
      <c r="C845" s="1">
        <v>5</v>
      </c>
      <c r="D845" t="s">
        <v>131</v>
      </c>
      <c r="E845">
        <v>40</v>
      </c>
      <c r="F845">
        <v>1</v>
      </c>
      <c r="G845">
        <v>78</v>
      </c>
      <c r="H845">
        <v>104</v>
      </c>
      <c r="I845">
        <v>109</v>
      </c>
    </row>
    <row r="846" spans="1:9" x14ac:dyDescent="0.25">
      <c r="A846">
        <v>2024</v>
      </c>
      <c r="B846" s="4" t="s">
        <v>94</v>
      </c>
      <c r="C846" s="1">
        <v>5</v>
      </c>
      <c r="D846" t="s">
        <v>131</v>
      </c>
      <c r="E846">
        <v>40</v>
      </c>
      <c r="F846">
        <v>2</v>
      </c>
      <c r="G846">
        <v>78</v>
      </c>
      <c r="H846">
        <v>111</v>
      </c>
      <c r="I846">
        <v>103</v>
      </c>
    </row>
    <row r="847" spans="1:9" x14ac:dyDescent="0.25">
      <c r="A847">
        <v>2024</v>
      </c>
      <c r="B847" s="4" t="s">
        <v>94</v>
      </c>
      <c r="C847" s="1">
        <v>5</v>
      </c>
      <c r="D847" t="s">
        <v>131</v>
      </c>
      <c r="E847">
        <v>40</v>
      </c>
      <c r="F847">
        <v>3</v>
      </c>
      <c r="G847">
        <v>76</v>
      </c>
      <c r="H847">
        <v>106</v>
      </c>
      <c r="I847">
        <v>90</v>
      </c>
    </row>
    <row r="848" spans="1:9" x14ac:dyDescent="0.25">
      <c r="A848">
        <v>2024</v>
      </c>
      <c r="B848" s="4" t="s">
        <v>94</v>
      </c>
      <c r="C848" s="1">
        <v>5</v>
      </c>
      <c r="D848" t="s">
        <v>132</v>
      </c>
      <c r="E848">
        <v>40</v>
      </c>
      <c r="F848">
        <v>1</v>
      </c>
      <c r="G848">
        <v>16</v>
      </c>
      <c r="H848">
        <v>100</v>
      </c>
      <c r="I848">
        <v>114</v>
      </c>
    </row>
    <row r="849" spans="1:9" x14ac:dyDescent="0.25">
      <c r="A849">
        <v>2024</v>
      </c>
      <c r="B849" s="4" t="s">
        <v>94</v>
      </c>
      <c r="C849" s="1">
        <v>5</v>
      </c>
      <c r="D849" t="s">
        <v>132</v>
      </c>
      <c r="E849">
        <v>40</v>
      </c>
      <c r="F849">
        <v>2</v>
      </c>
      <c r="G849">
        <v>26</v>
      </c>
      <c r="H849">
        <v>94</v>
      </c>
      <c r="I849">
        <v>110</v>
      </c>
    </row>
    <row r="850" spans="1:9" x14ac:dyDescent="0.25">
      <c r="A850">
        <v>2024</v>
      </c>
      <c r="B850" s="4" t="s">
        <v>94</v>
      </c>
      <c r="C850" s="1">
        <v>5</v>
      </c>
      <c r="D850" t="s">
        <v>132</v>
      </c>
      <c r="E850">
        <v>40</v>
      </c>
      <c r="F850">
        <v>3</v>
      </c>
      <c r="G850">
        <v>22</v>
      </c>
      <c r="H850">
        <v>99</v>
      </c>
      <c r="I850">
        <v>112</v>
      </c>
    </row>
    <row r="851" spans="1:9" x14ac:dyDescent="0.25">
      <c r="A851">
        <v>2024</v>
      </c>
      <c r="B851" s="4" t="s">
        <v>94</v>
      </c>
      <c r="C851" s="1">
        <v>5</v>
      </c>
      <c r="D851" t="s">
        <v>133</v>
      </c>
      <c r="E851">
        <v>40</v>
      </c>
      <c r="F851">
        <v>1</v>
      </c>
      <c r="G851" t="s">
        <v>20</v>
      </c>
      <c r="H851">
        <v>103</v>
      </c>
      <c r="I851">
        <v>95</v>
      </c>
    </row>
    <row r="852" spans="1:9" x14ac:dyDescent="0.25">
      <c r="A852">
        <v>2024</v>
      </c>
      <c r="B852" s="4" t="s">
        <v>94</v>
      </c>
      <c r="C852" s="1">
        <v>5</v>
      </c>
      <c r="D852" t="s">
        <v>133</v>
      </c>
      <c r="E852">
        <v>40</v>
      </c>
      <c r="F852">
        <v>2</v>
      </c>
      <c r="G852">
        <v>30</v>
      </c>
      <c r="H852">
        <v>105</v>
      </c>
      <c r="I852">
        <v>100</v>
      </c>
    </row>
    <row r="853" spans="1:9" x14ac:dyDescent="0.25">
      <c r="A853">
        <v>2024</v>
      </c>
      <c r="B853" s="4" t="s">
        <v>94</v>
      </c>
      <c r="C853" s="1">
        <v>5</v>
      </c>
      <c r="D853" t="s">
        <v>133</v>
      </c>
      <c r="E853">
        <v>40</v>
      </c>
      <c r="F853">
        <v>3</v>
      </c>
      <c r="G853">
        <v>30</v>
      </c>
      <c r="H853">
        <v>104</v>
      </c>
      <c r="I853">
        <v>100</v>
      </c>
    </row>
    <row r="854" spans="1:9" x14ac:dyDescent="0.25">
      <c r="A854">
        <v>2024</v>
      </c>
      <c r="B854" s="4" t="s">
        <v>94</v>
      </c>
      <c r="C854" s="1">
        <v>5</v>
      </c>
      <c r="D854" t="s">
        <v>134</v>
      </c>
      <c r="E854">
        <v>40</v>
      </c>
      <c r="F854">
        <v>1</v>
      </c>
      <c r="G854">
        <v>36</v>
      </c>
      <c r="H854">
        <v>104</v>
      </c>
      <c r="I854">
        <v>101</v>
      </c>
    </row>
    <row r="855" spans="1:9" x14ac:dyDescent="0.25">
      <c r="A855">
        <v>2024</v>
      </c>
      <c r="B855" s="4" t="s">
        <v>94</v>
      </c>
      <c r="C855" s="1">
        <v>5</v>
      </c>
      <c r="D855" t="s">
        <v>134</v>
      </c>
      <c r="E855">
        <v>40</v>
      </c>
      <c r="F855">
        <v>2</v>
      </c>
      <c r="G855">
        <v>28</v>
      </c>
      <c r="H855">
        <v>110</v>
      </c>
      <c r="I855">
        <v>95</v>
      </c>
    </row>
    <row r="856" spans="1:9" x14ac:dyDescent="0.25">
      <c r="A856">
        <v>2024</v>
      </c>
      <c r="B856" s="4" t="s">
        <v>94</v>
      </c>
      <c r="C856" s="1">
        <v>5</v>
      </c>
      <c r="D856" t="s">
        <v>134</v>
      </c>
      <c r="E856">
        <v>40</v>
      </c>
      <c r="F856">
        <v>3</v>
      </c>
      <c r="G856">
        <v>26</v>
      </c>
      <c r="H856">
        <v>106</v>
      </c>
      <c r="I856">
        <v>105</v>
      </c>
    </row>
    <row r="857" spans="1:9" x14ac:dyDescent="0.25">
      <c r="A857">
        <v>2024</v>
      </c>
      <c r="B857" s="4" t="s">
        <v>94</v>
      </c>
      <c r="C857" s="1">
        <v>5</v>
      </c>
      <c r="D857" t="s">
        <v>135</v>
      </c>
      <c r="E857">
        <v>40</v>
      </c>
      <c r="F857">
        <v>1</v>
      </c>
      <c r="G857">
        <v>52</v>
      </c>
      <c r="H857">
        <v>104</v>
      </c>
      <c r="I857">
        <v>110</v>
      </c>
    </row>
    <row r="858" spans="1:9" x14ac:dyDescent="0.25">
      <c r="A858">
        <v>2024</v>
      </c>
      <c r="B858" s="4" t="s">
        <v>94</v>
      </c>
      <c r="C858" s="1">
        <v>5</v>
      </c>
      <c r="D858" t="s">
        <v>135</v>
      </c>
      <c r="E858">
        <v>40</v>
      </c>
      <c r="F858">
        <v>2</v>
      </c>
      <c r="G858">
        <v>50</v>
      </c>
      <c r="H858">
        <v>103</v>
      </c>
      <c r="I858">
        <v>105</v>
      </c>
    </row>
    <row r="859" spans="1:9" x14ac:dyDescent="0.25">
      <c r="A859">
        <v>2024</v>
      </c>
      <c r="B859" s="4" t="s">
        <v>94</v>
      </c>
      <c r="C859" s="1">
        <v>5</v>
      </c>
      <c r="D859" t="s">
        <v>135</v>
      </c>
      <c r="E859">
        <v>40</v>
      </c>
      <c r="F859">
        <v>3</v>
      </c>
      <c r="G859">
        <v>64</v>
      </c>
      <c r="H859">
        <v>104</v>
      </c>
      <c r="I859">
        <v>112</v>
      </c>
    </row>
    <row r="860" spans="1:9" x14ac:dyDescent="0.25">
      <c r="A860">
        <v>2024</v>
      </c>
      <c r="B860" s="4" t="s">
        <v>94</v>
      </c>
      <c r="C860" s="1">
        <v>5</v>
      </c>
      <c r="D860" t="s">
        <v>136</v>
      </c>
      <c r="E860">
        <v>40</v>
      </c>
      <c r="F860">
        <v>1</v>
      </c>
      <c r="G860">
        <v>10</v>
      </c>
      <c r="H860">
        <v>103</v>
      </c>
      <c r="I860">
        <v>84</v>
      </c>
    </row>
    <row r="861" spans="1:9" x14ac:dyDescent="0.25">
      <c r="A861">
        <v>2024</v>
      </c>
      <c r="B861" s="4" t="s">
        <v>94</v>
      </c>
      <c r="C861" s="1">
        <v>5</v>
      </c>
      <c r="D861" t="s">
        <v>136</v>
      </c>
      <c r="E861">
        <v>40</v>
      </c>
      <c r="F861">
        <v>2</v>
      </c>
      <c r="G861">
        <v>18</v>
      </c>
      <c r="H861">
        <v>103</v>
      </c>
      <c r="I861">
        <v>95</v>
      </c>
    </row>
    <row r="862" spans="1:9" x14ac:dyDescent="0.25">
      <c r="A862">
        <v>2024</v>
      </c>
      <c r="B862" s="4" t="s">
        <v>94</v>
      </c>
      <c r="C862" s="1">
        <v>5</v>
      </c>
      <c r="D862" t="s">
        <v>136</v>
      </c>
      <c r="E862">
        <v>40</v>
      </c>
      <c r="F862">
        <v>3</v>
      </c>
      <c r="G862">
        <v>6</v>
      </c>
      <c r="H862">
        <v>101</v>
      </c>
      <c r="I862">
        <v>86</v>
      </c>
    </row>
    <row r="863" spans="1:9" x14ac:dyDescent="0.25">
      <c r="A863">
        <v>2024</v>
      </c>
      <c r="B863" s="4" t="s">
        <v>94</v>
      </c>
      <c r="C863" s="1">
        <v>5</v>
      </c>
      <c r="D863" t="s">
        <v>138</v>
      </c>
      <c r="E863">
        <v>40</v>
      </c>
      <c r="F863">
        <v>1</v>
      </c>
      <c r="G863">
        <v>30</v>
      </c>
      <c r="H863">
        <v>117</v>
      </c>
      <c r="I863">
        <v>89</v>
      </c>
    </row>
    <row r="864" spans="1:9" x14ac:dyDescent="0.25">
      <c r="A864">
        <v>2024</v>
      </c>
      <c r="B864" s="4" t="s">
        <v>94</v>
      </c>
      <c r="C864" s="1">
        <v>5</v>
      </c>
      <c r="D864" t="s">
        <v>138</v>
      </c>
      <c r="E864">
        <v>40</v>
      </c>
      <c r="F864">
        <v>2</v>
      </c>
      <c r="G864">
        <v>18</v>
      </c>
      <c r="H864">
        <v>118</v>
      </c>
      <c r="I864">
        <v>84</v>
      </c>
    </row>
    <row r="865" spans="1:9" x14ac:dyDescent="0.25">
      <c r="A865">
        <v>2024</v>
      </c>
      <c r="B865" s="4" t="s">
        <v>94</v>
      </c>
      <c r="C865" s="1">
        <v>5</v>
      </c>
      <c r="D865" t="s">
        <v>138</v>
      </c>
      <c r="E865">
        <v>40</v>
      </c>
      <c r="F865">
        <v>3</v>
      </c>
      <c r="G865">
        <v>20</v>
      </c>
      <c r="H865">
        <v>120</v>
      </c>
      <c r="I865">
        <v>75</v>
      </c>
    </row>
    <row r="866" spans="1:9" x14ac:dyDescent="0.25">
      <c r="A866">
        <v>2024</v>
      </c>
      <c r="B866" s="4" t="s">
        <v>94</v>
      </c>
      <c r="C866" s="1" t="s">
        <v>20</v>
      </c>
      <c r="D866" t="s">
        <v>139</v>
      </c>
      <c r="E866">
        <v>40</v>
      </c>
      <c r="F866">
        <v>1</v>
      </c>
      <c r="G866">
        <v>46</v>
      </c>
      <c r="H866">
        <v>124</v>
      </c>
      <c r="I866">
        <v>93</v>
      </c>
    </row>
    <row r="867" spans="1:9" x14ac:dyDescent="0.25">
      <c r="A867">
        <v>2024</v>
      </c>
      <c r="B867" s="4" t="s">
        <v>94</v>
      </c>
      <c r="C867" s="1" t="s">
        <v>20</v>
      </c>
      <c r="D867" t="s">
        <v>139</v>
      </c>
      <c r="E867">
        <v>40</v>
      </c>
      <c r="F867">
        <v>2</v>
      </c>
      <c r="G867">
        <v>44</v>
      </c>
      <c r="H867">
        <v>120</v>
      </c>
      <c r="I867">
        <v>112</v>
      </c>
    </row>
    <row r="868" spans="1:9" x14ac:dyDescent="0.25">
      <c r="A868">
        <v>2024</v>
      </c>
      <c r="B868" s="4" t="s">
        <v>94</v>
      </c>
      <c r="C868" s="1" t="s">
        <v>20</v>
      </c>
      <c r="D868" t="s">
        <v>139</v>
      </c>
      <c r="E868">
        <v>40</v>
      </c>
      <c r="F868">
        <v>3</v>
      </c>
      <c r="G868">
        <v>56</v>
      </c>
      <c r="H868">
        <v>125</v>
      </c>
      <c r="I868">
        <v>105</v>
      </c>
    </row>
    <row r="869" spans="1:9" x14ac:dyDescent="0.25">
      <c r="A869">
        <v>2024</v>
      </c>
      <c r="B869" s="4" t="s">
        <v>94</v>
      </c>
      <c r="C869" s="1">
        <v>5</v>
      </c>
      <c r="D869" t="s">
        <v>140</v>
      </c>
      <c r="E869">
        <v>40</v>
      </c>
      <c r="F869">
        <v>1</v>
      </c>
      <c r="G869">
        <v>8</v>
      </c>
      <c r="H869">
        <v>111</v>
      </c>
      <c r="I869">
        <v>96</v>
      </c>
    </row>
    <row r="870" spans="1:9" x14ac:dyDescent="0.25">
      <c r="A870">
        <v>2024</v>
      </c>
      <c r="B870" s="4" t="s">
        <v>94</v>
      </c>
      <c r="C870" s="1">
        <v>5</v>
      </c>
      <c r="D870" t="s">
        <v>140</v>
      </c>
      <c r="E870">
        <v>40</v>
      </c>
      <c r="F870">
        <v>2</v>
      </c>
      <c r="G870">
        <v>4</v>
      </c>
      <c r="H870">
        <v>103</v>
      </c>
      <c r="I870">
        <v>115</v>
      </c>
    </row>
    <row r="871" spans="1:9" x14ac:dyDescent="0.25">
      <c r="A871">
        <v>2024</v>
      </c>
      <c r="B871" s="4" t="s">
        <v>94</v>
      </c>
      <c r="C871" s="1">
        <v>5</v>
      </c>
      <c r="D871" t="s">
        <v>140</v>
      </c>
      <c r="E871">
        <v>40</v>
      </c>
      <c r="F871">
        <v>3</v>
      </c>
      <c r="G871">
        <v>20</v>
      </c>
      <c r="H871">
        <v>106</v>
      </c>
      <c r="I871">
        <v>102</v>
      </c>
    </row>
    <row r="872" spans="1:9" x14ac:dyDescent="0.25">
      <c r="A872">
        <v>2024</v>
      </c>
      <c r="B872" s="4" t="s">
        <v>94</v>
      </c>
      <c r="C872" s="1">
        <v>5</v>
      </c>
      <c r="D872" t="s">
        <v>141</v>
      </c>
      <c r="E872">
        <v>40</v>
      </c>
      <c r="F872">
        <v>1</v>
      </c>
      <c r="G872">
        <v>22</v>
      </c>
      <c r="H872">
        <v>123</v>
      </c>
      <c r="I872">
        <v>70</v>
      </c>
    </row>
    <row r="873" spans="1:9" x14ac:dyDescent="0.25">
      <c r="A873">
        <v>2024</v>
      </c>
      <c r="B873" s="4" t="s">
        <v>94</v>
      </c>
      <c r="C873" s="1">
        <v>5</v>
      </c>
      <c r="D873" t="s">
        <v>141</v>
      </c>
      <c r="E873">
        <v>40</v>
      </c>
      <c r="F873">
        <v>2</v>
      </c>
      <c r="G873">
        <v>28</v>
      </c>
      <c r="H873">
        <v>118</v>
      </c>
      <c r="I873">
        <v>82</v>
      </c>
    </row>
    <row r="874" spans="1:9" x14ac:dyDescent="0.25">
      <c r="A874">
        <v>2024</v>
      </c>
      <c r="B874" s="4" t="s">
        <v>94</v>
      </c>
      <c r="C874" s="1">
        <v>5</v>
      </c>
      <c r="D874" t="s">
        <v>141</v>
      </c>
      <c r="E874">
        <v>40</v>
      </c>
      <c r="F874">
        <v>3</v>
      </c>
      <c r="G874">
        <v>28</v>
      </c>
      <c r="H874">
        <v>118</v>
      </c>
      <c r="I874">
        <v>88</v>
      </c>
    </row>
    <row r="875" spans="1:9" x14ac:dyDescent="0.25">
      <c r="A875">
        <v>2024</v>
      </c>
      <c r="B875" s="4" t="s">
        <v>94</v>
      </c>
      <c r="C875" s="1">
        <v>5</v>
      </c>
      <c r="D875" t="s">
        <v>144</v>
      </c>
      <c r="E875">
        <v>40</v>
      </c>
      <c r="F875">
        <v>1</v>
      </c>
      <c r="G875">
        <v>10</v>
      </c>
      <c r="H875">
        <v>104</v>
      </c>
      <c r="I875">
        <v>100</v>
      </c>
    </row>
    <row r="876" spans="1:9" x14ac:dyDescent="0.25">
      <c r="A876">
        <v>2024</v>
      </c>
      <c r="B876" s="4" t="s">
        <v>94</v>
      </c>
      <c r="C876" s="1">
        <v>5</v>
      </c>
      <c r="D876" t="s">
        <v>144</v>
      </c>
      <c r="E876">
        <v>40</v>
      </c>
      <c r="F876">
        <v>2</v>
      </c>
      <c r="G876">
        <v>10</v>
      </c>
      <c r="H876">
        <v>104</v>
      </c>
      <c r="I876">
        <v>100</v>
      </c>
    </row>
    <row r="877" spans="1:9" x14ac:dyDescent="0.25">
      <c r="A877">
        <v>2024</v>
      </c>
      <c r="B877" s="4" t="s">
        <v>94</v>
      </c>
      <c r="C877" s="1">
        <v>5</v>
      </c>
      <c r="D877" t="s">
        <v>144</v>
      </c>
      <c r="E877">
        <v>40</v>
      </c>
      <c r="F877">
        <v>3</v>
      </c>
      <c r="G877">
        <v>4</v>
      </c>
      <c r="H877">
        <v>100</v>
      </c>
      <c r="I877">
        <v>94</v>
      </c>
    </row>
    <row r="878" spans="1:9" x14ac:dyDescent="0.25">
      <c r="A878">
        <v>2024</v>
      </c>
      <c r="B878" s="4" t="s">
        <v>94</v>
      </c>
      <c r="C878" s="1">
        <v>5</v>
      </c>
      <c r="D878" t="s">
        <v>145</v>
      </c>
      <c r="E878">
        <v>40</v>
      </c>
      <c r="F878">
        <v>1</v>
      </c>
      <c r="G878">
        <v>36</v>
      </c>
      <c r="H878">
        <v>93</v>
      </c>
      <c r="I878">
        <v>101</v>
      </c>
    </row>
    <row r="879" spans="1:9" x14ac:dyDescent="0.25">
      <c r="A879">
        <v>2024</v>
      </c>
      <c r="B879" s="4" t="s">
        <v>94</v>
      </c>
      <c r="C879" s="1">
        <v>5</v>
      </c>
      <c r="D879" t="s">
        <v>145</v>
      </c>
      <c r="E879">
        <v>40</v>
      </c>
      <c r="F879">
        <v>2</v>
      </c>
      <c r="G879">
        <v>36</v>
      </c>
      <c r="H879">
        <v>91</v>
      </c>
      <c r="I879">
        <v>96</v>
      </c>
    </row>
    <row r="880" spans="1:9" x14ac:dyDescent="0.25">
      <c r="A880">
        <v>2024</v>
      </c>
      <c r="B880" s="4" t="s">
        <v>94</v>
      </c>
      <c r="C880" s="1">
        <v>5</v>
      </c>
      <c r="D880" t="s">
        <v>145</v>
      </c>
      <c r="E880">
        <v>40</v>
      </c>
      <c r="F880">
        <v>3</v>
      </c>
      <c r="G880">
        <v>16</v>
      </c>
      <c r="H880">
        <v>93</v>
      </c>
      <c r="I880">
        <v>99</v>
      </c>
    </row>
    <row r="881" spans="1:9" x14ac:dyDescent="0.25">
      <c r="A881">
        <v>2024</v>
      </c>
      <c r="B881" s="4" t="s">
        <v>94</v>
      </c>
      <c r="C881" s="1">
        <v>5</v>
      </c>
      <c r="D881" t="s">
        <v>146</v>
      </c>
      <c r="E881">
        <v>40</v>
      </c>
      <c r="F881">
        <v>1</v>
      </c>
      <c r="G881">
        <v>12</v>
      </c>
      <c r="H881">
        <v>100</v>
      </c>
      <c r="I881">
        <v>100</v>
      </c>
    </row>
    <row r="882" spans="1:9" x14ac:dyDescent="0.25">
      <c r="A882">
        <v>2024</v>
      </c>
      <c r="B882" s="4" t="s">
        <v>94</v>
      </c>
      <c r="C882" s="1">
        <v>5</v>
      </c>
      <c r="D882" t="s">
        <v>146</v>
      </c>
      <c r="E882">
        <v>40</v>
      </c>
      <c r="F882">
        <v>2</v>
      </c>
      <c r="G882">
        <v>16</v>
      </c>
      <c r="H882">
        <v>95</v>
      </c>
      <c r="I882">
        <v>91</v>
      </c>
    </row>
    <row r="883" spans="1:9" x14ac:dyDescent="0.25">
      <c r="A883">
        <v>2024</v>
      </c>
      <c r="B883" s="4" t="s">
        <v>94</v>
      </c>
      <c r="C883" s="1">
        <v>5</v>
      </c>
      <c r="D883" t="s">
        <v>146</v>
      </c>
      <c r="E883">
        <v>40</v>
      </c>
      <c r="F883">
        <v>3</v>
      </c>
      <c r="G883">
        <v>6</v>
      </c>
      <c r="H883">
        <v>106</v>
      </c>
      <c r="I883">
        <v>82</v>
      </c>
    </row>
    <row r="884" spans="1:9" x14ac:dyDescent="0.25">
      <c r="A884">
        <v>2024</v>
      </c>
      <c r="B884" s="4" t="s">
        <v>94</v>
      </c>
      <c r="C884" s="1">
        <v>5</v>
      </c>
      <c r="D884" t="s">
        <v>147</v>
      </c>
      <c r="E884">
        <v>40</v>
      </c>
      <c r="F884">
        <v>1</v>
      </c>
      <c r="G884">
        <v>12</v>
      </c>
      <c r="H884">
        <v>109</v>
      </c>
      <c r="I884">
        <v>113</v>
      </c>
    </row>
    <row r="885" spans="1:9" x14ac:dyDescent="0.25">
      <c r="A885">
        <v>2024</v>
      </c>
      <c r="B885" s="4" t="s">
        <v>94</v>
      </c>
      <c r="C885" s="1">
        <v>5</v>
      </c>
      <c r="D885" t="s">
        <v>147</v>
      </c>
      <c r="E885">
        <v>40</v>
      </c>
      <c r="F885">
        <v>2</v>
      </c>
      <c r="G885">
        <v>20</v>
      </c>
      <c r="H885">
        <v>106</v>
      </c>
      <c r="I885">
        <v>103</v>
      </c>
    </row>
    <row r="886" spans="1:9" x14ac:dyDescent="0.25">
      <c r="A886">
        <v>2024</v>
      </c>
      <c r="B886" s="4" t="s">
        <v>94</v>
      </c>
      <c r="C886" s="1">
        <v>5</v>
      </c>
      <c r="D886" t="s">
        <v>147</v>
      </c>
      <c r="E886">
        <v>40</v>
      </c>
      <c r="F886">
        <v>3</v>
      </c>
      <c r="G886">
        <v>16</v>
      </c>
      <c r="H886">
        <v>115</v>
      </c>
      <c r="I886">
        <v>115</v>
      </c>
    </row>
    <row r="887" spans="1:9" x14ac:dyDescent="0.25">
      <c r="A887">
        <v>2024</v>
      </c>
      <c r="B887" s="4" t="s">
        <v>94</v>
      </c>
      <c r="C887" s="1">
        <v>5</v>
      </c>
      <c r="D887" t="s">
        <v>148</v>
      </c>
      <c r="E887">
        <v>40</v>
      </c>
      <c r="F887">
        <v>1</v>
      </c>
      <c r="G887">
        <v>6</v>
      </c>
      <c r="H887">
        <v>116</v>
      </c>
      <c r="I887">
        <v>98</v>
      </c>
    </row>
    <row r="888" spans="1:9" x14ac:dyDescent="0.25">
      <c r="A888">
        <v>2024</v>
      </c>
      <c r="B888" s="4" t="s">
        <v>94</v>
      </c>
      <c r="C888" s="1">
        <v>5</v>
      </c>
      <c r="D888" t="s">
        <v>148</v>
      </c>
      <c r="E888">
        <v>40</v>
      </c>
      <c r="F888">
        <v>2</v>
      </c>
      <c r="G888">
        <v>10</v>
      </c>
      <c r="H888">
        <v>109</v>
      </c>
      <c r="I888">
        <v>93</v>
      </c>
    </row>
    <row r="889" spans="1:9" x14ac:dyDescent="0.25">
      <c r="A889">
        <v>2024</v>
      </c>
      <c r="B889" s="4" t="s">
        <v>94</v>
      </c>
      <c r="C889" s="1">
        <v>5</v>
      </c>
      <c r="D889" t="s">
        <v>148</v>
      </c>
      <c r="E889">
        <v>40</v>
      </c>
      <c r="F889">
        <v>3</v>
      </c>
      <c r="G889">
        <v>4</v>
      </c>
      <c r="H889">
        <v>114</v>
      </c>
      <c r="I889">
        <v>82</v>
      </c>
    </row>
    <row r="890" spans="1:9" x14ac:dyDescent="0.25">
      <c r="A890">
        <v>2024</v>
      </c>
      <c r="B890" s="4" t="s">
        <v>94</v>
      </c>
      <c r="C890" s="1">
        <v>5</v>
      </c>
      <c r="D890" t="s">
        <v>149</v>
      </c>
      <c r="E890">
        <v>40</v>
      </c>
      <c r="F890">
        <v>1</v>
      </c>
      <c r="G890">
        <v>6</v>
      </c>
      <c r="H890">
        <v>103</v>
      </c>
      <c r="I890">
        <v>90</v>
      </c>
    </row>
    <row r="891" spans="1:9" x14ac:dyDescent="0.25">
      <c r="A891">
        <v>2024</v>
      </c>
      <c r="B891" s="4" t="s">
        <v>94</v>
      </c>
      <c r="C891" s="1">
        <v>5</v>
      </c>
      <c r="D891" t="s">
        <v>149</v>
      </c>
      <c r="E891">
        <v>40</v>
      </c>
      <c r="F891">
        <v>2</v>
      </c>
      <c r="G891">
        <v>8</v>
      </c>
      <c r="H891">
        <v>106</v>
      </c>
      <c r="I891">
        <v>95</v>
      </c>
    </row>
    <row r="892" spans="1:9" x14ac:dyDescent="0.25">
      <c r="A892">
        <v>2024</v>
      </c>
      <c r="B892" s="4" t="s">
        <v>94</v>
      </c>
      <c r="C892" s="1">
        <v>5</v>
      </c>
      <c r="D892" t="s">
        <v>149</v>
      </c>
      <c r="E892">
        <v>40</v>
      </c>
      <c r="F892">
        <v>3</v>
      </c>
      <c r="G892">
        <v>4</v>
      </c>
      <c r="H892"/>
      <c r="I892"/>
    </row>
    <row r="893" spans="1:9" x14ac:dyDescent="0.25">
      <c r="A893">
        <v>2024</v>
      </c>
      <c r="B893" s="4" t="s">
        <v>94</v>
      </c>
      <c r="C893" s="1">
        <v>5</v>
      </c>
      <c r="D893" t="s">
        <v>150</v>
      </c>
      <c r="E893">
        <v>40</v>
      </c>
      <c r="F893">
        <v>1</v>
      </c>
      <c r="G893">
        <v>20</v>
      </c>
      <c r="H893">
        <v>112</v>
      </c>
      <c r="I893">
        <v>101</v>
      </c>
    </row>
    <row r="894" spans="1:9" x14ac:dyDescent="0.25">
      <c r="A894">
        <v>2024</v>
      </c>
      <c r="B894" s="4" t="s">
        <v>94</v>
      </c>
      <c r="C894" s="1">
        <v>5</v>
      </c>
      <c r="D894" t="s">
        <v>150</v>
      </c>
      <c r="E894">
        <v>40</v>
      </c>
      <c r="F894">
        <v>2</v>
      </c>
      <c r="G894">
        <v>24</v>
      </c>
      <c r="H894">
        <v>104</v>
      </c>
      <c r="I894">
        <v>100</v>
      </c>
    </row>
    <row r="895" spans="1:9" x14ac:dyDescent="0.25">
      <c r="A895">
        <v>2024</v>
      </c>
      <c r="B895" s="4" t="s">
        <v>94</v>
      </c>
      <c r="C895" s="1">
        <v>5</v>
      </c>
      <c r="D895" t="s">
        <v>150</v>
      </c>
      <c r="E895">
        <v>40</v>
      </c>
      <c r="F895">
        <v>3</v>
      </c>
      <c r="G895">
        <v>22</v>
      </c>
      <c r="H895">
        <v>106</v>
      </c>
      <c r="I895">
        <v>95</v>
      </c>
    </row>
    <row r="896" spans="1:9" x14ac:dyDescent="0.25">
      <c r="A896">
        <v>2024</v>
      </c>
      <c r="B896" s="4" t="s">
        <v>94</v>
      </c>
      <c r="C896" s="1">
        <v>5</v>
      </c>
      <c r="D896" t="s">
        <v>151</v>
      </c>
      <c r="E896">
        <v>40</v>
      </c>
      <c r="F896">
        <v>1</v>
      </c>
      <c r="G896" t="s">
        <v>20</v>
      </c>
      <c r="H896">
        <v>100</v>
      </c>
      <c r="I896">
        <v>88</v>
      </c>
    </row>
    <row r="897" spans="1:9" x14ac:dyDescent="0.25">
      <c r="A897">
        <v>2024</v>
      </c>
      <c r="B897" s="4" t="s">
        <v>94</v>
      </c>
      <c r="C897" s="1">
        <v>5</v>
      </c>
      <c r="D897" t="s">
        <v>151</v>
      </c>
      <c r="E897">
        <v>40</v>
      </c>
      <c r="F897">
        <v>2</v>
      </c>
      <c r="G897">
        <v>48</v>
      </c>
      <c r="H897">
        <v>99</v>
      </c>
      <c r="I897">
        <v>91</v>
      </c>
    </row>
    <row r="898" spans="1:9" x14ac:dyDescent="0.25">
      <c r="A898">
        <v>2024</v>
      </c>
      <c r="B898" s="4" t="s">
        <v>94</v>
      </c>
      <c r="C898" s="1">
        <v>5</v>
      </c>
      <c r="D898" t="s">
        <v>151</v>
      </c>
      <c r="E898">
        <v>40</v>
      </c>
      <c r="F898">
        <v>3</v>
      </c>
      <c r="G898">
        <v>54</v>
      </c>
      <c r="H898">
        <v>100</v>
      </c>
      <c r="I898">
        <v>90</v>
      </c>
    </row>
    <row r="899" spans="1:9" x14ac:dyDescent="0.25">
      <c r="A899">
        <v>2024</v>
      </c>
      <c r="B899" s="4" t="s">
        <v>94</v>
      </c>
      <c r="C899" s="1">
        <v>5</v>
      </c>
      <c r="D899" t="s">
        <v>152</v>
      </c>
      <c r="E899">
        <v>40</v>
      </c>
      <c r="F899">
        <v>1</v>
      </c>
      <c r="G899">
        <v>58</v>
      </c>
      <c r="H899">
        <v>95</v>
      </c>
      <c r="I899">
        <v>99</v>
      </c>
    </row>
    <row r="900" spans="1:9" x14ac:dyDescent="0.25">
      <c r="A900">
        <v>2024</v>
      </c>
      <c r="B900" s="4" t="s">
        <v>94</v>
      </c>
      <c r="C900" s="1">
        <v>5</v>
      </c>
      <c r="D900" t="s">
        <v>152</v>
      </c>
      <c r="E900">
        <v>40</v>
      </c>
      <c r="F900">
        <v>2</v>
      </c>
      <c r="G900">
        <v>58</v>
      </c>
      <c r="H900">
        <v>100</v>
      </c>
      <c r="I900">
        <v>108</v>
      </c>
    </row>
    <row r="901" spans="1:9" x14ac:dyDescent="0.25">
      <c r="A901">
        <v>2024</v>
      </c>
      <c r="B901" s="4" t="s">
        <v>94</v>
      </c>
      <c r="C901" s="1">
        <v>5</v>
      </c>
      <c r="D901" t="s">
        <v>152</v>
      </c>
      <c r="E901">
        <v>40</v>
      </c>
      <c r="F901">
        <v>3</v>
      </c>
      <c r="G901">
        <v>60</v>
      </c>
      <c r="H901">
        <v>100</v>
      </c>
      <c r="I901">
        <v>100</v>
      </c>
    </row>
    <row r="902" spans="1:9" x14ac:dyDescent="0.25">
      <c r="A902">
        <v>2024</v>
      </c>
      <c r="B902" s="4" t="s">
        <v>94</v>
      </c>
      <c r="C902" s="1">
        <v>4</v>
      </c>
      <c r="D902" t="s">
        <v>154</v>
      </c>
      <c r="E902">
        <v>40</v>
      </c>
      <c r="F902">
        <v>1</v>
      </c>
      <c r="G902">
        <v>80</v>
      </c>
      <c r="H902">
        <v>109</v>
      </c>
      <c r="I902">
        <v>96</v>
      </c>
    </row>
    <row r="903" spans="1:9" x14ac:dyDescent="0.25">
      <c r="A903">
        <v>2024</v>
      </c>
      <c r="B903" s="4" t="s">
        <v>94</v>
      </c>
      <c r="C903" s="1">
        <v>4</v>
      </c>
      <c r="D903" t="s">
        <v>154</v>
      </c>
      <c r="E903">
        <v>40</v>
      </c>
      <c r="F903">
        <v>2</v>
      </c>
      <c r="G903">
        <v>78</v>
      </c>
      <c r="H903">
        <v>106</v>
      </c>
      <c r="I903">
        <v>105</v>
      </c>
    </row>
    <row r="904" spans="1:9" x14ac:dyDescent="0.25">
      <c r="A904">
        <v>2024</v>
      </c>
      <c r="B904" s="4" t="s">
        <v>94</v>
      </c>
      <c r="C904" s="1">
        <v>4</v>
      </c>
      <c r="D904" t="s">
        <v>154</v>
      </c>
      <c r="E904">
        <v>40</v>
      </c>
      <c r="F904">
        <v>3</v>
      </c>
      <c r="G904">
        <v>106</v>
      </c>
      <c r="H904">
        <v>106</v>
      </c>
      <c r="I904">
        <v>110</v>
      </c>
    </row>
    <row r="905" spans="1:9" x14ac:dyDescent="0.25">
      <c r="A905">
        <v>2024</v>
      </c>
      <c r="B905" s="4" t="s">
        <v>94</v>
      </c>
      <c r="C905" s="1">
        <v>5</v>
      </c>
      <c r="D905" t="s">
        <v>155</v>
      </c>
      <c r="E905">
        <v>40</v>
      </c>
      <c r="F905">
        <v>1</v>
      </c>
      <c r="G905">
        <v>68</v>
      </c>
      <c r="H905">
        <v>109</v>
      </c>
      <c r="I905">
        <v>110</v>
      </c>
    </row>
    <row r="906" spans="1:9" x14ac:dyDescent="0.25">
      <c r="A906">
        <v>2024</v>
      </c>
      <c r="B906" s="4" t="s">
        <v>94</v>
      </c>
      <c r="C906" s="1">
        <v>5</v>
      </c>
      <c r="D906" t="s">
        <v>155</v>
      </c>
      <c r="E906">
        <v>40</v>
      </c>
      <c r="F906">
        <v>2</v>
      </c>
      <c r="G906">
        <v>78</v>
      </c>
      <c r="H906">
        <v>109</v>
      </c>
      <c r="I906">
        <v>109</v>
      </c>
    </row>
    <row r="907" spans="1:9" x14ac:dyDescent="0.25">
      <c r="A907">
        <v>2024</v>
      </c>
      <c r="B907" s="4" t="s">
        <v>94</v>
      </c>
      <c r="C907" s="1">
        <v>5</v>
      </c>
      <c r="D907" t="s">
        <v>155</v>
      </c>
      <c r="E907">
        <v>40</v>
      </c>
      <c r="F907">
        <v>3</v>
      </c>
      <c r="G907">
        <v>72</v>
      </c>
      <c r="H907">
        <v>106</v>
      </c>
      <c r="I907">
        <v>122</v>
      </c>
    </row>
    <row r="908" spans="1:9" x14ac:dyDescent="0.25">
      <c r="A908">
        <v>2024</v>
      </c>
      <c r="B908" s="4" t="s">
        <v>94</v>
      </c>
      <c r="C908" s="1">
        <v>5</v>
      </c>
      <c r="D908" t="s">
        <v>156</v>
      </c>
      <c r="E908">
        <v>40</v>
      </c>
      <c r="F908">
        <v>1</v>
      </c>
      <c r="G908">
        <v>14</v>
      </c>
      <c r="H908">
        <v>103</v>
      </c>
      <c r="I908">
        <v>95</v>
      </c>
    </row>
    <row r="909" spans="1:9" x14ac:dyDescent="0.25">
      <c r="A909">
        <v>2024</v>
      </c>
      <c r="B909" s="4" t="s">
        <v>94</v>
      </c>
      <c r="C909" s="1">
        <v>5</v>
      </c>
      <c r="D909" t="s">
        <v>156</v>
      </c>
      <c r="E909">
        <v>40</v>
      </c>
      <c r="F909">
        <v>2</v>
      </c>
      <c r="G909">
        <v>20</v>
      </c>
      <c r="H909">
        <v>104</v>
      </c>
      <c r="I909">
        <v>95</v>
      </c>
    </row>
    <row r="910" spans="1:9" x14ac:dyDescent="0.25">
      <c r="A910">
        <v>2024</v>
      </c>
      <c r="B910" s="4" t="s">
        <v>94</v>
      </c>
      <c r="C910" s="1">
        <v>5</v>
      </c>
      <c r="D910" t="s">
        <v>156</v>
      </c>
      <c r="E910">
        <v>40</v>
      </c>
      <c r="F910">
        <v>3</v>
      </c>
      <c r="G910">
        <v>48</v>
      </c>
      <c r="H910">
        <v>101</v>
      </c>
      <c r="I910">
        <v>91</v>
      </c>
    </row>
    <row r="911" spans="1:9" x14ac:dyDescent="0.25">
      <c r="A911">
        <v>2024</v>
      </c>
      <c r="B911" s="4" t="s">
        <v>94</v>
      </c>
      <c r="C911" s="1">
        <v>4</v>
      </c>
      <c r="D911" t="s">
        <v>157</v>
      </c>
      <c r="E911">
        <v>40</v>
      </c>
      <c r="F911">
        <v>1</v>
      </c>
      <c r="G911">
        <v>28</v>
      </c>
      <c r="H911">
        <v>101</v>
      </c>
      <c r="I911">
        <v>89</v>
      </c>
    </row>
    <row r="912" spans="1:9" x14ac:dyDescent="0.25">
      <c r="A912">
        <v>2024</v>
      </c>
      <c r="B912" s="4" t="s">
        <v>94</v>
      </c>
      <c r="C912" s="1">
        <v>4</v>
      </c>
      <c r="D912" t="s">
        <v>157</v>
      </c>
      <c r="E912">
        <v>40</v>
      </c>
      <c r="F912">
        <v>2</v>
      </c>
      <c r="G912">
        <v>32</v>
      </c>
      <c r="H912">
        <v>101</v>
      </c>
      <c r="I912">
        <v>110</v>
      </c>
    </row>
    <row r="913" spans="1:9" x14ac:dyDescent="0.25">
      <c r="A913">
        <v>2024</v>
      </c>
      <c r="B913" s="4" t="s">
        <v>94</v>
      </c>
      <c r="C913" s="1">
        <v>4</v>
      </c>
      <c r="D913" t="s">
        <v>157</v>
      </c>
      <c r="E913">
        <v>40</v>
      </c>
      <c r="F913">
        <v>3</v>
      </c>
      <c r="G913">
        <v>16</v>
      </c>
      <c r="H913">
        <v>100</v>
      </c>
      <c r="I913">
        <v>102</v>
      </c>
    </row>
    <row r="914" spans="1:9" x14ac:dyDescent="0.25">
      <c r="A914">
        <v>2024</v>
      </c>
      <c r="B914" s="4" t="s">
        <v>14</v>
      </c>
      <c r="C914" s="1">
        <v>1</v>
      </c>
      <c r="D914" t="s">
        <v>159</v>
      </c>
      <c r="E914">
        <v>40</v>
      </c>
      <c r="F914">
        <v>1</v>
      </c>
      <c r="G914">
        <v>74</v>
      </c>
      <c r="H914">
        <v>123</v>
      </c>
      <c r="I914">
        <v>109</v>
      </c>
    </row>
    <row r="915" spans="1:9" x14ac:dyDescent="0.25">
      <c r="A915">
        <v>2024</v>
      </c>
      <c r="B915" s="4" t="s">
        <v>14</v>
      </c>
      <c r="C915" s="1">
        <v>1</v>
      </c>
      <c r="D915" t="s">
        <v>159</v>
      </c>
      <c r="E915">
        <v>40</v>
      </c>
      <c r="F915">
        <v>2</v>
      </c>
      <c r="G915">
        <v>64</v>
      </c>
      <c r="H915">
        <v>124</v>
      </c>
      <c r="I915">
        <v>89</v>
      </c>
    </row>
    <row r="916" spans="1:9" x14ac:dyDescent="0.25">
      <c r="A916">
        <v>2024</v>
      </c>
      <c r="B916" s="4" t="s">
        <v>14</v>
      </c>
      <c r="C916" s="1">
        <v>1</v>
      </c>
      <c r="D916" t="s">
        <v>159</v>
      </c>
      <c r="E916">
        <v>40</v>
      </c>
      <c r="F916">
        <v>3</v>
      </c>
      <c r="G916">
        <v>60</v>
      </c>
      <c r="H916">
        <v>119</v>
      </c>
      <c r="I916">
        <v>100</v>
      </c>
    </row>
    <row r="917" spans="1:9" x14ac:dyDescent="0.25">
      <c r="A917">
        <v>2024</v>
      </c>
      <c r="B917" s="4" t="s">
        <v>94</v>
      </c>
      <c r="C917" s="1">
        <v>5</v>
      </c>
      <c r="D917" t="s">
        <v>160</v>
      </c>
      <c r="E917">
        <v>40</v>
      </c>
      <c r="F917">
        <v>1</v>
      </c>
      <c r="G917">
        <v>38</v>
      </c>
      <c r="H917">
        <v>112</v>
      </c>
      <c r="I917">
        <v>100</v>
      </c>
    </row>
    <row r="918" spans="1:9" x14ac:dyDescent="0.25">
      <c r="A918">
        <v>2024</v>
      </c>
      <c r="B918" s="4" t="s">
        <v>94</v>
      </c>
      <c r="C918" s="1">
        <v>5</v>
      </c>
      <c r="D918" t="s">
        <v>160</v>
      </c>
      <c r="E918">
        <v>40</v>
      </c>
      <c r="F918">
        <v>2</v>
      </c>
      <c r="G918">
        <v>34</v>
      </c>
      <c r="H918">
        <v>109</v>
      </c>
      <c r="I918">
        <v>105</v>
      </c>
    </row>
    <row r="919" spans="1:9" x14ac:dyDescent="0.25">
      <c r="A919">
        <v>2024</v>
      </c>
      <c r="B919" s="4" t="s">
        <v>94</v>
      </c>
      <c r="C919" s="1">
        <v>5</v>
      </c>
      <c r="D919" t="s">
        <v>160</v>
      </c>
      <c r="E919">
        <v>40</v>
      </c>
      <c r="F919">
        <v>3</v>
      </c>
      <c r="G919">
        <v>30</v>
      </c>
      <c r="H919">
        <v>109</v>
      </c>
      <c r="I919">
        <v>112</v>
      </c>
    </row>
    <row r="920" spans="1:9" x14ac:dyDescent="0.25">
      <c r="A920">
        <v>2024</v>
      </c>
      <c r="B920" s="4" t="s">
        <v>94</v>
      </c>
      <c r="C920" s="1">
        <v>4</v>
      </c>
      <c r="D920" t="s">
        <v>161</v>
      </c>
      <c r="E920">
        <v>40</v>
      </c>
      <c r="F920">
        <v>1</v>
      </c>
      <c r="G920">
        <v>44</v>
      </c>
      <c r="H920">
        <v>104</v>
      </c>
      <c r="I920">
        <v>95</v>
      </c>
    </row>
    <row r="921" spans="1:9" x14ac:dyDescent="0.25">
      <c r="A921">
        <v>2024</v>
      </c>
      <c r="B921" s="4" t="s">
        <v>94</v>
      </c>
      <c r="C921" s="1">
        <v>4</v>
      </c>
      <c r="D921" t="s">
        <v>161</v>
      </c>
      <c r="E921">
        <v>40</v>
      </c>
      <c r="F921">
        <v>2</v>
      </c>
      <c r="G921">
        <v>50</v>
      </c>
      <c r="H921">
        <v>106</v>
      </c>
      <c r="I921">
        <v>95</v>
      </c>
    </row>
    <row r="922" spans="1:9" x14ac:dyDescent="0.25">
      <c r="A922">
        <v>2024</v>
      </c>
      <c r="B922" s="4" t="s">
        <v>94</v>
      </c>
      <c r="C922" s="1">
        <v>4</v>
      </c>
      <c r="D922" t="s">
        <v>161</v>
      </c>
      <c r="E922">
        <v>40</v>
      </c>
      <c r="F922">
        <v>3</v>
      </c>
      <c r="G922">
        <v>28</v>
      </c>
      <c r="H922">
        <v>104</v>
      </c>
      <c r="I922">
        <v>90</v>
      </c>
    </row>
    <row r="923" spans="1:9" x14ac:dyDescent="0.25">
      <c r="A923">
        <v>2024</v>
      </c>
      <c r="B923" s="4" t="s">
        <v>94</v>
      </c>
      <c r="C923" s="1">
        <v>5</v>
      </c>
      <c r="D923" t="s">
        <v>162</v>
      </c>
      <c r="E923">
        <v>40</v>
      </c>
      <c r="F923">
        <v>1</v>
      </c>
      <c r="G923">
        <v>20</v>
      </c>
      <c r="H923">
        <v>103</v>
      </c>
      <c r="I923">
        <v>86</v>
      </c>
    </row>
    <row r="924" spans="1:9" x14ac:dyDescent="0.25">
      <c r="A924">
        <v>2024</v>
      </c>
      <c r="B924" s="4" t="s">
        <v>94</v>
      </c>
      <c r="C924" s="1">
        <v>5</v>
      </c>
      <c r="D924" t="s">
        <v>162</v>
      </c>
      <c r="E924">
        <v>40</v>
      </c>
      <c r="F924">
        <v>2</v>
      </c>
      <c r="G924">
        <v>36</v>
      </c>
      <c r="H924">
        <v>99</v>
      </c>
      <c r="I924">
        <v>90</v>
      </c>
    </row>
    <row r="925" spans="1:9" x14ac:dyDescent="0.25">
      <c r="A925">
        <v>2024</v>
      </c>
      <c r="B925" s="4" t="s">
        <v>94</v>
      </c>
      <c r="C925" s="1">
        <v>5</v>
      </c>
      <c r="D925" t="s">
        <v>162</v>
      </c>
      <c r="E925">
        <v>40</v>
      </c>
      <c r="F925">
        <v>3</v>
      </c>
      <c r="G925">
        <v>30</v>
      </c>
      <c r="H925">
        <v>99</v>
      </c>
      <c r="I925">
        <v>72</v>
      </c>
    </row>
    <row r="926" spans="1:9" x14ac:dyDescent="0.25">
      <c r="A926">
        <v>2024</v>
      </c>
      <c r="B926" s="4" t="s">
        <v>94</v>
      </c>
      <c r="C926" s="1">
        <v>5</v>
      </c>
      <c r="D926" t="s">
        <v>163</v>
      </c>
      <c r="E926">
        <v>40</v>
      </c>
      <c r="F926">
        <v>1</v>
      </c>
      <c r="G926">
        <v>50</v>
      </c>
      <c r="H926">
        <v>112</v>
      </c>
      <c r="I926">
        <v>102</v>
      </c>
    </row>
    <row r="927" spans="1:9" x14ac:dyDescent="0.25">
      <c r="A927">
        <v>2024</v>
      </c>
      <c r="B927" s="4" t="s">
        <v>94</v>
      </c>
      <c r="C927" s="1">
        <v>5</v>
      </c>
      <c r="D927" t="s">
        <v>163</v>
      </c>
      <c r="E927">
        <v>40</v>
      </c>
      <c r="F927">
        <v>2</v>
      </c>
      <c r="G927">
        <v>40</v>
      </c>
      <c r="H927">
        <v>109</v>
      </c>
      <c r="I927">
        <v>100</v>
      </c>
    </row>
    <row r="928" spans="1:9" x14ac:dyDescent="0.25">
      <c r="A928">
        <v>2024</v>
      </c>
      <c r="B928" s="4" t="s">
        <v>94</v>
      </c>
      <c r="C928" s="1">
        <v>5</v>
      </c>
      <c r="D928" t="s">
        <v>163</v>
      </c>
      <c r="E928">
        <v>40</v>
      </c>
      <c r="F928">
        <v>3</v>
      </c>
      <c r="G928">
        <v>26</v>
      </c>
      <c r="H928">
        <v>104</v>
      </c>
      <c r="I928">
        <v>95</v>
      </c>
    </row>
    <row r="929" spans="1:9" x14ac:dyDescent="0.25">
      <c r="A929">
        <v>2024</v>
      </c>
      <c r="B929" s="4" t="s">
        <v>94</v>
      </c>
      <c r="C929" s="1">
        <v>5</v>
      </c>
      <c r="D929" t="s">
        <v>164</v>
      </c>
      <c r="E929">
        <v>40</v>
      </c>
      <c r="F929">
        <v>1</v>
      </c>
      <c r="G929">
        <v>32</v>
      </c>
      <c r="H929">
        <v>95</v>
      </c>
      <c r="I929">
        <v>114</v>
      </c>
    </row>
    <row r="930" spans="1:9" x14ac:dyDescent="0.25">
      <c r="A930">
        <v>2024</v>
      </c>
      <c r="B930" s="4" t="s">
        <v>94</v>
      </c>
      <c r="C930" s="1">
        <v>5</v>
      </c>
      <c r="D930" t="s">
        <v>164</v>
      </c>
      <c r="E930">
        <v>40</v>
      </c>
      <c r="F930">
        <v>2</v>
      </c>
      <c r="G930">
        <v>30</v>
      </c>
      <c r="H930">
        <v>100</v>
      </c>
      <c r="I930">
        <v>89</v>
      </c>
    </row>
    <row r="931" spans="1:9" x14ac:dyDescent="0.25">
      <c r="A931">
        <v>2024</v>
      </c>
      <c r="B931" s="4" t="s">
        <v>94</v>
      </c>
      <c r="C931" s="1">
        <v>5</v>
      </c>
      <c r="D931" t="s">
        <v>164</v>
      </c>
      <c r="E931">
        <v>40</v>
      </c>
      <c r="F931">
        <v>3</v>
      </c>
      <c r="G931">
        <v>16</v>
      </c>
      <c r="H931">
        <v>101</v>
      </c>
      <c r="I931">
        <v>101</v>
      </c>
    </row>
    <row r="932" spans="1:9" x14ac:dyDescent="0.25">
      <c r="A932">
        <v>2024</v>
      </c>
      <c r="B932" s="4" t="s">
        <v>94</v>
      </c>
      <c r="C932" s="1">
        <v>5</v>
      </c>
      <c r="D932" t="s">
        <v>165</v>
      </c>
      <c r="E932">
        <v>40</v>
      </c>
      <c r="F932">
        <v>1</v>
      </c>
      <c r="G932">
        <v>12</v>
      </c>
      <c r="H932">
        <v>92</v>
      </c>
      <c r="I932">
        <v>99</v>
      </c>
    </row>
    <row r="933" spans="1:9" x14ac:dyDescent="0.25">
      <c r="A933">
        <v>2024</v>
      </c>
      <c r="B933" s="4" t="s">
        <v>94</v>
      </c>
      <c r="C933" s="1">
        <v>5</v>
      </c>
      <c r="D933" t="s">
        <v>165</v>
      </c>
      <c r="E933">
        <v>40</v>
      </c>
      <c r="F933">
        <v>2</v>
      </c>
      <c r="G933">
        <v>30</v>
      </c>
      <c r="H933">
        <v>100</v>
      </c>
      <c r="I933">
        <v>95</v>
      </c>
    </row>
    <row r="934" spans="1:9" x14ac:dyDescent="0.25">
      <c r="A934">
        <v>2024</v>
      </c>
      <c r="B934" s="4" t="s">
        <v>94</v>
      </c>
      <c r="C934" s="1">
        <v>5</v>
      </c>
      <c r="D934" t="s">
        <v>165</v>
      </c>
      <c r="E934">
        <v>40</v>
      </c>
      <c r="F934">
        <v>3</v>
      </c>
      <c r="G934">
        <v>22</v>
      </c>
      <c r="H934">
        <v>100</v>
      </c>
      <c r="I934">
        <v>105</v>
      </c>
    </row>
    <row r="935" spans="1:9" x14ac:dyDescent="0.25">
      <c r="A935">
        <v>2024</v>
      </c>
      <c r="B935" s="4" t="s">
        <v>94</v>
      </c>
      <c r="C935" s="1">
        <v>5</v>
      </c>
      <c r="D935" t="s">
        <v>166</v>
      </c>
      <c r="E935">
        <v>40</v>
      </c>
      <c r="F935">
        <v>1</v>
      </c>
      <c r="G935">
        <v>24</v>
      </c>
      <c r="H935">
        <v>106</v>
      </c>
      <c r="I935">
        <v>100</v>
      </c>
    </row>
    <row r="936" spans="1:9" x14ac:dyDescent="0.25">
      <c r="A936">
        <v>2024</v>
      </c>
      <c r="B936" s="4" t="s">
        <v>94</v>
      </c>
      <c r="C936" s="1">
        <v>5</v>
      </c>
      <c r="D936" t="s">
        <v>166</v>
      </c>
      <c r="E936">
        <v>40</v>
      </c>
      <c r="F936">
        <v>2</v>
      </c>
      <c r="G936">
        <v>26</v>
      </c>
      <c r="H936">
        <v>112</v>
      </c>
      <c r="I936">
        <v>95</v>
      </c>
    </row>
    <row r="937" spans="1:9" x14ac:dyDescent="0.25">
      <c r="A937">
        <v>2024</v>
      </c>
      <c r="B937" s="4" t="s">
        <v>94</v>
      </c>
      <c r="C937" s="1">
        <v>5</v>
      </c>
      <c r="D937" t="s">
        <v>166</v>
      </c>
      <c r="E937">
        <v>40</v>
      </c>
      <c r="F937">
        <v>3</v>
      </c>
      <c r="G937">
        <v>24</v>
      </c>
      <c r="H937">
        <v>115</v>
      </c>
      <c r="I937">
        <v>109</v>
      </c>
    </row>
    <row r="938" spans="1:9" x14ac:dyDescent="0.25">
      <c r="A938">
        <v>2024</v>
      </c>
      <c r="B938" s="4" t="s">
        <v>94</v>
      </c>
      <c r="C938" s="1">
        <v>5</v>
      </c>
      <c r="D938" t="s">
        <v>167</v>
      </c>
      <c r="E938">
        <v>40</v>
      </c>
      <c r="F938">
        <v>1</v>
      </c>
      <c r="G938">
        <v>48</v>
      </c>
      <c r="H938">
        <v>124</v>
      </c>
      <c r="I938">
        <v>100</v>
      </c>
    </row>
    <row r="939" spans="1:9" x14ac:dyDescent="0.25">
      <c r="A939">
        <v>2024</v>
      </c>
      <c r="B939" s="4" t="s">
        <v>94</v>
      </c>
      <c r="C939" s="1">
        <v>5</v>
      </c>
      <c r="D939" t="s">
        <v>167</v>
      </c>
      <c r="E939">
        <v>40</v>
      </c>
      <c r="F939">
        <v>2</v>
      </c>
      <c r="G939">
        <v>46</v>
      </c>
      <c r="H939">
        <v>121</v>
      </c>
      <c r="I939">
        <v>110</v>
      </c>
    </row>
    <row r="940" spans="1:9" x14ac:dyDescent="0.25">
      <c r="A940">
        <v>2024</v>
      </c>
      <c r="B940" s="4" t="s">
        <v>94</v>
      </c>
      <c r="C940" s="1">
        <v>5</v>
      </c>
      <c r="D940" t="s">
        <v>167</v>
      </c>
      <c r="E940">
        <v>40</v>
      </c>
      <c r="F940">
        <v>3</v>
      </c>
      <c r="G940">
        <v>38</v>
      </c>
      <c r="H940">
        <v>122</v>
      </c>
      <c r="I940">
        <v>104</v>
      </c>
    </row>
    <row r="941" spans="1:9" x14ac:dyDescent="0.25">
      <c r="A941">
        <v>2024</v>
      </c>
      <c r="B941" s="4" t="s">
        <v>94</v>
      </c>
      <c r="C941" s="1">
        <v>5</v>
      </c>
      <c r="D941" t="s">
        <v>168</v>
      </c>
      <c r="E941">
        <v>40</v>
      </c>
      <c r="F941">
        <v>1</v>
      </c>
      <c r="G941">
        <v>62</v>
      </c>
      <c r="H941">
        <v>122</v>
      </c>
      <c r="I941">
        <v>90</v>
      </c>
    </row>
    <row r="942" spans="1:9" x14ac:dyDescent="0.25">
      <c r="A942">
        <v>2024</v>
      </c>
      <c r="B942" s="4" t="s">
        <v>94</v>
      </c>
      <c r="C942" s="1">
        <v>5</v>
      </c>
      <c r="D942" t="s">
        <v>168</v>
      </c>
      <c r="E942">
        <v>40</v>
      </c>
      <c r="F942">
        <v>2</v>
      </c>
      <c r="G942">
        <v>50</v>
      </c>
      <c r="H942">
        <v>120</v>
      </c>
      <c r="I942">
        <v>103</v>
      </c>
    </row>
    <row r="943" spans="1:9" x14ac:dyDescent="0.25">
      <c r="A943">
        <v>2024</v>
      </c>
      <c r="B943" s="4" t="s">
        <v>94</v>
      </c>
      <c r="C943" s="1">
        <v>5</v>
      </c>
      <c r="D943" t="s">
        <v>168</v>
      </c>
      <c r="E943">
        <v>40</v>
      </c>
      <c r="F943">
        <v>3</v>
      </c>
      <c r="G943">
        <v>46</v>
      </c>
      <c r="H943">
        <v>120</v>
      </c>
      <c r="I943">
        <v>90</v>
      </c>
    </row>
    <row r="944" spans="1:9" x14ac:dyDescent="0.25">
      <c r="A944">
        <v>2024</v>
      </c>
      <c r="B944" s="4" t="s">
        <v>94</v>
      </c>
      <c r="C944" s="1">
        <v>5</v>
      </c>
      <c r="D944" t="s">
        <v>169</v>
      </c>
      <c r="E944">
        <v>40</v>
      </c>
      <c r="F944">
        <v>1</v>
      </c>
      <c r="G944">
        <v>38</v>
      </c>
      <c r="H944">
        <v>91</v>
      </c>
      <c r="I944">
        <v>92</v>
      </c>
    </row>
    <row r="945" spans="1:9" x14ac:dyDescent="0.25">
      <c r="A945">
        <v>2024</v>
      </c>
      <c r="B945" s="4" t="s">
        <v>94</v>
      </c>
      <c r="C945" s="1">
        <v>5</v>
      </c>
      <c r="D945" t="s">
        <v>169</v>
      </c>
      <c r="E945">
        <v>40</v>
      </c>
      <c r="F945">
        <v>2</v>
      </c>
      <c r="G945">
        <v>50</v>
      </c>
      <c r="H945">
        <v>95</v>
      </c>
      <c r="I945">
        <v>106</v>
      </c>
    </row>
    <row r="946" spans="1:9" x14ac:dyDescent="0.25">
      <c r="A946">
        <v>2024</v>
      </c>
      <c r="B946" s="4" t="s">
        <v>94</v>
      </c>
      <c r="C946" s="1">
        <v>5</v>
      </c>
      <c r="D946" t="s">
        <v>169</v>
      </c>
      <c r="E946">
        <v>40</v>
      </c>
      <c r="F946">
        <v>3</v>
      </c>
      <c r="G946">
        <v>40</v>
      </c>
      <c r="H946">
        <v>91</v>
      </c>
      <c r="I946">
        <v>101</v>
      </c>
    </row>
    <row r="947" spans="1:9" x14ac:dyDescent="0.25">
      <c r="A947">
        <v>2024</v>
      </c>
      <c r="B947" s="4" t="s">
        <v>94</v>
      </c>
      <c r="C947" s="1">
        <v>5</v>
      </c>
      <c r="D947" t="s">
        <v>170</v>
      </c>
      <c r="E947">
        <v>40</v>
      </c>
      <c r="F947">
        <v>1</v>
      </c>
      <c r="G947">
        <v>20</v>
      </c>
      <c r="H947">
        <v>109</v>
      </c>
      <c r="I947">
        <v>100</v>
      </c>
    </row>
    <row r="948" spans="1:9" x14ac:dyDescent="0.25">
      <c r="A948">
        <v>2024</v>
      </c>
      <c r="B948" s="4" t="s">
        <v>94</v>
      </c>
      <c r="C948" s="1">
        <v>5</v>
      </c>
      <c r="D948" t="s">
        <v>170</v>
      </c>
      <c r="E948">
        <v>40</v>
      </c>
      <c r="F948">
        <v>2</v>
      </c>
      <c r="G948">
        <v>18</v>
      </c>
      <c r="H948">
        <v>106</v>
      </c>
      <c r="I948">
        <v>101</v>
      </c>
    </row>
    <row r="949" spans="1:9" x14ac:dyDescent="0.25">
      <c r="A949">
        <v>2024</v>
      </c>
      <c r="B949" s="4" t="s">
        <v>94</v>
      </c>
      <c r="C949" s="1">
        <v>5</v>
      </c>
      <c r="D949" t="s">
        <v>170</v>
      </c>
      <c r="E949">
        <v>40</v>
      </c>
      <c r="F949">
        <v>3</v>
      </c>
      <c r="G949">
        <v>18</v>
      </c>
      <c r="H949">
        <v>101</v>
      </c>
      <c r="I949">
        <v>85</v>
      </c>
    </row>
    <row r="950" spans="1:9" x14ac:dyDescent="0.25">
      <c r="A950">
        <v>2024</v>
      </c>
      <c r="B950" s="4" t="s">
        <v>94</v>
      </c>
      <c r="C950" s="1">
        <v>5</v>
      </c>
      <c r="D950" t="s">
        <v>171</v>
      </c>
      <c r="E950">
        <v>40</v>
      </c>
      <c r="F950">
        <v>1</v>
      </c>
      <c r="G950">
        <v>28</v>
      </c>
      <c r="H950">
        <v>110</v>
      </c>
      <c r="I950">
        <v>116</v>
      </c>
    </row>
    <row r="951" spans="1:9" x14ac:dyDescent="0.25">
      <c r="A951">
        <v>2024</v>
      </c>
      <c r="B951" s="4" t="s">
        <v>94</v>
      </c>
      <c r="C951" s="1">
        <v>5</v>
      </c>
      <c r="D951" t="s">
        <v>171</v>
      </c>
      <c r="E951">
        <v>40</v>
      </c>
      <c r="F951">
        <v>2</v>
      </c>
      <c r="G951">
        <v>30</v>
      </c>
      <c r="H951">
        <v>116</v>
      </c>
      <c r="I951">
        <v>116</v>
      </c>
    </row>
    <row r="952" spans="1:9" x14ac:dyDescent="0.25">
      <c r="A952">
        <v>2024</v>
      </c>
      <c r="B952" s="4" t="s">
        <v>94</v>
      </c>
      <c r="C952" s="1">
        <v>5</v>
      </c>
      <c r="D952" t="s">
        <v>171</v>
      </c>
      <c r="E952">
        <v>40</v>
      </c>
      <c r="F952">
        <v>3</v>
      </c>
      <c r="G952">
        <v>22</v>
      </c>
      <c r="H952">
        <v>116</v>
      </c>
      <c r="I952">
        <v>112</v>
      </c>
    </row>
    <row r="953" spans="1:9" x14ac:dyDescent="0.25">
      <c r="A953">
        <v>2024</v>
      </c>
      <c r="B953" s="4" t="s">
        <v>172</v>
      </c>
      <c r="C953" s="1">
        <v>4</v>
      </c>
      <c r="D953" t="s">
        <v>173</v>
      </c>
      <c r="E953">
        <v>40</v>
      </c>
      <c r="F953">
        <v>1</v>
      </c>
      <c r="G953">
        <v>18</v>
      </c>
      <c r="H953">
        <v>93</v>
      </c>
      <c r="I953">
        <v>83</v>
      </c>
    </row>
    <row r="954" spans="1:9" x14ac:dyDescent="0.25">
      <c r="A954">
        <v>2024</v>
      </c>
      <c r="B954" s="4" t="s">
        <v>172</v>
      </c>
      <c r="C954" s="1">
        <v>4</v>
      </c>
      <c r="D954" t="s">
        <v>173</v>
      </c>
      <c r="E954">
        <v>40</v>
      </c>
      <c r="F954">
        <v>2</v>
      </c>
      <c r="G954">
        <v>34</v>
      </c>
      <c r="H954">
        <v>82</v>
      </c>
      <c r="I954">
        <v>90</v>
      </c>
    </row>
    <row r="955" spans="1:9" x14ac:dyDescent="0.25">
      <c r="A955">
        <v>2024</v>
      </c>
      <c r="B955" s="4" t="s">
        <v>172</v>
      </c>
      <c r="C955" s="1">
        <v>4</v>
      </c>
      <c r="D955" t="s">
        <v>173</v>
      </c>
      <c r="E955">
        <v>40</v>
      </c>
      <c r="F955">
        <v>3</v>
      </c>
      <c r="G955">
        <v>6</v>
      </c>
      <c r="H955">
        <v>94</v>
      </c>
      <c r="I955">
        <v>88</v>
      </c>
    </row>
    <row r="956" spans="1:9" x14ac:dyDescent="0.25">
      <c r="A956">
        <v>2024</v>
      </c>
      <c r="B956" s="4" t="s">
        <v>172</v>
      </c>
      <c r="C956" s="1">
        <v>3</v>
      </c>
      <c r="D956" t="s">
        <v>174</v>
      </c>
      <c r="E956">
        <v>40</v>
      </c>
      <c r="F956">
        <v>1</v>
      </c>
      <c r="G956">
        <v>30</v>
      </c>
      <c r="H956">
        <v>95</v>
      </c>
      <c r="I956">
        <v>137</v>
      </c>
    </row>
    <row r="957" spans="1:9" x14ac:dyDescent="0.25">
      <c r="A957">
        <v>2024</v>
      </c>
      <c r="B957" s="4" t="s">
        <v>172</v>
      </c>
      <c r="C957" s="1">
        <v>3</v>
      </c>
      <c r="D957" t="s">
        <v>174</v>
      </c>
      <c r="E957">
        <v>40</v>
      </c>
      <c r="F957">
        <v>2</v>
      </c>
      <c r="G957">
        <v>22</v>
      </c>
      <c r="H957">
        <v>95</v>
      </c>
      <c r="I957">
        <v>122</v>
      </c>
    </row>
    <row r="958" spans="1:9" x14ac:dyDescent="0.25">
      <c r="A958">
        <v>2024</v>
      </c>
      <c r="B958" s="4" t="s">
        <v>172</v>
      </c>
      <c r="C958" s="1">
        <v>3</v>
      </c>
      <c r="D958" t="s">
        <v>174</v>
      </c>
      <c r="E958">
        <v>40</v>
      </c>
      <c r="F958">
        <v>3</v>
      </c>
      <c r="G958">
        <v>26</v>
      </c>
      <c r="H958">
        <v>95</v>
      </c>
      <c r="I958">
        <v>136</v>
      </c>
    </row>
    <row r="959" spans="1:9" x14ac:dyDescent="0.25">
      <c r="A959">
        <v>2024</v>
      </c>
      <c r="B959" s="4" t="s">
        <v>14</v>
      </c>
      <c r="C959" s="1">
        <v>1</v>
      </c>
      <c r="D959" t="s">
        <v>175</v>
      </c>
      <c r="E959">
        <v>40</v>
      </c>
      <c r="F959">
        <v>1</v>
      </c>
      <c r="G959">
        <v>50</v>
      </c>
      <c r="H959">
        <v>124</v>
      </c>
      <c r="I959">
        <v>91</v>
      </c>
    </row>
    <row r="960" spans="1:9" x14ac:dyDescent="0.25">
      <c r="A960">
        <v>2024</v>
      </c>
      <c r="B960" s="4" t="s">
        <v>14</v>
      </c>
      <c r="C960" s="1">
        <v>1</v>
      </c>
      <c r="D960" t="s">
        <v>175</v>
      </c>
      <c r="E960">
        <v>40</v>
      </c>
      <c r="F960">
        <v>2</v>
      </c>
      <c r="G960">
        <v>62</v>
      </c>
      <c r="H960">
        <v>122</v>
      </c>
      <c r="I960">
        <v>98</v>
      </c>
    </row>
    <row r="961" spans="1:9" x14ac:dyDescent="0.25">
      <c r="A961">
        <v>2024</v>
      </c>
      <c r="B961" s="4" t="s">
        <v>14</v>
      </c>
      <c r="C961" s="1">
        <v>1</v>
      </c>
      <c r="D961" t="s">
        <v>175</v>
      </c>
      <c r="E961">
        <v>40</v>
      </c>
      <c r="F961">
        <v>3</v>
      </c>
      <c r="G961">
        <v>50</v>
      </c>
      <c r="H961">
        <v>124</v>
      </c>
      <c r="I961">
        <v>95</v>
      </c>
    </row>
    <row r="962" spans="1:9" x14ac:dyDescent="0.25">
      <c r="A962">
        <v>2024</v>
      </c>
      <c r="B962" s="4" t="s">
        <v>14</v>
      </c>
      <c r="C962" s="1">
        <v>1</v>
      </c>
      <c r="D962" t="s">
        <v>176</v>
      </c>
      <c r="E962">
        <v>40</v>
      </c>
      <c r="F962">
        <v>1</v>
      </c>
      <c r="G962">
        <v>84</v>
      </c>
      <c r="H962">
        <v>110</v>
      </c>
      <c r="I962">
        <v>93</v>
      </c>
    </row>
    <row r="963" spans="1:9" x14ac:dyDescent="0.25">
      <c r="A963">
        <v>2024</v>
      </c>
      <c r="B963" s="4" t="s">
        <v>14</v>
      </c>
      <c r="C963" s="1">
        <v>1</v>
      </c>
      <c r="D963" t="s">
        <v>176</v>
      </c>
      <c r="E963">
        <v>40</v>
      </c>
      <c r="F963">
        <v>2</v>
      </c>
      <c r="G963">
        <v>72</v>
      </c>
      <c r="H963">
        <v>109</v>
      </c>
      <c r="I963">
        <v>92</v>
      </c>
    </row>
    <row r="964" spans="1:9" x14ac:dyDescent="0.25">
      <c r="A964">
        <v>2024</v>
      </c>
      <c r="B964" s="4" t="s">
        <v>14</v>
      </c>
      <c r="C964" s="1">
        <v>1</v>
      </c>
      <c r="D964" t="s">
        <v>176</v>
      </c>
      <c r="E964">
        <v>40</v>
      </c>
      <c r="F964">
        <v>3</v>
      </c>
      <c r="G964">
        <v>70</v>
      </c>
      <c r="H964">
        <v>115</v>
      </c>
      <c r="I964">
        <v>104</v>
      </c>
    </row>
    <row r="965" spans="1:9" x14ac:dyDescent="0.25">
      <c r="A965">
        <v>2024</v>
      </c>
      <c r="B965" s="4" t="s">
        <v>49</v>
      </c>
      <c r="C965" s="1">
        <v>4</v>
      </c>
      <c r="D965" t="s">
        <v>177</v>
      </c>
      <c r="E965">
        <v>40</v>
      </c>
      <c r="F965">
        <v>1</v>
      </c>
      <c r="G965">
        <v>28</v>
      </c>
      <c r="H965">
        <v>104</v>
      </c>
      <c r="I965">
        <v>93</v>
      </c>
    </row>
    <row r="966" spans="1:9" x14ac:dyDescent="0.25">
      <c r="A966">
        <v>2024</v>
      </c>
      <c r="B966" s="4" t="s">
        <v>49</v>
      </c>
      <c r="C966" s="1">
        <v>4</v>
      </c>
      <c r="D966" t="s">
        <v>177</v>
      </c>
      <c r="E966">
        <v>40</v>
      </c>
      <c r="F966">
        <v>2</v>
      </c>
      <c r="G966">
        <v>36</v>
      </c>
      <c r="H966">
        <v>138</v>
      </c>
      <c r="I966">
        <v>90</v>
      </c>
    </row>
    <row r="967" spans="1:9" x14ac:dyDescent="0.25">
      <c r="A967">
        <v>2024</v>
      </c>
      <c r="B967" s="4" t="s">
        <v>49</v>
      </c>
      <c r="C967" s="1">
        <v>4</v>
      </c>
      <c r="D967" t="s">
        <v>177</v>
      </c>
      <c r="E967">
        <v>40</v>
      </c>
      <c r="F967">
        <v>3</v>
      </c>
      <c r="G967">
        <v>32</v>
      </c>
      <c r="H967">
        <v>106</v>
      </c>
      <c r="I967">
        <v>83</v>
      </c>
    </row>
    <row r="968" spans="1:9" x14ac:dyDescent="0.25">
      <c r="A968">
        <v>2024</v>
      </c>
      <c r="B968" s="4" t="s">
        <v>49</v>
      </c>
      <c r="C968" s="1">
        <v>5</v>
      </c>
      <c r="D968" t="s">
        <v>178</v>
      </c>
      <c r="E968">
        <v>40</v>
      </c>
      <c r="F968">
        <v>1</v>
      </c>
      <c r="G968">
        <v>8</v>
      </c>
      <c r="H968">
        <v>111</v>
      </c>
      <c r="I968">
        <v>95</v>
      </c>
    </row>
    <row r="969" spans="1:9" x14ac:dyDescent="0.25">
      <c r="A969">
        <v>2024</v>
      </c>
      <c r="B969" s="4" t="s">
        <v>49</v>
      </c>
      <c r="C969" s="1">
        <v>5</v>
      </c>
      <c r="D969" t="s">
        <v>178</v>
      </c>
      <c r="E969">
        <v>40</v>
      </c>
      <c r="F969">
        <v>2</v>
      </c>
      <c r="G969">
        <v>8</v>
      </c>
      <c r="H969">
        <v>101</v>
      </c>
      <c r="I969">
        <v>99</v>
      </c>
    </row>
    <row r="970" spans="1:9" x14ac:dyDescent="0.25">
      <c r="A970">
        <v>2024</v>
      </c>
      <c r="B970" s="4" t="s">
        <v>49</v>
      </c>
      <c r="C970" s="1">
        <v>5</v>
      </c>
      <c r="D970" t="s">
        <v>178</v>
      </c>
      <c r="E970">
        <v>40</v>
      </c>
      <c r="F970">
        <v>3</v>
      </c>
      <c r="G970">
        <v>42</v>
      </c>
      <c r="H970" t="s">
        <v>20</v>
      </c>
      <c r="I970" t="s">
        <v>20</v>
      </c>
    </row>
    <row r="971" spans="1:9" x14ac:dyDescent="0.25">
      <c r="A971">
        <v>2024</v>
      </c>
      <c r="B971" s="4" t="s">
        <v>49</v>
      </c>
      <c r="C971" s="1">
        <v>5</v>
      </c>
      <c r="D971" t="s">
        <v>179</v>
      </c>
      <c r="E971">
        <v>40</v>
      </c>
      <c r="F971">
        <v>1</v>
      </c>
      <c r="G971">
        <v>60</v>
      </c>
      <c r="H971">
        <v>116</v>
      </c>
      <c r="I971">
        <v>104</v>
      </c>
    </row>
    <row r="972" spans="1:9" x14ac:dyDescent="0.25">
      <c r="A972">
        <v>2024</v>
      </c>
      <c r="B972" s="4" t="s">
        <v>49</v>
      </c>
      <c r="C972" s="1">
        <v>5</v>
      </c>
      <c r="D972" t="s">
        <v>179</v>
      </c>
      <c r="E972">
        <v>40</v>
      </c>
      <c r="F972">
        <v>2</v>
      </c>
      <c r="G972">
        <v>36</v>
      </c>
      <c r="H972">
        <v>109</v>
      </c>
      <c r="I972">
        <v>105</v>
      </c>
    </row>
    <row r="973" spans="1:9" x14ac:dyDescent="0.25">
      <c r="A973">
        <v>2024</v>
      </c>
      <c r="B973" s="4" t="s">
        <v>49</v>
      </c>
      <c r="C973" s="1">
        <v>5</v>
      </c>
      <c r="D973" t="s">
        <v>179</v>
      </c>
      <c r="E973">
        <v>40</v>
      </c>
      <c r="F973">
        <v>3</v>
      </c>
      <c r="G973">
        <v>56</v>
      </c>
      <c r="H973">
        <v>115</v>
      </c>
      <c r="I973">
        <v>95</v>
      </c>
    </row>
    <row r="974" spans="1:9" x14ac:dyDescent="0.25">
      <c r="A974">
        <v>2024</v>
      </c>
      <c r="B974" s="4" t="s">
        <v>49</v>
      </c>
      <c r="C974" s="1">
        <v>4</v>
      </c>
      <c r="D974" t="s">
        <v>180</v>
      </c>
      <c r="E974">
        <v>40</v>
      </c>
      <c r="F974">
        <v>1</v>
      </c>
      <c r="G974">
        <v>34</v>
      </c>
      <c r="H974">
        <v>104</v>
      </c>
      <c r="I974">
        <v>108</v>
      </c>
    </row>
    <row r="975" spans="1:9" x14ac:dyDescent="0.25">
      <c r="A975">
        <v>2024</v>
      </c>
      <c r="B975" s="4" t="s">
        <v>49</v>
      </c>
      <c r="C975" s="1">
        <v>4</v>
      </c>
      <c r="D975" t="s">
        <v>180</v>
      </c>
      <c r="E975">
        <v>40</v>
      </c>
      <c r="F975">
        <v>2</v>
      </c>
      <c r="G975">
        <v>22</v>
      </c>
      <c r="H975">
        <v>105</v>
      </c>
      <c r="I975">
        <v>110</v>
      </c>
    </row>
    <row r="976" spans="1:9" x14ac:dyDescent="0.25">
      <c r="A976">
        <v>2024</v>
      </c>
      <c r="B976" s="4" t="s">
        <v>49</v>
      </c>
      <c r="C976" s="1">
        <v>4</v>
      </c>
      <c r="D976" t="s">
        <v>180</v>
      </c>
      <c r="E976">
        <v>40</v>
      </c>
      <c r="F976">
        <v>3</v>
      </c>
      <c r="G976">
        <v>32</v>
      </c>
      <c r="H976">
        <v>104</v>
      </c>
      <c r="I976">
        <v>119</v>
      </c>
    </row>
    <row r="977" spans="1:9" x14ac:dyDescent="0.25">
      <c r="A977">
        <v>2024</v>
      </c>
      <c r="B977" s="4" t="s">
        <v>182</v>
      </c>
      <c r="C977" s="1">
        <v>2</v>
      </c>
      <c r="D977" t="s">
        <v>183</v>
      </c>
      <c r="E977">
        <v>40</v>
      </c>
      <c r="F977">
        <v>1</v>
      </c>
      <c r="G977">
        <v>50</v>
      </c>
      <c r="H977">
        <v>148</v>
      </c>
      <c r="I977">
        <v>108</v>
      </c>
    </row>
    <row r="978" spans="1:9" x14ac:dyDescent="0.25">
      <c r="A978">
        <v>2024</v>
      </c>
      <c r="B978" s="4" t="s">
        <v>182</v>
      </c>
      <c r="C978" s="1">
        <v>2</v>
      </c>
      <c r="D978" t="s">
        <v>183</v>
      </c>
      <c r="E978">
        <v>40</v>
      </c>
      <c r="F978">
        <v>2</v>
      </c>
      <c r="G978">
        <v>62</v>
      </c>
      <c r="H978">
        <v>147</v>
      </c>
      <c r="I978">
        <v>103</v>
      </c>
    </row>
    <row r="979" spans="1:9" x14ac:dyDescent="0.25">
      <c r="A979">
        <v>2024</v>
      </c>
      <c r="B979" s="4" t="s">
        <v>182</v>
      </c>
      <c r="C979" s="1">
        <v>2</v>
      </c>
      <c r="D979" t="s">
        <v>183</v>
      </c>
      <c r="E979">
        <v>40</v>
      </c>
      <c r="F979">
        <v>3</v>
      </c>
      <c r="G979">
        <v>64</v>
      </c>
      <c r="H979">
        <v>158</v>
      </c>
      <c r="I979">
        <v>115</v>
      </c>
    </row>
    <row r="980" spans="1:9" x14ac:dyDescent="0.25">
      <c r="A980">
        <v>2024</v>
      </c>
      <c r="B980" s="4" t="s">
        <v>182</v>
      </c>
      <c r="C980" s="1">
        <v>4</v>
      </c>
      <c r="D980" t="s">
        <v>187</v>
      </c>
      <c r="E980">
        <v>40</v>
      </c>
      <c r="F980">
        <v>1</v>
      </c>
      <c r="G980">
        <v>40</v>
      </c>
      <c r="H980">
        <v>116</v>
      </c>
      <c r="I980">
        <v>96</v>
      </c>
    </row>
    <row r="981" spans="1:9" x14ac:dyDescent="0.25">
      <c r="A981">
        <v>2024</v>
      </c>
      <c r="B981" s="4" t="s">
        <v>182</v>
      </c>
      <c r="C981" s="1">
        <v>4</v>
      </c>
      <c r="D981" t="s">
        <v>187</v>
      </c>
      <c r="E981">
        <v>40</v>
      </c>
      <c r="F981">
        <v>2</v>
      </c>
      <c r="G981">
        <v>42</v>
      </c>
      <c r="H981">
        <v>111</v>
      </c>
      <c r="I981">
        <v>102</v>
      </c>
    </row>
    <row r="982" spans="1:9" x14ac:dyDescent="0.25">
      <c r="A982">
        <v>2024</v>
      </c>
      <c r="B982" s="4" t="s">
        <v>182</v>
      </c>
      <c r="C982" s="1">
        <v>4</v>
      </c>
      <c r="D982" t="s">
        <v>187</v>
      </c>
      <c r="E982">
        <v>40</v>
      </c>
      <c r="F982">
        <v>3</v>
      </c>
      <c r="G982">
        <v>34</v>
      </c>
      <c r="H982">
        <v>85</v>
      </c>
      <c r="I982">
        <v>102</v>
      </c>
    </row>
    <row r="983" spans="1:9" x14ac:dyDescent="0.25">
      <c r="A983">
        <v>2024</v>
      </c>
      <c r="B983" s="4" t="s">
        <v>189</v>
      </c>
      <c r="C983" s="1">
        <v>4</v>
      </c>
      <c r="D983" t="s">
        <v>190</v>
      </c>
      <c r="E983">
        <v>40</v>
      </c>
      <c r="F983">
        <v>1</v>
      </c>
      <c r="G983">
        <v>48</v>
      </c>
      <c r="H983">
        <v>101</v>
      </c>
      <c r="I983">
        <v>101</v>
      </c>
    </row>
    <row r="984" spans="1:9" x14ac:dyDescent="0.25">
      <c r="A984">
        <v>2024</v>
      </c>
      <c r="B984" s="4" t="s">
        <v>189</v>
      </c>
      <c r="C984" s="1">
        <v>4</v>
      </c>
      <c r="D984" t="s">
        <v>190</v>
      </c>
      <c r="E984">
        <v>40</v>
      </c>
      <c r="F984">
        <v>2</v>
      </c>
      <c r="G984">
        <v>20</v>
      </c>
      <c r="H984">
        <v>100</v>
      </c>
      <c r="I984">
        <v>101</v>
      </c>
    </row>
    <row r="985" spans="1:9" x14ac:dyDescent="0.25">
      <c r="A985">
        <v>2024</v>
      </c>
      <c r="B985" s="4" t="s">
        <v>189</v>
      </c>
      <c r="C985" s="1">
        <v>4</v>
      </c>
      <c r="D985" t="s">
        <v>190</v>
      </c>
      <c r="E985">
        <v>40</v>
      </c>
      <c r="F985">
        <v>3</v>
      </c>
      <c r="G985">
        <v>62</v>
      </c>
      <c r="H985">
        <v>100</v>
      </c>
      <c r="I985">
        <v>104</v>
      </c>
    </row>
    <row r="986" spans="1:9" x14ac:dyDescent="0.25">
      <c r="A986">
        <v>2024</v>
      </c>
      <c r="B986" s="4" t="s">
        <v>189</v>
      </c>
      <c r="C986" s="1">
        <v>4</v>
      </c>
      <c r="D986" t="s">
        <v>191</v>
      </c>
      <c r="E986">
        <v>40</v>
      </c>
      <c r="F986">
        <v>1</v>
      </c>
      <c r="G986">
        <v>40</v>
      </c>
      <c r="H986">
        <v>100</v>
      </c>
      <c r="I986">
        <v>108</v>
      </c>
    </row>
    <row r="987" spans="1:9" x14ac:dyDescent="0.25">
      <c r="A987">
        <v>2024</v>
      </c>
      <c r="B987" s="4" t="s">
        <v>189</v>
      </c>
      <c r="C987" s="1">
        <v>4</v>
      </c>
      <c r="D987" t="s">
        <v>191</v>
      </c>
      <c r="E987">
        <v>40</v>
      </c>
      <c r="F987">
        <v>2</v>
      </c>
      <c r="G987">
        <v>22</v>
      </c>
      <c r="H987">
        <v>101</v>
      </c>
      <c r="I987">
        <v>90</v>
      </c>
    </row>
    <row r="988" spans="1:9" x14ac:dyDescent="0.25">
      <c r="A988">
        <v>2024</v>
      </c>
      <c r="B988" s="4" t="s">
        <v>189</v>
      </c>
      <c r="C988" s="1">
        <v>4</v>
      </c>
      <c r="D988" t="s">
        <v>191</v>
      </c>
      <c r="E988">
        <v>40</v>
      </c>
      <c r="F988">
        <v>3</v>
      </c>
      <c r="G988">
        <v>18</v>
      </c>
      <c r="H988">
        <v>106</v>
      </c>
      <c r="I988">
        <v>100</v>
      </c>
    </row>
    <row r="989" spans="1:9" x14ac:dyDescent="0.25">
      <c r="A989">
        <v>2024</v>
      </c>
      <c r="B989" s="4" t="s">
        <v>189</v>
      </c>
      <c r="C989" s="1">
        <v>5</v>
      </c>
      <c r="D989" t="s">
        <v>193</v>
      </c>
      <c r="E989">
        <v>40</v>
      </c>
      <c r="F989">
        <v>1</v>
      </c>
      <c r="G989">
        <v>4</v>
      </c>
      <c r="H989">
        <v>118</v>
      </c>
      <c r="I989">
        <v>105</v>
      </c>
    </row>
    <row r="990" spans="1:9" x14ac:dyDescent="0.25">
      <c r="A990">
        <v>2024</v>
      </c>
      <c r="B990" s="4" t="s">
        <v>189</v>
      </c>
      <c r="C990" s="1">
        <v>5</v>
      </c>
      <c r="D990" t="s">
        <v>193</v>
      </c>
      <c r="E990">
        <v>40</v>
      </c>
      <c r="F990">
        <v>2</v>
      </c>
      <c r="G990">
        <v>14</v>
      </c>
      <c r="H990">
        <v>116</v>
      </c>
      <c r="I990">
        <v>102</v>
      </c>
    </row>
    <row r="991" spans="1:9" x14ac:dyDescent="0.25">
      <c r="A991">
        <v>2024</v>
      </c>
      <c r="B991" s="4" t="s">
        <v>189</v>
      </c>
      <c r="C991" s="1">
        <v>5</v>
      </c>
      <c r="D991" t="s">
        <v>193</v>
      </c>
      <c r="E991">
        <v>40</v>
      </c>
      <c r="F991">
        <v>3</v>
      </c>
      <c r="G991">
        <v>16</v>
      </c>
      <c r="H991">
        <v>110</v>
      </c>
      <c r="I991">
        <v>109</v>
      </c>
    </row>
    <row r="992" spans="1:9" x14ac:dyDescent="0.25">
      <c r="A992">
        <v>2024</v>
      </c>
      <c r="B992" s="4" t="s">
        <v>49</v>
      </c>
      <c r="C992" s="1">
        <v>5</v>
      </c>
      <c r="D992" t="s">
        <v>194</v>
      </c>
      <c r="E992">
        <v>40</v>
      </c>
      <c r="F992">
        <v>1</v>
      </c>
      <c r="G992">
        <v>24</v>
      </c>
      <c r="H992">
        <v>115</v>
      </c>
      <c r="I992">
        <v>119</v>
      </c>
    </row>
    <row r="993" spans="1:9" x14ac:dyDescent="0.25">
      <c r="A993">
        <v>2024</v>
      </c>
      <c r="B993" s="4" t="s">
        <v>49</v>
      </c>
      <c r="C993" s="1">
        <v>5</v>
      </c>
      <c r="D993" t="s">
        <v>194</v>
      </c>
      <c r="E993">
        <v>40</v>
      </c>
      <c r="F993">
        <v>2</v>
      </c>
      <c r="G993">
        <v>10</v>
      </c>
      <c r="H993">
        <v>115</v>
      </c>
      <c r="I993">
        <v>108</v>
      </c>
    </row>
    <row r="994" spans="1:9" x14ac:dyDescent="0.25">
      <c r="A994">
        <v>2024</v>
      </c>
      <c r="B994" s="4" t="s">
        <v>49</v>
      </c>
      <c r="C994" s="1">
        <v>5</v>
      </c>
      <c r="D994" t="s">
        <v>194</v>
      </c>
      <c r="E994">
        <v>40</v>
      </c>
      <c r="F994">
        <v>3</v>
      </c>
      <c r="G994">
        <v>20</v>
      </c>
      <c r="H994">
        <v>113</v>
      </c>
      <c r="I994">
        <v>120</v>
      </c>
    </row>
    <row r="995" spans="1:9" x14ac:dyDescent="0.25">
      <c r="A995">
        <v>2024</v>
      </c>
      <c r="B995" s="4" t="s">
        <v>49</v>
      </c>
      <c r="C995" s="1">
        <v>5</v>
      </c>
      <c r="D995" t="s">
        <v>195</v>
      </c>
      <c r="E995">
        <v>40</v>
      </c>
      <c r="F995">
        <v>1</v>
      </c>
      <c r="G995">
        <v>60</v>
      </c>
      <c r="H995">
        <v>116</v>
      </c>
      <c r="I995">
        <v>115</v>
      </c>
    </row>
    <row r="996" spans="1:9" x14ac:dyDescent="0.25">
      <c r="A996">
        <v>2024</v>
      </c>
      <c r="B996" s="4" t="s">
        <v>49</v>
      </c>
      <c r="C996" s="1">
        <v>5</v>
      </c>
      <c r="D996" t="s">
        <v>195</v>
      </c>
      <c r="E996">
        <v>40</v>
      </c>
      <c r="F996">
        <v>2</v>
      </c>
      <c r="G996">
        <v>82</v>
      </c>
      <c r="H996">
        <v>109</v>
      </c>
      <c r="I996">
        <v>115</v>
      </c>
    </row>
    <row r="997" spans="1:9" x14ac:dyDescent="0.25">
      <c r="A997">
        <v>2024</v>
      </c>
      <c r="B997" s="4" t="s">
        <v>49</v>
      </c>
      <c r="C997" s="1">
        <v>5</v>
      </c>
      <c r="D997" t="s">
        <v>195</v>
      </c>
      <c r="E997">
        <v>40</v>
      </c>
      <c r="F997">
        <v>3</v>
      </c>
      <c r="G997">
        <v>76</v>
      </c>
      <c r="H997">
        <v>117</v>
      </c>
      <c r="I997">
        <v>104</v>
      </c>
    </row>
    <row r="998" spans="1:9" x14ac:dyDescent="0.25">
      <c r="A998">
        <v>2024</v>
      </c>
      <c r="B998" s="4" t="s">
        <v>49</v>
      </c>
      <c r="C998" s="1">
        <v>5</v>
      </c>
      <c r="D998" t="s">
        <v>196</v>
      </c>
      <c r="E998">
        <v>40</v>
      </c>
      <c r="F998">
        <v>1</v>
      </c>
      <c r="G998">
        <v>40</v>
      </c>
      <c r="H998">
        <v>115</v>
      </c>
      <c r="I998">
        <v>106</v>
      </c>
    </row>
    <row r="999" spans="1:9" x14ac:dyDescent="0.25">
      <c r="A999">
        <v>2024</v>
      </c>
      <c r="B999" s="4" t="s">
        <v>49</v>
      </c>
      <c r="C999" s="1">
        <v>5</v>
      </c>
      <c r="D999" t="s">
        <v>196</v>
      </c>
      <c r="E999">
        <v>40</v>
      </c>
      <c r="F999">
        <v>2</v>
      </c>
      <c r="G999">
        <v>48</v>
      </c>
      <c r="H999">
        <v>115</v>
      </c>
      <c r="I999">
        <v>100</v>
      </c>
    </row>
    <row r="1000" spans="1:9" x14ac:dyDescent="0.25">
      <c r="A1000">
        <v>2024</v>
      </c>
      <c r="B1000" s="4" t="s">
        <v>49</v>
      </c>
      <c r="C1000" s="1">
        <v>5</v>
      </c>
      <c r="D1000" t="s">
        <v>196</v>
      </c>
      <c r="E1000">
        <v>40</v>
      </c>
      <c r="F1000">
        <v>3</v>
      </c>
      <c r="G1000">
        <v>76</v>
      </c>
      <c r="H1000">
        <v>111</v>
      </c>
      <c r="I1000">
        <v>105</v>
      </c>
    </row>
    <row r="1001" spans="1:9" x14ac:dyDescent="0.25">
      <c r="A1001">
        <v>2024</v>
      </c>
      <c r="B1001" s="4" t="s">
        <v>189</v>
      </c>
      <c r="C1001" s="1">
        <v>4</v>
      </c>
      <c r="D1001" t="s">
        <v>197</v>
      </c>
      <c r="E1001">
        <v>40</v>
      </c>
      <c r="F1001">
        <v>1</v>
      </c>
      <c r="G1001">
        <v>24</v>
      </c>
      <c r="H1001">
        <v>106</v>
      </c>
      <c r="I1001">
        <v>100</v>
      </c>
    </row>
    <row r="1002" spans="1:9" x14ac:dyDescent="0.25">
      <c r="A1002">
        <v>2024</v>
      </c>
      <c r="B1002" s="4" t="s">
        <v>189</v>
      </c>
      <c r="C1002" s="1">
        <v>4</v>
      </c>
      <c r="D1002" t="s">
        <v>197</v>
      </c>
      <c r="E1002">
        <v>40</v>
      </c>
      <c r="F1002">
        <v>2</v>
      </c>
      <c r="G1002">
        <v>38</v>
      </c>
      <c r="H1002">
        <v>106</v>
      </c>
      <c r="I1002">
        <v>100</v>
      </c>
    </row>
    <row r="1003" spans="1:9" x14ac:dyDescent="0.25">
      <c r="A1003">
        <v>2024</v>
      </c>
      <c r="B1003" s="4" t="s">
        <v>189</v>
      </c>
      <c r="C1003" s="1">
        <v>4</v>
      </c>
      <c r="D1003" t="s">
        <v>197</v>
      </c>
      <c r="E1003">
        <v>40</v>
      </c>
      <c r="F1003">
        <v>3</v>
      </c>
      <c r="G1003">
        <v>32</v>
      </c>
      <c r="H1003">
        <v>109</v>
      </c>
      <c r="I1003">
        <v>95</v>
      </c>
    </row>
    <row r="1004" spans="1:9" x14ac:dyDescent="0.25">
      <c r="A1004">
        <v>2024</v>
      </c>
      <c r="B1004" s="4" t="s">
        <v>189</v>
      </c>
      <c r="C1004" s="1">
        <v>3</v>
      </c>
      <c r="D1004" t="s">
        <v>198</v>
      </c>
      <c r="E1004">
        <v>40</v>
      </c>
      <c r="F1004">
        <v>1</v>
      </c>
      <c r="G1004">
        <v>20</v>
      </c>
      <c r="H1004">
        <v>95</v>
      </c>
      <c r="I1004">
        <v>136</v>
      </c>
    </row>
    <row r="1005" spans="1:9" x14ac:dyDescent="0.25">
      <c r="A1005">
        <v>2024</v>
      </c>
      <c r="B1005" s="4" t="s">
        <v>189</v>
      </c>
      <c r="C1005" s="1">
        <v>3</v>
      </c>
      <c r="D1005" t="s">
        <v>198</v>
      </c>
      <c r="E1005">
        <v>40</v>
      </c>
      <c r="F1005">
        <v>2</v>
      </c>
      <c r="G1005">
        <v>16</v>
      </c>
      <c r="H1005">
        <v>94</v>
      </c>
      <c r="I1005">
        <v>140</v>
      </c>
    </row>
    <row r="1006" spans="1:9" x14ac:dyDescent="0.25">
      <c r="A1006">
        <v>2024</v>
      </c>
      <c r="B1006" s="4" t="s">
        <v>189</v>
      </c>
      <c r="C1006" s="1">
        <v>3</v>
      </c>
      <c r="D1006" t="s">
        <v>198</v>
      </c>
      <c r="E1006">
        <v>40</v>
      </c>
      <c r="F1006">
        <v>3</v>
      </c>
      <c r="G1006">
        <v>26</v>
      </c>
      <c r="H1006">
        <v>99</v>
      </c>
      <c r="I1006">
        <v>126</v>
      </c>
    </row>
    <row r="1007" spans="1:9" x14ac:dyDescent="0.25">
      <c r="A1007">
        <v>2024</v>
      </c>
      <c r="B1007" s="4" t="s">
        <v>49</v>
      </c>
      <c r="C1007" s="1">
        <v>4</v>
      </c>
      <c r="D1007" t="s">
        <v>199</v>
      </c>
      <c r="E1007">
        <v>40</v>
      </c>
      <c r="F1007">
        <v>1</v>
      </c>
      <c r="G1007">
        <v>24</v>
      </c>
      <c r="H1007">
        <v>109</v>
      </c>
      <c r="I1007">
        <v>88</v>
      </c>
    </row>
    <row r="1008" spans="1:9" x14ac:dyDescent="0.25">
      <c r="A1008">
        <v>2024</v>
      </c>
      <c r="B1008" s="4" t="s">
        <v>49</v>
      </c>
      <c r="C1008" s="1">
        <v>4</v>
      </c>
      <c r="D1008" t="s">
        <v>199</v>
      </c>
      <c r="E1008">
        <v>40</v>
      </c>
      <c r="F1008">
        <v>2</v>
      </c>
      <c r="G1008">
        <v>8</v>
      </c>
      <c r="H1008">
        <v>100</v>
      </c>
      <c r="I1008">
        <v>85</v>
      </c>
    </row>
    <row r="1009" spans="1:9" x14ac:dyDescent="0.25">
      <c r="A1009">
        <v>2024</v>
      </c>
      <c r="B1009" s="4" t="s">
        <v>49</v>
      </c>
      <c r="C1009" s="1">
        <v>4</v>
      </c>
      <c r="D1009" t="s">
        <v>199</v>
      </c>
      <c r="E1009">
        <v>40</v>
      </c>
      <c r="F1009">
        <v>3</v>
      </c>
      <c r="G1009">
        <v>6</v>
      </c>
      <c r="H1009">
        <v>101</v>
      </c>
      <c r="I1009">
        <v>85</v>
      </c>
    </row>
    <row r="1010" spans="1:9" x14ac:dyDescent="0.25">
      <c r="A1010">
        <v>2024</v>
      </c>
      <c r="B1010" s="4" t="s">
        <v>49</v>
      </c>
      <c r="C1010" s="1">
        <v>4</v>
      </c>
      <c r="D1010" t="s">
        <v>200</v>
      </c>
      <c r="E1010">
        <v>40</v>
      </c>
      <c r="F1010">
        <v>1</v>
      </c>
      <c r="G1010">
        <v>40</v>
      </c>
      <c r="H1010">
        <v>106</v>
      </c>
      <c r="I1010">
        <v>123</v>
      </c>
    </row>
    <row r="1011" spans="1:9" x14ac:dyDescent="0.25">
      <c r="A1011">
        <v>2024</v>
      </c>
      <c r="B1011" s="4" t="s">
        <v>49</v>
      </c>
      <c r="C1011" s="1">
        <v>4</v>
      </c>
      <c r="D1011" t="s">
        <v>200</v>
      </c>
      <c r="E1011">
        <v>40</v>
      </c>
      <c r="F1011">
        <v>2</v>
      </c>
      <c r="G1011">
        <v>40</v>
      </c>
      <c r="H1011">
        <v>109</v>
      </c>
      <c r="I1011">
        <v>115</v>
      </c>
    </row>
    <row r="1012" spans="1:9" x14ac:dyDescent="0.25">
      <c r="A1012">
        <v>2024</v>
      </c>
      <c r="B1012" s="4" t="s">
        <v>49</v>
      </c>
      <c r="C1012" s="1">
        <v>4</v>
      </c>
      <c r="D1012" t="s">
        <v>200</v>
      </c>
      <c r="E1012">
        <v>40</v>
      </c>
      <c r="F1012">
        <v>3</v>
      </c>
      <c r="G1012">
        <v>26</v>
      </c>
      <c r="H1012">
        <v>111</v>
      </c>
      <c r="I1012">
        <v>125</v>
      </c>
    </row>
    <row r="1013" spans="1:9" x14ac:dyDescent="0.25">
      <c r="A1013">
        <v>2024</v>
      </c>
      <c r="B1013" s="4" t="s">
        <v>189</v>
      </c>
      <c r="C1013" s="1">
        <v>3</v>
      </c>
      <c r="D1013" t="s">
        <v>201</v>
      </c>
      <c r="E1013">
        <v>40</v>
      </c>
      <c r="F1013">
        <v>1</v>
      </c>
      <c r="G1013">
        <v>26</v>
      </c>
      <c r="H1013">
        <v>93</v>
      </c>
      <c r="I1013">
        <v>140</v>
      </c>
    </row>
    <row r="1014" spans="1:9" x14ac:dyDescent="0.25">
      <c r="A1014">
        <v>2024</v>
      </c>
      <c r="B1014" s="4" t="s">
        <v>189</v>
      </c>
      <c r="C1014" s="1">
        <v>3</v>
      </c>
      <c r="D1014" t="s">
        <v>201</v>
      </c>
      <c r="E1014">
        <v>40</v>
      </c>
      <c r="F1014">
        <v>2</v>
      </c>
      <c r="G1014">
        <v>22</v>
      </c>
      <c r="H1014">
        <v>92</v>
      </c>
      <c r="I1014">
        <v>136</v>
      </c>
    </row>
    <row r="1015" spans="1:9" x14ac:dyDescent="0.25">
      <c r="A1015">
        <v>2024</v>
      </c>
      <c r="B1015" s="4" t="s">
        <v>189</v>
      </c>
      <c r="C1015" s="1">
        <v>3</v>
      </c>
      <c r="D1015" t="s">
        <v>201</v>
      </c>
      <c r="E1015">
        <v>40</v>
      </c>
      <c r="F1015">
        <v>3</v>
      </c>
      <c r="G1015">
        <v>12</v>
      </c>
      <c r="H1015">
        <v>99</v>
      </c>
      <c r="I1015">
        <v>134</v>
      </c>
    </row>
    <row r="1016" spans="1:9" x14ac:dyDescent="0.25">
      <c r="A1016">
        <v>2024</v>
      </c>
      <c r="B1016" s="4" t="s">
        <v>189</v>
      </c>
      <c r="C1016" s="1">
        <v>4</v>
      </c>
      <c r="D1016" t="s">
        <v>202</v>
      </c>
      <c r="E1016">
        <v>40</v>
      </c>
      <c r="F1016">
        <v>1</v>
      </c>
      <c r="G1016">
        <v>38</v>
      </c>
      <c r="H1016">
        <v>117</v>
      </c>
      <c r="I1016">
        <v>100</v>
      </c>
    </row>
    <row r="1017" spans="1:9" x14ac:dyDescent="0.25">
      <c r="A1017">
        <v>2024</v>
      </c>
      <c r="B1017" s="4" t="s">
        <v>189</v>
      </c>
      <c r="C1017" s="1">
        <v>4</v>
      </c>
      <c r="D1017" t="s">
        <v>202</v>
      </c>
      <c r="E1017">
        <v>40</v>
      </c>
      <c r="F1017">
        <v>2</v>
      </c>
      <c r="G1017">
        <v>62</v>
      </c>
      <c r="H1017">
        <v>113</v>
      </c>
      <c r="I1017">
        <v>97</v>
      </c>
    </row>
    <row r="1018" spans="1:9" x14ac:dyDescent="0.25">
      <c r="A1018">
        <v>2024</v>
      </c>
      <c r="B1018" s="4" t="s">
        <v>189</v>
      </c>
      <c r="C1018" s="1">
        <v>4</v>
      </c>
      <c r="D1018" t="s">
        <v>202</v>
      </c>
      <c r="E1018">
        <v>40</v>
      </c>
      <c r="F1018">
        <v>3</v>
      </c>
      <c r="G1018">
        <v>48</v>
      </c>
      <c r="H1018">
        <v>118</v>
      </c>
      <c r="I1018">
        <v>103</v>
      </c>
    </row>
    <row r="1019" spans="1:9" x14ac:dyDescent="0.25">
      <c r="A1019">
        <v>2024</v>
      </c>
      <c r="B1019" s="4" t="s">
        <v>172</v>
      </c>
      <c r="C1019" s="1">
        <v>3</v>
      </c>
      <c r="D1019" t="s">
        <v>203</v>
      </c>
      <c r="E1019">
        <v>40</v>
      </c>
      <c r="F1019">
        <v>1</v>
      </c>
      <c r="G1019">
        <v>16</v>
      </c>
      <c r="H1019">
        <v>116</v>
      </c>
      <c r="I1019">
        <v>60</v>
      </c>
    </row>
    <row r="1020" spans="1:9" x14ac:dyDescent="0.25">
      <c r="A1020">
        <v>2024</v>
      </c>
      <c r="B1020" s="4" t="s">
        <v>172</v>
      </c>
      <c r="C1020" s="1">
        <v>3</v>
      </c>
      <c r="D1020" t="s">
        <v>203</v>
      </c>
      <c r="E1020">
        <v>40</v>
      </c>
      <c r="F1020">
        <v>2</v>
      </c>
      <c r="G1020">
        <v>14</v>
      </c>
      <c r="H1020">
        <v>109</v>
      </c>
      <c r="I1020">
        <v>52</v>
      </c>
    </row>
    <row r="1021" spans="1:9" x14ac:dyDescent="0.25">
      <c r="A1021">
        <v>2024</v>
      </c>
      <c r="B1021" s="4" t="s">
        <v>172</v>
      </c>
      <c r="C1021" s="1">
        <v>3</v>
      </c>
      <c r="D1021" t="s">
        <v>203</v>
      </c>
      <c r="E1021">
        <v>40</v>
      </c>
      <c r="F1021">
        <v>3</v>
      </c>
      <c r="G1021">
        <v>16</v>
      </c>
      <c r="H1021">
        <v>109</v>
      </c>
      <c r="I1021">
        <v>55</v>
      </c>
    </row>
    <row r="1022" spans="1:9" x14ac:dyDescent="0.25">
      <c r="A1022">
        <v>2024</v>
      </c>
      <c r="B1022" s="4" t="s">
        <v>49</v>
      </c>
      <c r="C1022" s="1">
        <v>4</v>
      </c>
      <c r="D1022" t="s">
        <v>204</v>
      </c>
      <c r="E1022">
        <v>40</v>
      </c>
      <c r="F1022">
        <v>1</v>
      </c>
      <c r="G1022">
        <v>44</v>
      </c>
      <c r="H1022">
        <v>124</v>
      </c>
      <c r="I1022">
        <v>112</v>
      </c>
    </row>
    <row r="1023" spans="1:9" x14ac:dyDescent="0.25">
      <c r="A1023">
        <v>2024</v>
      </c>
      <c r="B1023" s="4" t="s">
        <v>49</v>
      </c>
      <c r="C1023" s="1">
        <v>4</v>
      </c>
      <c r="D1023" t="s">
        <v>204</v>
      </c>
      <c r="E1023">
        <v>40</v>
      </c>
      <c r="F1023">
        <v>2</v>
      </c>
      <c r="G1023">
        <v>14</v>
      </c>
      <c r="H1023">
        <v>124</v>
      </c>
      <c r="I1023">
        <v>118</v>
      </c>
    </row>
    <row r="1024" spans="1:9" x14ac:dyDescent="0.25">
      <c r="A1024">
        <v>2024</v>
      </c>
      <c r="B1024" s="4" t="s">
        <v>49</v>
      </c>
      <c r="C1024" s="1">
        <v>4</v>
      </c>
      <c r="D1024" t="s">
        <v>204</v>
      </c>
      <c r="E1024">
        <v>40</v>
      </c>
      <c r="F1024">
        <v>3</v>
      </c>
      <c r="G1024">
        <v>30</v>
      </c>
      <c r="H1024">
        <v>137</v>
      </c>
      <c r="I1024">
        <v>120</v>
      </c>
    </row>
    <row r="1025" spans="1:9" x14ac:dyDescent="0.25">
      <c r="A1025">
        <v>2024</v>
      </c>
      <c r="B1025" s="4" t="s">
        <v>49</v>
      </c>
      <c r="C1025" s="1">
        <v>5</v>
      </c>
      <c r="D1025" t="s">
        <v>205</v>
      </c>
      <c r="E1025">
        <v>40</v>
      </c>
      <c r="F1025">
        <v>1</v>
      </c>
      <c r="G1025">
        <v>68</v>
      </c>
      <c r="H1025">
        <v>99</v>
      </c>
      <c r="I1025">
        <v>100</v>
      </c>
    </row>
    <row r="1026" spans="1:9" x14ac:dyDescent="0.25">
      <c r="A1026">
        <v>2024</v>
      </c>
      <c r="B1026" s="4" t="s">
        <v>49</v>
      </c>
      <c r="C1026" s="1">
        <v>5</v>
      </c>
      <c r="D1026" t="s">
        <v>205</v>
      </c>
      <c r="E1026">
        <v>40</v>
      </c>
      <c r="F1026">
        <v>2</v>
      </c>
      <c r="G1026">
        <v>48</v>
      </c>
      <c r="H1026">
        <v>104</v>
      </c>
      <c r="I1026">
        <v>98</v>
      </c>
    </row>
    <row r="1027" spans="1:9" x14ac:dyDescent="0.25">
      <c r="A1027">
        <v>2024</v>
      </c>
      <c r="B1027" s="4" t="s">
        <v>49</v>
      </c>
      <c r="C1027" s="1">
        <v>5</v>
      </c>
      <c r="D1027" t="s">
        <v>205</v>
      </c>
      <c r="E1027">
        <v>40</v>
      </c>
      <c r="F1027">
        <v>3</v>
      </c>
      <c r="G1027">
        <v>68</v>
      </c>
      <c r="H1027">
        <v>100</v>
      </c>
      <c r="I1027">
        <v>98</v>
      </c>
    </row>
    <row r="1028" spans="1:9" x14ac:dyDescent="0.25">
      <c r="A1028">
        <v>2024</v>
      </c>
      <c r="B1028" s="4" t="s">
        <v>49</v>
      </c>
      <c r="C1028" s="1">
        <v>5</v>
      </c>
      <c r="D1028" t="s">
        <v>206</v>
      </c>
      <c r="E1028">
        <v>40</v>
      </c>
      <c r="F1028">
        <v>1</v>
      </c>
      <c r="G1028">
        <v>18</v>
      </c>
      <c r="H1028">
        <v>117</v>
      </c>
      <c r="I1028">
        <v>99</v>
      </c>
    </row>
    <row r="1029" spans="1:9" x14ac:dyDescent="0.25">
      <c r="A1029">
        <v>2024</v>
      </c>
      <c r="B1029" s="4" t="s">
        <v>49</v>
      </c>
      <c r="C1029" s="1">
        <v>5</v>
      </c>
      <c r="D1029" t="s">
        <v>206</v>
      </c>
      <c r="E1029">
        <v>40</v>
      </c>
      <c r="F1029">
        <v>2</v>
      </c>
      <c r="G1029">
        <v>4</v>
      </c>
      <c r="H1029">
        <v>113</v>
      </c>
      <c r="I1029">
        <v>100</v>
      </c>
    </row>
    <row r="1030" spans="1:9" x14ac:dyDescent="0.25">
      <c r="A1030">
        <v>2024</v>
      </c>
      <c r="B1030" s="4" t="s">
        <v>49</v>
      </c>
      <c r="C1030" s="1">
        <v>5</v>
      </c>
      <c r="D1030" t="s">
        <v>206</v>
      </c>
      <c r="E1030">
        <v>40</v>
      </c>
      <c r="F1030">
        <v>3</v>
      </c>
      <c r="G1030">
        <v>18</v>
      </c>
      <c r="H1030">
        <v>111</v>
      </c>
      <c r="I1030">
        <v>98</v>
      </c>
    </row>
    <row r="1031" spans="1:9" x14ac:dyDescent="0.25">
      <c r="A1031">
        <v>2024</v>
      </c>
      <c r="B1031" s="4" t="s">
        <v>189</v>
      </c>
      <c r="C1031" s="1">
        <v>5</v>
      </c>
      <c r="D1031" t="s">
        <v>207</v>
      </c>
      <c r="E1031">
        <v>40</v>
      </c>
      <c r="F1031">
        <v>1</v>
      </c>
      <c r="G1031">
        <v>18</v>
      </c>
      <c r="H1031">
        <v>121</v>
      </c>
      <c r="I1031">
        <v>110</v>
      </c>
    </row>
    <row r="1032" spans="1:9" x14ac:dyDescent="0.25">
      <c r="A1032">
        <v>2024</v>
      </c>
      <c r="B1032" s="4" t="s">
        <v>189</v>
      </c>
      <c r="C1032" s="1">
        <v>5</v>
      </c>
      <c r="D1032" t="s">
        <v>207</v>
      </c>
      <c r="E1032">
        <v>40</v>
      </c>
      <c r="F1032">
        <v>2</v>
      </c>
      <c r="G1032">
        <v>24</v>
      </c>
      <c r="H1032">
        <v>116</v>
      </c>
      <c r="I1032">
        <v>105</v>
      </c>
    </row>
    <row r="1033" spans="1:9" x14ac:dyDescent="0.25">
      <c r="A1033">
        <v>2024</v>
      </c>
      <c r="B1033" s="4" t="s">
        <v>189</v>
      </c>
      <c r="C1033" s="1">
        <v>5</v>
      </c>
      <c r="D1033" t="s">
        <v>207</v>
      </c>
      <c r="E1033">
        <v>40</v>
      </c>
      <c r="F1033">
        <v>3</v>
      </c>
      <c r="G1033">
        <v>18</v>
      </c>
      <c r="H1033">
        <v>112</v>
      </c>
      <c r="I1033">
        <v>94</v>
      </c>
    </row>
    <row r="1034" spans="1:9" x14ac:dyDescent="0.25">
      <c r="A1034">
        <v>2024</v>
      </c>
      <c r="B1034" s="4" t="s">
        <v>189</v>
      </c>
      <c r="C1034" s="1">
        <v>3</v>
      </c>
      <c r="D1034" t="s">
        <v>208</v>
      </c>
      <c r="E1034">
        <v>40</v>
      </c>
      <c r="F1034">
        <v>1</v>
      </c>
      <c r="G1034">
        <v>32</v>
      </c>
      <c r="H1034">
        <v>95</v>
      </c>
      <c r="I1034">
        <v>125</v>
      </c>
    </row>
    <row r="1035" spans="1:9" x14ac:dyDescent="0.25">
      <c r="A1035">
        <v>2024</v>
      </c>
      <c r="B1035" s="4" t="s">
        <v>189</v>
      </c>
      <c r="C1035" s="1">
        <v>3</v>
      </c>
      <c r="D1035" t="s">
        <v>208</v>
      </c>
      <c r="E1035">
        <v>40</v>
      </c>
      <c r="F1035">
        <v>2</v>
      </c>
      <c r="G1035">
        <v>20</v>
      </c>
      <c r="H1035">
        <v>92</v>
      </c>
      <c r="I1035">
        <v>140</v>
      </c>
    </row>
    <row r="1036" spans="1:9" x14ac:dyDescent="0.25">
      <c r="A1036">
        <v>2024</v>
      </c>
      <c r="B1036" s="4" t="s">
        <v>189</v>
      </c>
      <c r="C1036" s="1">
        <v>3</v>
      </c>
      <c r="D1036" t="s">
        <v>208</v>
      </c>
      <c r="E1036">
        <v>40</v>
      </c>
      <c r="F1036">
        <v>3</v>
      </c>
      <c r="G1036">
        <v>24</v>
      </c>
      <c r="H1036">
        <v>95</v>
      </c>
      <c r="I1036">
        <v>131</v>
      </c>
    </row>
    <row r="1037" spans="1:9" x14ac:dyDescent="0.25">
      <c r="A1037">
        <v>2024</v>
      </c>
      <c r="B1037" s="4" t="s">
        <v>209</v>
      </c>
      <c r="C1037" s="1">
        <v>4</v>
      </c>
      <c r="D1037" t="s">
        <v>210</v>
      </c>
      <c r="E1037">
        <v>40</v>
      </c>
      <c r="F1037">
        <v>1</v>
      </c>
      <c r="G1037">
        <v>58</v>
      </c>
      <c r="H1037">
        <v>100</v>
      </c>
      <c r="I1037">
        <v>105</v>
      </c>
    </row>
    <row r="1038" spans="1:9" x14ac:dyDescent="0.25">
      <c r="A1038">
        <v>2024</v>
      </c>
      <c r="B1038" s="4" t="s">
        <v>209</v>
      </c>
      <c r="C1038" s="1">
        <v>4</v>
      </c>
      <c r="D1038" t="s">
        <v>210</v>
      </c>
      <c r="E1038">
        <v>40</v>
      </c>
      <c r="F1038">
        <v>2</v>
      </c>
      <c r="G1038">
        <v>82</v>
      </c>
      <c r="H1038">
        <v>100</v>
      </c>
      <c r="I1038">
        <v>105</v>
      </c>
    </row>
    <row r="1039" spans="1:9" x14ac:dyDescent="0.25">
      <c r="A1039">
        <v>2024</v>
      </c>
      <c r="B1039" s="4" t="s">
        <v>209</v>
      </c>
      <c r="C1039" s="1">
        <v>4</v>
      </c>
      <c r="D1039" t="s">
        <v>210</v>
      </c>
      <c r="E1039">
        <v>40</v>
      </c>
      <c r="F1039">
        <v>3</v>
      </c>
      <c r="G1039">
        <v>72</v>
      </c>
      <c r="H1039">
        <v>100</v>
      </c>
      <c r="I1039">
        <v>105</v>
      </c>
    </row>
    <row r="1040" spans="1:9" x14ac:dyDescent="0.25">
      <c r="A1040">
        <v>2024</v>
      </c>
      <c r="B1040" s="4" t="s">
        <v>172</v>
      </c>
      <c r="C1040" s="1">
        <v>5</v>
      </c>
      <c r="D1040" t="s">
        <v>211</v>
      </c>
      <c r="E1040">
        <v>40</v>
      </c>
      <c r="F1040">
        <v>1</v>
      </c>
      <c r="G1040">
        <v>88</v>
      </c>
      <c r="H1040">
        <v>104</v>
      </c>
      <c r="I1040">
        <v>105</v>
      </c>
    </row>
    <row r="1041" spans="1:9" x14ac:dyDescent="0.25">
      <c r="A1041">
        <v>2024</v>
      </c>
      <c r="B1041" s="4" t="s">
        <v>172</v>
      </c>
      <c r="C1041" s="1">
        <v>5</v>
      </c>
      <c r="D1041" t="s">
        <v>211</v>
      </c>
      <c r="E1041">
        <v>40</v>
      </c>
      <c r="F1041">
        <v>2</v>
      </c>
      <c r="G1041">
        <v>108</v>
      </c>
      <c r="H1041">
        <v>101</v>
      </c>
      <c r="I1041">
        <v>100</v>
      </c>
    </row>
    <row r="1042" spans="1:9" x14ac:dyDescent="0.25">
      <c r="A1042">
        <v>2024</v>
      </c>
      <c r="B1042" s="4" t="s">
        <v>172</v>
      </c>
      <c r="C1042" s="1">
        <v>5</v>
      </c>
      <c r="D1042" t="s">
        <v>211</v>
      </c>
      <c r="E1042">
        <v>40</v>
      </c>
      <c r="F1042">
        <v>3</v>
      </c>
      <c r="G1042">
        <v>108</v>
      </c>
      <c r="H1042">
        <v>101</v>
      </c>
      <c r="I1042">
        <v>115</v>
      </c>
    </row>
    <row r="1043" spans="1:9" x14ac:dyDescent="0.25">
      <c r="A1043">
        <v>2024</v>
      </c>
      <c r="B1043" s="4" t="s">
        <v>214</v>
      </c>
      <c r="C1043" s="1">
        <v>2</v>
      </c>
      <c r="D1043" t="s">
        <v>215</v>
      </c>
      <c r="E1043">
        <v>40</v>
      </c>
      <c r="F1043">
        <v>1</v>
      </c>
      <c r="G1043">
        <v>28</v>
      </c>
      <c r="H1043">
        <v>101</v>
      </c>
      <c r="I1043">
        <v>82</v>
      </c>
    </row>
    <row r="1044" spans="1:9" x14ac:dyDescent="0.25">
      <c r="A1044">
        <v>2024</v>
      </c>
      <c r="B1044" s="4" t="s">
        <v>214</v>
      </c>
      <c r="C1044" s="1">
        <v>2</v>
      </c>
      <c r="D1044" t="s">
        <v>215</v>
      </c>
      <c r="E1044">
        <v>40</v>
      </c>
      <c r="F1044">
        <v>2</v>
      </c>
      <c r="G1044">
        <v>14</v>
      </c>
      <c r="H1044">
        <v>95</v>
      </c>
      <c r="I1044">
        <v>98</v>
      </c>
    </row>
    <row r="1045" spans="1:9" x14ac:dyDescent="0.25">
      <c r="A1045">
        <v>2024</v>
      </c>
      <c r="B1045" s="4" t="s">
        <v>214</v>
      </c>
      <c r="C1045" s="1">
        <v>2</v>
      </c>
      <c r="D1045" t="s">
        <v>215</v>
      </c>
      <c r="E1045">
        <v>40</v>
      </c>
      <c r="F1045">
        <v>3</v>
      </c>
      <c r="G1045">
        <v>28</v>
      </c>
      <c r="H1045">
        <v>100</v>
      </c>
      <c r="I1045">
        <v>85</v>
      </c>
    </row>
    <row r="1046" spans="1:9" x14ac:dyDescent="0.25">
      <c r="A1046">
        <v>2024</v>
      </c>
      <c r="B1046" s="4" t="s">
        <v>14</v>
      </c>
      <c r="C1046" s="1">
        <v>1</v>
      </c>
      <c r="D1046" t="s">
        <v>218</v>
      </c>
      <c r="E1046">
        <v>40</v>
      </c>
      <c r="F1046">
        <v>1</v>
      </c>
      <c r="G1046">
        <v>64</v>
      </c>
      <c r="H1046">
        <v>139</v>
      </c>
      <c r="I1046">
        <v>105</v>
      </c>
    </row>
    <row r="1047" spans="1:9" x14ac:dyDescent="0.25">
      <c r="A1047">
        <v>2024</v>
      </c>
      <c r="B1047" s="4" t="s">
        <v>14</v>
      </c>
      <c r="C1047" s="1">
        <v>1</v>
      </c>
      <c r="D1047" t="s">
        <v>218</v>
      </c>
      <c r="E1047">
        <v>40</v>
      </c>
      <c r="F1047">
        <v>2</v>
      </c>
      <c r="G1047">
        <v>68</v>
      </c>
      <c r="H1047">
        <v>139</v>
      </c>
      <c r="I1047">
        <v>112</v>
      </c>
    </row>
    <row r="1048" spans="1:9" x14ac:dyDescent="0.25">
      <c r="A1048">
        <v>2024</v>
      </c>
      <c r="B1048" s="4" t="s">
        <v>14</v>
      </c>
      <c r="C1048" s="1">
        <v>1</v>
      </c>
      <c r="D1048" t="s">
        <v>218</v>
      </c>
      <c r="E1048">
        <v>40</v>
      </c>
      <c r="F1048">
        <v>3</v>
      </c>
      <c r="G1048">
        <v>64</v>
      </c>
      <c r="H1048">
        <v>139</v>
      </c>
      <c r="I1048">
        <v>108</v>
      </c>
    </row>
    <row r="1049" spans="1:9" x14ac:dyDescent="0.25">
      <c r="A1049">
        <v>2024</v>
      </c>
      <c r="B1049" s="4" t="s">
        <v>219</v>
      </c>
      <c r="C1049" s="1">
        <v>2</v>
      </c>
      <c r="D1049" t="s">
        <v>220</v>
      </c>
      <c r="E1049">
        <v>40</v>
      </c>
      <c r="F1049">
        <v>1</v>
      </c>
      <c r="G1049">
        <v>16</v>
      </c>
      <c r="H1049">
        <v>83</v>
      </c>
      <c r="I1049">
        <v>80</v>
      </c>
    </row>
    <row r="1050" spans="1:9" x14ac:dyDescent="0.25">
      <c r="A1050">
        <v>2024</v>
      </c>
      <c r="B1050" s="4" t="s">
        <v>219</v>
      </c>
      <c r="C1050" s="1">
        <v>2</v>
      </c>
      <c r="D1050" t="s">
        <v>220</v>
      </c>
      <c r="E1050">
        <v>40</v>
      </c>
      <c r="F1050">
        <v>2</v>
      </c>
      <c r="G1050">
        <v>30</v>
      </c>
      <c r="H1050">
        <v>85</v>
      </c>
      <c r="I1050">
        <v>60</v>
      </c>
    </row>
    <row r="1051" spans="1:9" x14ac:dyDescent="0.25">
      <c r="A1051">
        <v>2024</v>
      </c>
      <c r="B1051" s="4" t="s">
        <v>219</v>
      </c>
      <c r="C1051" s="1">
        <v>2</v>
      </c>
      <c r="D1051" t="s">
        <v>220</v>
      </c>
      <c r="E1051">
        <v>40</v>
      </c>
      <c r="F1051">
        <v>3</v>
      </c>
      <c r="G1051">
        <v>30</v>
      </c>
      <c r="H1051">
        <v>82</v>
      </c>
      <c r="I1051">
        <v>60</v>
      </c>
    </row>
    <row r="1052" spans="1:9" x14ac:dyDescent="0.25">
      <c r="A1052">
        <v>2024</v>
      </c>
      <c r="B1052" s="4" t="s">
        <v>219</v>
      </c>
      <c r="C1052" s="1">
        <v>1</v>
      </c>
      <c r="D1052" t="s">
        <v>221</v>
      </c>
      <c r="E1052">
        <v>40</v>
      </c>
      <c r="F1052">
        <v>1</v>
      </c>
      <c r="G1052">
        <v>102</v>
      </c>
      <c r="H1052">
        <v>104</v>
      </c>
      <c r="I1052">
        <v>94</v>
      </c>
    </row>
    <row r="1053" spans="1:9" x14ac:dyDescent="0.25">
      <c r="A1053">
        <v>2024</v>
      </c>
      <c r="B1053" s="4" t="s">
        <v>219</v>
      </c>
      <c r="C1053" s="1">
        <v>1</v>
      </c>
      <c r="D1053" t="s">
        <v>221</v>
      </c>
      <c r="E1053">
        <v>40</v>
      </c>
      <c r="F1053">
        <v>2</v>
      </c>
      <c r="G1053">
        <v>76</v>
      </c>
      <c r="H1053">
        <v>100</v>
      </c>
      <c r="I1053">
        <v>87</v>
      </c>
    </row>
    <row r="1054" spans="1:9" x14ac:dyDescent="0.25">
      <c r="A1054">
        <v>2024</v>
      </c>
      <c r="B1054" s="4" t="s">
        <v>219</v>
      </c>
      <c r="C1054" s="1">
        <v>1</v>
      </c>
      <c r="D1054" t="s">
        <v>221</v>
      </c>
      <c r="E1054">
        <v>40</v>
      </c>
      <c r="F1054">
        <v>3</v>
      </c>
      <c r="G1054">
        <v>82</v>
      </c>
      <c r="H1054">
        <v>103</v>
      </c>
      <c r="I1054">
        <v>88</v>
      </c>
    </row>
    <row r="1055" spans="1:9" x14ac:dyDescent="0.25">
      <c r="A1055">
        <v>2024</v>
      </c>
      <c r="B1055" s="4" t="s">
        <v>219</v>
      </c>
      <c r="C1055" s="1">
        <v>2</v>
      </c>
      <c r="D1055" t="s">
        <v>222</v>
      </c>
      <c r="E1055">
        <v>40</v>
      </c>
      <c r="F1055">
        <v>1</v>
      </c>
      <c r="G1055">
        <v>84</v>
      </c>
      <c r="H1055">
        <v>84</v>
      </c>
      <c r="I1055">
        <v>94</v>
      </c>
    </row>
    <row r="1056" spans="1:9" x14ac:dyDescent="0.25">
      <c r="A1056">
        <v>2024</v>
      </c>
      <c r="B1056" s="4" t="s">
        <v>219</v>
      </c>
      <c r="C1056" s="1">
        <v>2</v>
      </c>
      <c r="D1056" t="s">
        <v>222</v>
      </c>
      <c r="E1056">
        <v>40</v>
      </c>
      <c r="F1056">
        <v>2</v>
      </c>
      <c r="G1056">
        <v>70</v>
      </c>
      <c r="H1056">
        <v>82</v>
      </c>
      <c r="I1056">
        <v>90</v>
      </c>
    </row>
    <row r="1057" spans="1:9" x14ac:dyDescent="0.25">
      <c r="A1057">
        <v>2024</v>
      </c>
      <c r="B1057" s="4" t="s">
        <v>219</v>
      </c>
      <c r="C1057" s="1">
        <v>2</v>
      </c>
      <c r="D1057" t="s">
        <v>222</v>
      </c>
      <c r="E1057">
        <v>40</v>
      </c>
      <c r="F1057">
        <v>3</v>
      </c>
      <c r="G1057">
        <v>86</v>
      </c>
      <c r="H1057">
        <v>82</v>
      </c>
      <c r="I1057">
        <v>83</v>
      </c>
    </row>
    <row r="1058" spans="1:9" x14ac:dyDescent="0.25">
      <c r="A1058">
        <v>2024</v>
      </c>
      <c r="B1058" s="4" t="s">
        <v>226</v>
      </c>
      <c r="C1058" s="1">
        <v>2</v>
      </c>
      <c r="D1058" t="s">
        <v>227</v>
      </c>
      <c r="E1058">
        <v>40</v>
      </c>
      <c r="F1058">
        <v>1</v>
      </c>
      <c r="G1058">
        <v>4</v>
      </c>
      <c r="H1058" t="s">
        <v>20</v>
      </c>
      <c r="I1058" t="s">
        <v>20</v>
      </c>
    </row>
    <row r="1059" spans="1:9" x14ac:dyDescent="0.25">
      <c r="A1059">
        <v>2024</v>
      </c>
      <c r="B1059" s="4" t="s">
        <v>226</v>
      </c>
      <c r="C1059" s="1">
        <v>2</v>
      </c>
      <c r="D1059" t="s">
        <v>227</v>
      </c>
      <c r="E1059">
        <v>40</v>
      </c>
      <c r="F1059">
        <v>2</v>
      </c>
      <c r="G1059">
        <v>0</v>
      </c>
      <c r="H1059">
        <v>100</v>
      </c>
      <c r="I1059">
        <v>115</v>
      </c>
    </row>
    <row r="1060" spans="1:9" x14ac:dyDescent="0.25">
      <c r="A1060">
        <v>2024</v>
      </c>
      <c r="B1060" s="4" t="s">
        <v>226</v>
      </c>
      <c r="C1060" s="1">
        <v>2</v>
      </c>
      <c r="D1060" t="s">
        <v>227</v>
      </c>
      <c r="E1060">
        <v>40</v>
      </c>
      <c r="F1060">
        <v>3</v>
      </c>
      <c r="G1060">
        <v>6</v>
      </c>
      <c r="H1060">
        <v>100</v>
      </c>
      <c r="I1060">
        <v>115</v>
      </c>
    </row>
    <row r="1061" spans="1:9" x14ac:dyDescent="0.25">
      <c r="A1061">
        <v>2024</v>
      </c>
      <c r="B1061" s="4" t="s">
        <v>228</v>
      </c>
      <c r="C1061" s="1">
        <v>2</v>
      </c>
      <c r="D1061" t="s">
        <v>229</v>
      </c>
      <c r="E1061">
        <v>40</v>
      </c>
      <c r="F1061">
        <v>1</v>
      </c>
      <c r="G1061">
        <v>28</v>
      </c>
      <c r="H1061">
        <v>76</v>
      </c>
      <c r="I1061">
        <v>108</v>
      </c>
    </row>
    <row r="1062" spans="1:9" x14ac:dyDescent="0.25">
      <c r="A1062">
        <v>2024</v>
      </c>
      <c r="B1062" s="4" t="s">
        <v>228</v>
      </c>
      <c r="C1062" s="1">
        <v>2</v>
      </c>
      <c r="D1062" t="s">
        <v>229</v>
      </c>
      <c r="E1062">
        <v>40</v>
      </c>
      <c r="F1062">
        <v>2</v>
      </c>
      <c r="G1062">
        <v>52</v>
      </c>
      <c r="H1062">
        <v>74</v>
      </c>
      <c r="I1062">
        <v>97</v>
      </c>
    </row>
    <row r="1063" spans="1:9" x14ac:dyDescent="0.25">
      <c r="A1063">
        <v>2024</v>
      </c>
      <c r="B1063" s="4" t="s">
        <v>228</v>
      </c>
      <c r="C1063" s="1">
        <v>2</v>
      </c>
      <c r="D1063" t="s">
        <v>229</v>
      </c>
      <c r="E1063">
        <v>40</v>
      </c>
      <c r="F1063">
        <v>3</v>
      </c>
      <c r="G1063">
        <v>22</v>
      </c>
      <c r="H1063">
        <v>75</v>
      </c>
      <c r="I1063">
        <v>104</v>
      </c>
    </row>
    <row r="1064" spans="1:9" x14ac:dyDescent="0.25">
      <c r="A1064">
        <v>2024</v>
      </c>
      <c r="B1064" s="4" t="s">
        <v>230</v>
      </c>
      <c r="C1064" s="1">
        <v>2</v>
      </c>
      <c r="D1064" t="s">
        <v>231</v>
      </c>
      <c r="E1064">
        <v>40</v>
      </c>
      <c r="F1064">
        <v>1</v>
      </c>
      <c r="G1064">
        <v>44</v>
      </c>
      <c r="H1064">
        <v>84</v>
      </c>
      <c r="I1064">
        <v>79</v>
      </c>
    </row>
    <row r="1065" spans="1:9" x14ac:dyDescent="0.25">
      <c r="A1065">
        <v>2024</v>
      </c>
      <c r="B1065" s="4" t="s">
        <v>230</v>
      </c>
      <c r="C1065" s="1">
        <v>2</v>
      </c>
      <c r="D1065" t="s">
        <v>231</v>
      </c>
      <c r="E1065">
        <v>40</v>
      </c>
      <c r="F1065">
        <v>2</v>
      </c>
      <c r="G1065">
        <v>60</v>
      </c>
      <c r="H1065">
        <v>82</v>
      </c>
      <c r="I1065">
        <v>70</v>
      </c>
    </row>
    <row r="1066" spans="1:9" x14ac:dyDescent="0.25">
      <c r="A1066">
        <v>2024</v>
      </c>
      <c r="B1066" s="4" t="s">
        <v>230</v>
      </c>
      <c r="C1066" s="1">
        <v>2</v>
      </c>
      <c r="D1066" t="s">
        <v>231</v>
      </c>
      <c r="E1066">
        <v>40</v>
      </c>
      <c r="F1066">
        <v>3</v>
      </c>
      <c r="G1066">
        <v>72</v>
      </c>
      <c r="H1066">
        <v>84</v>
      </c>
      <c r="I1066">
        <v>84</v>
      </c>
    </row>
    <row r="1067" spans="1:9" x14ac:dyDescent="0.25">
      <c r="A1067">
        <v>2024</v>
      </c>
      <c r="B1067" s="4" t="s">
        <v>230</v>
      </c>
      <c r="C1067" s="1">
        <v>2</v>
      </c>
      <c r="D1067" t="s">
        <v>232</v>
      </c>
      <c r="E1067">
        <v>40</v>
      </c>
      <c r="F1067">
        <v>1</v>
      </c>
      <c r="G1067">
        <v>38</v>
      </c>
      <c r="H1067">
        <v>84</v>
      </c>
      <c r="I1067">
        <v>69</v>
      </c>
    </row>
    <row r="1068" spans="1:9" x14ac:dyDescent="0.25">
      <c r="A1068">
        <v>2024</v>
      </c>
      <c r="B1068" s="4" t="s">
        <v>230</v>
      </c>
      <c r="C1068" s="1">
        <v>2</v>
      </c>
      <c r="D1068" t="s">
        <v>232</v>
      </c>
      <c r="E1068">
        <v>40</v>
      </c>
      <c r="F1068">
        <v>2</v>
      </c>
      <c r="G1068">
        <v>80</v>
      </c>
      <c r="H1068">
        <v>84</v>
      </c>
      <c r="I1068">
        <v>72</v>
      </c>
    </row>
    <row r="1069" spans="1:9" x14ac:dyDescent="0.25">
      <c r="A1069">
        <v>2024</v>
      </c>
      <c r="B1069" s="4" t="s">
        <v>230</v>
      </c>
      <c r="C1069" s="1">
        <v>2</v>
      </c>
      <c r="D1069" t="s">
        <v>232</v>
      </c>
      <c r="E1069">
        <v>40</v>
      </c>
      <c r="F1069">
        <v>3</v>
      </c>
      <c r="G1069">
        <v>34</v>
      </c>
      <c r="H1069">
        <v>85</v>
      </c>
      <c r="I1069">
        <v>92</v>
      </c>
    </row>
    <row r="1070" spans="1:9" x14ac:dyDescent="0.25">
      <c r="A1070">
        <v>2024</v>
      </c>
      <c r="B1070" s="4" t="s">
        <v>224</v>
      </c>
      <c r="C1070" s="1">
        <v>1</v>
      </c>
      <c r="D1070" t="s">
        <v>238</v>
      </c>
      <c r="E1070">
        <v>40</v>
      </c>
      <c r="F1070">
        <v>1</v>
      </c>
      <c r="G1070">
        <v>40</v>
      </c>
      <c r="H1070">
        <v>117</v>
      </c>
      <c r="I1070">
        <v>90</v>
      </c>
    </row>
    <row r="1071" spans="1:9" x14ac:dyDescent="0.25">
      <c r="A1071">
        <v>2024</v>
      </c>
      <c r="B1071" s="4" t="s">
        <v>224</v>
      </c>
      <c r="C1071" s="1">
        <v>1</v>
      </c>
      <c r="D1071" t="s">
        <v>238</v>
      </c>
      <c r="E1071">
        <v>40</v>
      </c>
      <c r="F1071">
        <v>2</v>
      </c>
      <c r="G1071">
        <v>28</v>
      </c>
      <c r="H1071">
        <v>117</v>
      </c>
      <c r="I1071">
        <v>102</v>
      </c>
    </row>
    <row r="1072" spans="1:9" x14ac:dyDescent="0.25">
      <c r="A1072">
        <v>2024</v>
      </c>
      <c r="B1072" s="4" t="s">
        <v>224</v>
      </c>
      <c r="C1072" s="1">
        <v>1</v>
      </c>
      <c r="D1072" t="s">
        <v>238</v>
      </c>
      <c r="E1072">
        <v>40</v>
      </c>
      <c r="F1072">
        <v>3</v>
      </c>
      <c r="G1072">
        <v>56</v>
      </c>
      <c r="H1072">
        <v>116</v>
      </c>
      <c r="I1072">
        <v>92</v>
      </c>
    </row>
    <row r="1073" spans="1:9" x14ac:dyDescent="0.25">
      <c r="A1073">
        <v>2024</v>
      </c>
      <c r="B1073" s="4" t="s">
        <v>224</v>
      </c>
      <c r="C1073" s="1">
        <v>1</v>
      </c>
      <c r="D1073" t="s">
        <v>239</v>
      </c>
      <c r="E1073">
        <v>40</v>
      </c>
      <c r="F1073">
        <v>1</v>
      </c>
      <c r="G1073">
        <v>36</v>
      </c>
      <c r="H1073">
        <v>124</v>
      </c>
      <c r="I1073">
        <v>111</v>
      </c>
    </row>
    <row r="1074" spans="1:9" x14ac:dyDescent="0.25">
      <c r="A1074">
        <v>2024</v>
      </c>
      <c r="B1074" s="4" t="s">
        <v>224</v>
      </c>
      <c r="C1074" s="1">
        <v>1</v>
      </c>
      <c r="D1074" t="s">
        <v>239</v>
      </c>
      <c r="E1074">
        <v>40</v>
      </c>
      <c r="F1074">
        <v>2</v>
      </c>
      <c r="G1074">
        <v>30</v>
      </c>
      <c r="H1074">
        <v>125</v>
      </c>
      <c r="I1074">
        <v>101</v>
      </c>
    </row>
    <row r="1075" spans="1:9" x14ac:dyDescent="0.25">
      <c r="A1075">
        <v>2024</v>
      </c>
      <c r="B1075" s="4" t="s">
        <v>224</v>
      </c>
      <c r="C1075" s="1">
        <v>1</v>
      </c>
      <c r="D1075" t="s">
        <v>239</v>
      </c>
      <c r="E1075">
        <v>40</v>
      </c>
      <c r="F1075">
        <v>3</v>
      </c>
      <c r="G1075">
        <v>42</v>
      </c>
      <c r="H1075">
        <v>124</v>
      </c>
      <c r="I1075">
        <v>125</v>
      </c>
    </row>
    <row r="1076" spans="1:9" x14ac:dyDescent="0.25">
      <c r="A1076">
        <v>2024</v>
      </c>
      <c r="B1076" s="4" t="s">
        <v>230</v>
      </c>
      <c r="C1076" s="1">
        <v>1</v>
      </c>
      <c r="D1076" t="s">
        <v>242</v>
      </c>
      <c r="E1076">
        <v>40</v>
      </c>
      <c r="F1076">
        <v>1</v>
      </c>
      <c r="G1076">
        <v>118</v>
      </c>
      <c r="H1076">
        <v>104</v>
      </c>
      <c r="I1076">
        <v>100</v>
      </c>
    </row>
    <row r="1077" spans="1:9" x14ac:dyDescent="0.25">
      <c r="A1077">
        <v>2024</v>
      </c>
      <c r="B1077" s="4" t="s">
        <v>230</v>
      </c>
      <c r="C1077" s="1">
        <v>1</v>
      </c>
      <c r="D1077" t="s">
        <v>242</v>
      </c>
      <c r="E1077">
        <v>40</v>
      </c>
      <c r="F1077">
        <v>2</v>
      </c>
      <c r="G1077">
        <v>88</v>
      </c>
      <c r="H1077">
        <v>103</v>
      </c>
      <c r="I1077">
        <v>88</v>
      </c>
    </row>
    <row r="1078" spans="1:9" x14ac:dyDescent="0.25">
      <c r="A1078">
        <v>2024</v>
      </c>
      <c r="B1078" s="4" t="s">
        <v>230</v>
      </c>
      <c r="C1078" s="1">
        <v>1</v>
      </c>
      <c r="D1078" t="s">
        <v>242</v>
      </c>
      <c r="E1078">
        <v>40</v>
      </c>
      <c r="F1078">
        <v>3</v>
      </c>
      <c r="G1078">
        <v>106</v>
      </c>
      <c r="H1078">
        <v>103</v>
      </c>
      <c r="I1078">
        <v>92</v>
      </c>
    </row>
    <row r="1079" spans="1:9" x14ac:dyDescent="0.25">
      <c r="A1079">
        <v>2024</v>
      </c>
      <c r="B1079" s="4" t="s">
        <v>230</v>
      </c>
      <c r="C1079" s="1">
        <v>1</v>
      </c>
      <c r="D1079" t="s">
        <v>243</v>
      </c>
      <c r="E1079">
        <v>40</v>
      </c>
      <c r="F1079">
        <v>1</v>
      </c>
      <c r="G1079">
        <v>114</v>
      </c>
      <c r="H1079">
        <v>100</v>
      </c>
      <c r="I1079">
        <v>88</v>
      </c>
    </row>
    <row r="1080" spans="1:9" x14ac:dyDescent="0.25">
      <c r="A1080">
        <v>2024</v>
      </c>
      <c r="B1080" s="4" t="s">
        <v>230</v>
      </c>
      <c r="C1080" s="1">
        <v>1</v>
      </c>
      <c r="D1080" t="s">
        <v>243</v>
      </c>
      <c r="E1080">
        <v>40</v>
      </c>
      <c r="F1080">
        <v>2</v>
      </c>
      <c r="G1080">
        <v>62</v>
      </c>
      <c r="H1080">
        <v>102</v>
      </c>
      <c r="I1080">
        <v>90</v>
      </c>
    </row>
    <row r="1081" spans="1:9" x14ac:dyDescent="0.25">
      <c r="A1081">
        <v>2024</v>
      </c>
      <c r="B1081" s="4" t="s">
        <v>230</v>
      </c>
      <c r="C1081" s="1">
        <v>1</v>
      </c>
      <c r="D1081" t="s">
        <v>243</v>
      </c>
      <c r="E1081">
        <v>40</v>
      </c>
      <c r="F1081">
        <v>3</v>
      </c>
      <c r="G1081">
        <v>102</v>
      </c>
      <c r="H1081">
        <v>100</v>
      </c>
      <c r="I1081">
        <v>90</v>
      </c>
    </row>
    <row r="1082" spans="1:9" x14ac:dyDescent="0.25">
      <c r="A1082">
        <v>2024</v>
      </c>
      <c r="B1082" s="4" t="s">
        <v>230</v>
      </c>
      <c r="C1082" s="1">
        <v>1</v>
      </c>
      <c r="D1082" t="s">
        <v>244</v>
      </c>
      <c r="E1082">
        <v>40</v>
      </c>
      <c r="F1082">
        <v>1</v>
      </c>
      <c r="G1082">
        <v>40</v>
      </c>
      <c r="H1082">
        <v>105</v>
      </c>
      <c r="I1082">
        <v>80</v>
      </c>
    </row>
    <row r="1083" spans="1:9" x14ac:dyDescent="0.25">
      <c r="A1083">
        <v>2024</v>
      </c>
      <c r="B1083" s="4" t="s">
        <v>230</v>
      </c>
      <c r="C1083" s="1">
        <v>1</v>
      </c>
      <c r="D1083" t="s">
        <v>244</v>
      </c>
      <c r="E1083">
        <v>40</v>
      </c>
      <c r="F1083">
        <v>2</v>
      </c>
      <c r="G1083">
        <v>6</v>
      </c>
      <c r="H1083">
        <v>105</v>
      </c>
      <c r="I1083">
        <v>95</v>
      </c>
    </row>
    <row r="1084" spans="1:9" x14ac:dyDescent="0.25">
      <c r="A1084">
        <v>2024</v>
      </c>
      <c r="B1084" s="4" t="s">
        <v>230</v>
      </c>
      <c r="C1084" s="1">
        <v>1</v>
      </c>
      <c r="D1084" t="s">
        <v>244</v>
      </c>
      <c r="E1084">
        <v>40</v>
      </c>
      <c r="F1084">
        <v>3</v>
      </c>
      <c r="G1084">
        <v>26</v>
      </c>
      <c r="H1084">
        <v>101</v>
      </c>
      <c r="I1084">
        <v>95</v>
      </c>
    </row>
    <row r="1085" spans="1:9" x14ac:dyDescent="0.25">
      <c r="A1085">
        <v>2024</v>
      </c>
      <c r="B1085" s="4" t="s">
        <v>245</v>
      </c>
      <c r="C1085" s="1">
        <v>5</v>
      </c>
      <c r="D1085" t="s">
        <v>246</v>
      </c>
      <c r="E1085">
        <v>40</v>
      </c>
      <c r="F1085">
        <v>1</v>
      </c>
      <c r="G1085">
        <v>52</v>
      </c>
      <c r="H1085">
        <v>117</v>
      </c>
      <c r="I1085">
        <v>114</v>
      </c>
    </row>
    <row r="1086" spans="1:9" x14ac:dyDescent="0.25">
      <c r="A1086">
        <v>2024</v>
      </c>
      <c r="B1086" s="4" t="s">
        <v>245</v>
      </c>
      <c r="C1086" s="1">
        <v>5</v>
      </c>
      <c r="D1086" t="s">
        <v>246</v>
      </c>
      <c r="E1086">
        <v>40</v>
      </c>
      <c r="F1086">
        <v>2</v>
      </c>
      <c r="G1086">
        <v>62</v>
      </c>
      <c r="H1086">
        <v>116</v>
      </c>
      <c r="I1086">
        <v>110</v>
      </c>
    </row>
    <row r="1087" spans="1:9" x14ac:dyDescent="0.25">
      <c r="A1087">
        <v>2024</v>
      </c>
      <c r="B1087" s="4" t="s">
        <v>245</v>
      </c>
      <c r="C1087" s="1">
        <v>5</v>
      </c>
      <c r="D1087" t="s">
        <v>246</v>
      </c>
      <c r="E1087">
        <v>40</v>
      </c>
      <c r="F1087">
        <v>3</v>
      </c>
      <c r="G1087">
        <v>34</v>
      </c>
      <c r="H1087">
        <v>120</v>
      </c>
      <c r="I1087">
        <v>110</v>
      </c>
    </row>
    <row r="1088" spans="1:9" x14ac:dyDescent="0.25">
      <c r="A1088">
        <v>2024</v>
      </c>
      <c r="B1088" s="4" t="s">
        <v>247</v>
      </c>
      <c r="C1088" s="1">
        <v>2</v>
      </c>
      <c r="D1088" t="s">
        <v>248</v>
      </c>
      <c r="E1088">
        <v>40</v>
      </c>
      <c r="F1088">
        <v>1</v>
      </c>
      <c r="G1088">
        <v>42</v>
      </c>
      <c r="H1088">
        <v>109</v>
      </c>
      <c r="I1088">
        <v>137</v>
      </c>
    </row>
    <row r="1089" spans="1:9" x14ac:dyDescent="0.25">
      <c r="A1089">
        <v>2024</v>
      </c>
      <c r="B1089" s="4" t="s">
        <v>247</v>
      </c>
      <c r="C1089" s="1">
        <v>2</v>
      </c>
      <c r="D1089" t="s">
        <v>248</v>
      </c>
      <c r="E1089">
        <v>40</v>
      </c>
      <c r="F1089">
        <v>2</v>
      </c>
      <c r="G1089">
        <v>58</v>
      </c>
      <c r="H1089">
        <v>106</v>
      </c>
      <c r="I1089">
        <v>133</v>
      </c>
    </row>
    <row r="1090" spans="1:9" x14ac:dyDescent="0.25">
      <c r="A1090">
        <v>2024</v>
      </c>
      <c r="B1090" s="4" t="s">
        <v>247</v>
      </c>
      <c r="C1090" s="1">
        <v>2</v>
      </c>
      <c r="D1090" t="s">
        <v>248</v>
      </c>
      <c r="E1090">
        <v>40</v>
      </c>
      <c r="F1090">
        <v>3</v>
      </c>
      <c r="G1090">
        <v>66</v>
      </c>
      <c r="H1090">
        <v>108</v>
      </c>
      <c r="I1090">
        <v>140</v>
      </c>
    </row>
    <row r="1091" spans="1:9" x14ac:dyDescent="0.25">
      <c r="A1091">
        <v>2024</v>
      </c>
      <c r="B1091" s="4" t="s">
        <v>219</v>
      </c>
      <c r="C1091" s="1">
        <v>2</v>
      </c>
      <c r="D1091" t="s">
        <v>249</v>
      </c>
      <c r="E1091">
        <v>40</v>
      </c>
      <c r="F1091">
        <v>1</v>
      </c>
      <c r="G1091">
        <v>60</v>
      </c>
      <c r="H1091">
        <v>78</v>
      </c>
      <c r="I1091">
        <v>98</v>
      </c>
    </row>
    <row r="1092" spans="1:9" x14ac:dyDescent="0.25">
      <c r="A1092">
        <v>2024</v>
      </c>
      <c r="B1092" s="4" t="s">
        <v>219</v>
      </c>
      <c r="C1092" s="1">
        <v>2</v>
      </c>
      <c r="D1092" t="s">
        <v>249</v>
      </c>
      <c r="E1092">
        <v>40</v>
      </c>
      <c r="F1092">
        <v>2</v>
      </c>
      <c r="G1092">
        <v>26</v>
      </c>
      <c r="H1092">
        <v>76</v>
      </c>
      <c r="I1092">
        <v>88</v>
      </c>
    </row>
    <row r="1093" spans="1:9" x14ac:dyDescent="0.25">
      <c r="A1093">
        <v>2024</v>
      </c>
      <c r="B1093" s="4" t="s">
        <v>219</v>
      </c>
      <c r="C1093" s="1">
        <v>2</v>
      </c>
      <c r="D1093" t="s">
        <v>249</v>
      </c>
      <c r="E1093">
        <v>40</v>
      </c>
      <c r="F1093">
        <v>3</v>
      </c>
      <c r="G1093">
        <v>26</v>
      </c>
      <c r="H1093">
        <v>76</v>
      </c>
      <c r="I1093">
        <v>95</v>
      </c>
    </row>
    <row r="1094" spans="1:9" x14ac:dyDescent="0.25">
      <c r="A1094">
        <v>2024</v>
      </c>
      <c r="B1094" s="4" t="s">
        <v>245</v>
      </c>
      <c r="C1094" s="1">
        <v>2</v>
      </c>
      <c r="D1094" t="s">
        <v>250</v>
      </c>
      <c r="E1094">
        <v>40</v>
      </c>
      <c r="F1094">
        <v>1</v>
      </c>
      <c r="G1094">
        <v>70</v>
      </c>
      <c r="H1094">
        <v>84</v>
      </c>
      <c r="I1094">
        <v>85</v>
      </c>
    </row>
    <row r="1095" spans="1:9" x14ac:dyDescent="0.25">
      <c r="A1095">
        <v>2024</v>
      </c>
      <c r="B1095" s="4" t="s">
        <v>245</v>
      </c>
      <c r="C1095" s="1">
        <v>2</v>
      </c>
      <c r="D1095" t="s">
        <v>250</v>
      </c>
      <c r="E1095">
        <v>40</v>
      </c>
      <c r="F1095">
        <v>2</v>
      </c>
      <c r="G1095">
        <v>56</v>
      </c>
      <c r="H1095">
        <v>87</v>
      </c>
      <c r="I1095">
        <v>89</v>
      </c>
    </row>
    <row r="1096" spans="1:9" x14ac:dyDescent="0.25">
      <c r="A1096">
        <v>2024</v>
      </c>
      <c r="B1096" s="4" t="s">
        <v>245</v>
      </c>
      <c r="C1096" s="1">
        <v>2</v>
      </c>
      <c r="D1096" t="s">
        <v>250</v>
      </c>
      <c r="E1096">
        <v>40</v>
      </c>
      <c r="F1096">
        <v>3</v>
      </c>
      <c r="G1096">
        <v>70</v>
      </c>
      <c r="H1096">
        <v>87</v>
      </c>
      <c r="I1096">
        <v>97</v>
      </c>
    </row>
    <row r="1097" spans="1:9" x14ac:dyDescent="0.25">
      <c r="A1097">
        <v>2024</v>
      </c>
      <c r="B1097" s="4" t="s">
        <v>172</v>
      </c>
      <c r="C1097" s="1">
        <v>4</v>
      </c>
      <c r="D1097" t="s">
        <v>251</v>
      </c>
      <c r="E1097">
        <v>40</v>
      </c>
      <c r="F1097">
        <v>1</v>
      </c>
      <c r="G1097">
        <v>32</v>
      </c>
      <c r="H1097">
        <v>99</v>
      </c>
      <c r="I1097">
        <v>95</v>
      </c>
    </row>
    <row r="1098" spans="1:9" x14ac:dyDescent="0.25">
      <c r="A1098">
        <v>2024</v>
      </c>
      <c r="B1098" s="4" t="s">
        <v>172</v>
      </c>
      <c r="C1098" s="1">
        <v>4</v>
      </c>
      <c r="D1098" t="s">
        <v>251</v>
      </c>
      <c r="E1098">
        <v>40</v>
      </c>
      <c r="F1098">
        <v>2</v>
      </c>
      <c r="G1098">
        <v>32</v>
      </c>
      <c r="H1098">
        <v>100</v>
      </c>
      <c r="I1098">
        <v>109</v>
      </c>
    </row>
    <row r="1099" spans="1:9" x14ac:dyDescent="0.25">
      <c r="A1099">
        <v>2024</v>
      </c>
      <c r="B1099" s="4" t="s">
        <v>172</v>
      </c>
      <c r="C1099" s="1">
        <v>4</v>
      </c>
      <c r="D1099" t="s">
        <v>251</v>
      </c>
      <c r="E1099">
        <v>40</v>
      </c>
      <c r="F1099">
        <v>3</v>
      </c>
      <c r="G1099" t="s">
        <v>20</v>
      </c>
      <c r="H1099">
        <v>101</v>
      </c>
      <c r="I1099">
        <v>110</v>
      </c>
    </row>
    <row r="1100" spans="1:9" x14ac:dyDescent="0.25">
      <c r="A1100">
        <v>2024</v>
      </c>
      <c r="B1100" s="4" t="s">
        <v>14</v>
      </c>
      <c r="C1100" s="1">
        <v>1</v>
      </c>
      <c r="D1100" t="s">
        <v>253</v>
      </c>
      <c r="E1100">
        <v>40</v>
      </c>
      <c r="F1100">
        <v>1</v>
      </c>
      <c r="G1100">
        <v>46</v>
      </c>
      <c r="H1100">
        <v>118</v>
      </c>
      <c r="I1100">
        <v>120</v>
      </c>
    </row>
    <row r="1101" spans="1:9" x14ac:dyDescent="0.25">
      <c r="A1101">
        <v>2024</v>
      </c>
      <c r="B1101" s="4" t="s">
        <v>14</v>
      </c>
      <c r="C1101" s="1">
        <v>1</v>
      </c>
      <c r="D1101" t="s">
        <v>253</v>
      </c>
      <c r="E1101">
        <v>40</v>
      </c>
      <c r="F1101">
        <v>2</v>
      </c>
      <c r="G1101">
        <v>76</v>
      </c>
      <c r="H1101">
        <v>116</v>
      </c>
      <c r="I1101">
        <v>115</v>
      </c>
    </row>
    <row r="1102" spans="1:9" x14ac:dyDescent="0.25">
      <c r="A1102">
        <v>2024</v>
      </c>
      <c r="B1102" s="4" t="s">
        <v>14</v>
      </c>
      <c r="C1102" s="1">
        <v>1</v>
      </c>
      <c r="D1102" t="s">
        <v>253</v>
      </c>
      <c r="E1102">
        <v>40</v>
      </c>
      <c r="F1102">
        <v>3</v>
      </c>
      <c r="G1102">
        <v>70</v>
      </c>
      <c r="H1102">
        <v>118</v>
      </c>
      <c r="I1102">
        <v>126</v>
      </c>
    </row>
    <row r="1103" spans="1:9" x14ac:dyDescent="0.25">
      <c r="A1103">
        <v>2024</v>
      </c>
      <c r="B1103" s="4" t="s">
        <v>14</v>
      </c>
      <c r="C1103" s="1">
        <v>1</v>
      </c>
      <c r="D1103" t="s">
        <v>255</v>
      </c>
      <c r="E1103">
        <v>40</v>
      </c>
      <c r="F1103">
        <v>1</v>
      </c>
      <c r="G1103">
        <v>2</v>
      </c>
      <c r="H1103">
        <v>124</v>
      </c>
      <c r="I1103">
        <v>75</v>
      </c>
    </row>
    <row r="1104" spans="1:9" x14ac:dyDescent="0.25">
      <c r="A1104">
        <v>2024</v>
      </c>
      <c r="B1104" s="4" t="s">
        <v>14</v>
      </c>
      <c r="C1104" s="1">
        <v>1</v>
      </c>
      <c r="D1104" t="s">
        <v>255</v>
      </c>
      <c r="E1104">
        <v>40</v>
      </c>
      <c r="F1104">
        <v>2</v>
      </c>
      <c r="G1104">
        <v>12</v>
      </c>
      <c r="H1104" t="s">
        <v>20</v>
      </c>
      <c r="I1104" t="s">
        <v>20</v>
      </c>
    </row>
    <row r="1105" spans="1:9" x14ac:dyDescent="0.25">
      <c r="A1105">
        <v>2024</v>
      </c>
      <c r="B1105" s="4" t="s">
        <v>14</v>
      </c>
      <c r="C1105" s="1">
        <v>1</v>
      </c>
      <c r="D1105" t="s">
        <v>255</v>
      </c>
      <c r="E1105">
        <v>40</v>
      </c>
      <c r="F1105">
        <v>3</v>
      </c>
      <c r="G1105">
        <v>6</v>
      </c>
      <c r="H1105">
        <v>124</v>
      </c>
      <c r="I1105">
        <v>100</v>
      </c>
    </row>
    <row r="1106" spans="1:9" x14ac:dyDescent="0.25">
      <c r="A1106">
        <v>2024</v>
      </c>
      <c r="B1106" s="4" t="s">
        <v>14</v>
      </c>
      <c r="C1106" s="1" t="s">
        <v>20</v>
      </c>
      <c r="D1106" t="s">
        <v>256</v>
      </c>
      <c r="E1106">
        <v>40</v>
      </c>
      <c r="F1106">
        <v>1</v>
      </c>
      <c r="G1106">
        <v>4</v>
      </c>
      <c r="H1106">
        <v>145</v>
      </c>
      <c r="I1106">
        <v>82</v>
      </c>
    </row>
    <row r="1107" spans="1:9" x14ac:dyDescent="0.25">
      <c r="A1107">
        <v>2024</v>
      </c>
      <c r="B1107" s="4" t="s">
        <v>14</v>
      </c>
      <c r="C1107" s="1" t="s">
        <v>20</v>
      </c>
      <c r="D1107" t="s">
        <v>256</v>
      </c>
      <c r="E1107">
        <v>40</v>
      </c>
      <c r="F1107">
        <v>2</v>
      </c>
      <c r="G1107">
        <v>38</v>
      </c>
      <c r="H1107">
        <v>147</v>
      </c>
      <c r="I1107">
        <v>107</v>
      </c>
    </row>
    <row r="1108" spans="1:9" x14ac:dyDescent="0.25">
      <c r="A1108">
        <v>2024</v>
      </c>
      <c r="B1108" s="4" t="s">
        <v>14</v>
      </c>
      <c r="C1108" s="1" t="s">
        <v>20</v>
      </c>
      <c r="D1108" t="s">
        <v>256</v>
      </c>
      <c r="E1108">
        <v>40</v>
      </c>
      <c r="F1108">
        <v>3</v>
      </c>
      <c r="G1108">
        <v>24</v>
      </c>
      <c r="H1108">
        <v>145</v>
      </c>
      <c r="I1108">
        <v>100</v>
      </c>
    </row>
    <row r="1109" spans="1:9" x14ac:dyDescent="0.25">
      <c r="A1109">
        <v>2024</v>
      </c>
      <c r="B1109" s="4" t="s">
        <v>14</v>
      </c>
      <c r="C1109" s="1">
        <v>1</v>
      </c>
      <c r="D1109" t="s">
        <v>260</v>
      </c>
      <c r="E1109">
        <v>40</v>
      </c>
      <c r="F1109">
        <v>1</v>
      </c>
      <c r="G1109">
        <v>50</v>
      </c>
      <c r="H1109">
        <v>138</v>
      </c>
      <c r="I1109">
        <v>90</v>
      </c>
    </row>
    <row r="1110" spans="1:9" x14ac:dyDescent="0.25">
      <c r="A1110">
        <v>2024</v>
      </c>
      <c r="B1110" s="4" t="s">
        <v>14</v>
      </c>
      <c r="C1110" s="1">
        <v>1</v>
      </c>
      <c r="D1110" t="s">
        <v>260</v>
      </c>
      <c r="E1110">
        <v>40</v>
      </c>
      <c r="F1110">
        <v>2</v>
      </c>
      <c r="G1110">
        <v>68</v>
      </c>
      <c r="H1110">
        <v>138</v>
      </c>
      <c r="I1110">
        <v>111</v>
      </c>
    </row>
    <row r="1111" spans="1:9" x14ac:dyDescent="0.25">
      <c r="A1111">
        <v>2024</v>
      </c>
      <c r="B1111" s="4" t="s">
        <v>14</v>
      </c>
      <c r="C1111" s="1">
        <v>1</v>
      </c>
      <c r="D1111" t="s">
        <v>260</v>
      </c>
      <c r="E1111">
        <v>40</v>
      </c>
      <c r="F1111">
        <v>3</v>
      </c>
      <c r="G1111">
        <v>82</v>
      </c>
      <c r="H1111">
        <v>146</v>
      </c>
      <c r="I1111">
        <v>108</v>
      </c>
    </row>
    <row r="1112" spans="1:9" x14ac:dyDescent="0.25">
      <c r="A1112">
        <v>2024</v>
      </c>
      <c r="B1112" s="4" t="s">
        <v>24</v>
      </c>
      <c r="C1112" s="1">
        <v>3</v>
      </c>
      <c r="D1112" t="s">
        <v>25</v>
      </c>
      <c r="E1112">
        <v>120</v>
      </c>
      <c r="F1112">
        <v>1</v>
      </c>
      <c r="G1112">
        <v>6</v>
      </c>
      <c r="H1112">
        <v>105</v>
      </c>
      <c r="I1112">
        <v>60</v>
      </c>
    </row>
    <row r="1113" spans="1:9" x14ac:dyDescent="0.25">
      <c r="A1113">
        <v>2024</v>
      </c>
      <c r="B1113" s="4" t="s">
        <v>24</v>
      </c>
      <c r="C1113" s="1">
        <v>3</v>
      </c>
      <c r="D1113" t="s">
        <v>25</v>
      </c>
      <c r="E1113">
        <v>120</v>
      </c>
      <c r="F1113">
        <v>2</v>
      </c>
      <c r="G1113" t="s">
        <v>20</v>
      </c>
      <c r="H1113">
        <v>112</v>
      </c>
      <c r="I1113">
        <v>30</v>
      </c>
    </row>
    <row r="1114" spans="1:9" x14ac:dyDescent="0.25">
      <c r="A1114">
        <v>2024</v>
      </c>
      <c r="B1114" s="4" t="s">
        <v>24</v>
      </c>
      <c r="C1114" s="1">
        <v>3</v>
      </c>
      <c r="D1114" t="s">
        <v>25</v>
      </c>
      <c r="E1114">
        <v>120</v>
      </c>
      <c r="F1114">
        <v>3</v>
      </c>
      <c r="G1114" t="s">
        <v>20</v>
      </c>
      <c r="H1114">
        <v>105</v>
      </c>
      <c r="I1114">
        <v>50</v>
      </c>
    </row>
    <row r="1115" spans="1:9" x14ac:dyDescent="0.25">
      <c r="A1115">
        <v>2024</v>
      </c>
      <c r="B1115" s="4" t="s">
        <v>14</v>
      </c>
      <c r="C1115" s="4">
        <v>1</v>
      </c>
      <c r="D1115" t="s">
        <v>37</v>
      </c>
      <c r="E1115">
        <v>120</v>
      </c>
      <c r="F1115">
        <v>1</v>
      </c>
      <c r="G1115">
        <v>70</v>
      </c>
      <c r="H1115">
        <v>0</v>
      </c>
      <c r="I1115">
        <v>70</v>
      </c>
    </row>
    <row r="1116" spans="1:9" x14ac:dyDescent="0.25">
      <c r="A1116">
        <v>2024</v>
      </c>
      <c r="B1116" s="4" t="s">
        <v>14</v>
      </c>
      <c r="C1116" s="4">
        <v>1</v>
      </c>
      <c r="D1116" t="s">
        <v>37</v>
      </c>
      <c r="E1116">
        <v>120</v>
      </c>
      <c r="F1116">
        <v>2</v>
      </c>
      <c r="G1116" t="s">
        <v>20</v>
      </c>
      <c r="H1116">
        <v>0</v>
      </c>
      <c r="I1116">
        <v>62</v>
      </c>
    </row>
    <row r="1117" spans="1:9" x14ac:dyDescent="0.25">
      <c r="A1117">
        <v>2024</v>
      </c>
      <c r="B1117" s="4" t="s">
        <v>14</v>
      </c>
      <c r="C1117" s="4">
        <v>1</v>
      </c>
      <c r="D1117" t="s">
        <v>37</v>
      </c>
      <c r="E1117">
        <v>120</v>
      </c>
      <c r="F1117">
        <v>3</v>
      </c>
      <c r="G1117" t="s">
        <v>20</v>
      </c>
      <c r="H1117">
        <v>0</v>
      </c>
      <c r="I1117">
        <v>57</v>
      </c>
    </row>
    <row r="1118" spans="1:9" x14ac:dyDescent="0.25">
      <c r="A1118">
        <v>2024</v>
      </c>
      <c r="B1118" s="4" t="s">
        <v>14</v>
      </c>
      <c r="C1118" s="4">
        <v>1</v>
      </c>
      <c r="D1118" t="s">
        <v>38</v>
      </c>
      <c r="E1118">
        <v>120</v>
      </c>
      <c r="F1118">
        <v>1</v>
      </c>
      <c r="G1118">
        <v>30</v>
      </c>
      <c r="H1118">
        <v>138</v>
      </c>
      <c r="I1118">
        <v>102</v>
      </c>
    </row>
    <row r="1119" spans="1:9" x14ac:dyDescent="0.25">
      <c r="A1119">
        <v>2024</v>
      </c>
      <c r="B1119" s="4" t="s">
        <v>14</v>
      </c>
      <c r="C1119" s="4">
        <v>1</v>
      </c>
      <c r="D1119" t="s">
        <v>38</v>
      </c>
      <c r="E1119">
        <v>120</v>
      </c>
      <c r="F1119">
        <v>2</v>
      </c>
      <c r="G1119">
        <v>22</v>
      </c>
      <c r="H1119">
        <v>146</v>
      </c>
      <c r="I1119">
        <v>118</v>
      </c>
    </row>
    <row r="1120" spans="1:9" x14ac:dyDescent="0.25">
      <c r="A1120">
        <v>2024</v>
      </c>
      <c r="B1120" s="4" t="s">
        <v>14</v>
      </c>
      <c r="C1120" s="4">
        <v>1</v>
      </c>
      <c r="D1120" t="s">
        <v>38</v>
      </c>
      <c r="E1120">
        <v>120</v>
      </c>
      <c r="F1120">
        <v>3</v>
      </c>
      <c r="G1120" t="s">
        <v>20</v>
      </c>
      <c r="H1120">
        <v>130</v>
      </c>
      <c r="I1120">
        <v>103</v>
      </c>
    </row>
    <row r="1121" spans="1:9" x14ac:dyDescent="0.25">
      <c r="A1121">
        <v>2024</v>
      </c>
      <c r="B1121" s="4" t="s">
        <v>14</v>
      </c>
      <c r="C1121" s="4">
        <v>1</v>
      </c>
      <c r="D1121" t="s">
        <v>40</v>
      </c>
      <c r="E1121">
        <v>120</v>
      </c>
      <c r="F1121">
        <v>1</v>
      </c>
      <c r="G1121">
        <v>44</v>
      </c>
      <c r="H1121">
        <v>137</v>
      </c>
      <c r="I1121">
        <v>104</v>
      </c>
    </row>
    <row r="1122" spans="1:9" x14ac:dyDescent="0.25">
      <c r="A1122">
        <v>2024</v>
      </c>
      <c r="B1122" s="4" t="s">
        <v>14</v>
      </c>
      <c r="C1122" s="4">
        <v>1</v>
      </c>
      <c r="D1122" t="s">
        <v>40</v>
      </c>
      <c r="E1122">
        <v>120</v>
      </c>
      <c r="F1122">
        <v>2</v>
      </c>
      <c r="G1122" t="s">
        <v>20</v>
      </c>
      <c r="H1122">
        <v>138</v>
      </c>
      <c r="I1122">
        <v>97</v>
      </c>
    </row>
    <row r="1123" spans="1:9" x14ac:dyDescent="0.25">
      <c r="A1123">
        <v>2024</v>
      </c>
      <c r="B1123" s="4" t="s">
        <v>14</v>
      </c>
      <c r="C1123" s="4">
        <v>1</v>
      </c>
      <c r="D1123" t="s">
        <v>40</v>
      </c>
      <c r="E1123">
        <v>120</v>
      </c>
      <c r="F1123">
        <v>3</v>
      </c>
      <c r="G1123" t="s">
        <v>20</v>
      </c>
      <c r="H1123">
        <v>121</v>
      </c>
      <c r="I1123">
        <v>108</v>
      </c>
    </row>
    <row r="1124" spans="1:9" x14ac:dyDescent="0.25">
      <c r="A1124">
        <v>2024</v>
      </c>
      <c r="B1124" s="4" t="s">
        <v>14</v>
      </c>
      <c r="C1124" s="4">
        <v>1</v>
      </c>
      <c r="D1124" t="s">
        <v>41</v>
      </c>
      <c r="E1124">
        <v>120</v>
      </c>
      <c r="F1124">
        <v>1</v>
      </c>
      <c r="G1124">
        <v>26</v>
      </c>
      <c r="H1124">
        <v>141</v>
      </c>
      <c r="I1124">
        <v>88</v>
      </c>
    </row>
    <row r="1125" spans="1:9" x14ac:dyDescent="0.25">
      <c r="A1125">
        <v>2024</v>
      </c>
      <c r="B1125" s="4" t="s">
        <v>14</v>
      </c>
      <c r="C1125" s="4">
        <v>1</v>
      </c>
      <c r="D1125" t="s">
        <v>41</v>
      </c>
      <c r="E1125">
        <v>120</v>
      </c>
      <c r="F1125">
        <v>2</v>
      </c>
      <c r="G1125">
        <v>22</v>
      </c>
      <c r="H1125">
        <v>139</v>
      </c>
      <c r="I1125">
        <v>95</v>
      </c>
    </row>
    <row r="1126" spans="1:9" x14ac:dyDescent="0.25">
      <c r="A1126">
        <v>2024</v>
      </c>
      <c r="B1126" s="4" t="s">
        <v>14</v>
      </c>
      <c r="C1126" s="4">
        <v>1</v>
      </c>
      <c r="D1126" t="s">
        <v>41</v>
      </c>
      <c r="E1126">
        <v>120</v>
      </c>
      <c r="F1126">
        <v>3</v>
      </c>
      <c r="G1126" t="s">
        <v>20</v>
      </c>
      <c r="H1126">
        <v>138</v>
      </c>
      <c r="I1126">
        <v>89</v>
      </c>
    </row>
    <row r="1127" spans="1:9" x14ac:dyDescent="0.25">
      <c r="A1127">
        <v>2024</v>
      </c>
      <c r="B1127" s="4" t="s">
        <v>14</v>
      </c>
      <c r="C1127" s="4">
        <v>1</v>
      </c>
      <c r="D1127" t="s">
        <v>43</v>
      </c>
      <c r="E1127">
        <v>120</v>
      </c>
      <c r="F1127">
        <v>1</v>
      </c>
      <c r="G1127">
        <v>18</v>
      </c>
      <c r="H1127">
        <v>120</v>
      </c>
      <c r="I1127">
        <v>102</v>
      </c>
    </row>
    <row r="1128" spans="1:9" x14ac:dyDescent="0.25">
      <c r="A1128">
        <v>2024</v>
      </c>
      <c r="B1128" s="4" t="s">
        <v>14</v>
      </c>
      <c r="C1128" s="4">
        <v>1</v>
      </c>
      <c r="D1128" t="s">
        <v>43</v>
      </c>
      <c r="E1128">
        <v>120</v>
      </c>
      <c r="F1128">
        <v>2</v>
      </c>
      <c r="G1128" t="s">
        <v>20</v>
      </c>
      <c r="H1128">
        <v>136</v>
      </c>
      <c r="I1128">
        <v>91</v>
      </c>
    </row>
    <row r="1129" spans="1:9" x14ac:dyDescent="0.25">
      <c r="A1129">
        <v>2024</v>
      </c>
      <c r="B1129" s="4" t="s">
        <v>14</v>
      </c>
      <c r="C1129" s="4">
        <v>1</v>
      </c>
      <c r="D1129" t="s">
        <v>43</v>
      </c>
      <c r="E1129">
        <v>120</v>
      </c>
      <c r="F1129">
        <v>3</v>
      </c>
      <c r="G1129" t="s">
        <v>20</v>
      </c>
      <c r="H1129">
        <v>130</v>
      </c>
      <c r="I1129">
        <v>79</v>
      </c>
    </row>
    <row r="1130" spans="1:9" x14ac:dyDescent="0.25">
      <c r="A1130">
        <v>2024</v>
      </c>
      <c r="B1130" s="4" t="s">
        <v>14</v>
      </c>
      <c r="C1130" s="1">
        <v>2</v>
      </c>
      <c r="D1130" t="s">
        <v>46</v>
      </c>
      <c r="E1130">
        <v>120</v>
      </c>
      <c r="F1130">
        <v>1</v>
      </c>
      <c r="G1130">
        <v>68</v>
      </c>
      <c r="H1130">
        <v>82</v>
      </c>
      <c r="I1130">
        <v>97</v>
      </c>
    </row>
    <row r="1131" spans="1:9" x14ac:dyDescent="0.25">
      <c r="A1131">
        <v>2024</v>
      </c>
      <c r="B1131" s="4" t="s">
        <v>14</v>
      </c>
      <c r="C1131" s="1">
        <v>2</v>
      </c>
      <c r="D1131" t="s">
        <v>46</v>
      </c>
      <c r="E1131">
        <v>120</v>
      </c>
      <c r="F1131">
        <v>2</v>
      </c>
      <c r="G1131" t="s">
        <v>20</v>
      </c>
      <c r="H1131">
        <v>82</v>
      </c>
      <c r="I1131">
        <v>78</v>
      </c>
    </row>
    <row r="1132" spans="1:9" x14ac:dyDescent="0.25">
      <c r="A1132">
        <v>2024</v>
      </c>
      <c r="B1132" s="4" t="s">
        <v>14</v>
      </c>
      <c r="C1132" s="1">
        <v>2</v>
      </c>
      <c r="D1132" t="s">
        <v>46</v>
      </c>
      <c r="E1132">
        <v>120</v>
      </c>
      <c r="F1132">
        <v>3</v>
      </c>
      <c r="G1132" t="s">
        <v>20</v>
      </c>
      <c r="H1132">
        <v>83</v>
      </c>
      <c r="I1132">
        <v>98</v>
      </c>
    </row>
    <row r="1133" spans="1:9" x14ac:dyDescent="0.25">
      <c r="A1133">
        <v>2024</v>
      </c>
      <c r="B1133" s="4" t="s">
        <v>14</v>
      </c>
      <c r="C1133" s="1">
        <v>1</v>
      </c>
      <c r="D1133" t="s">
        <v>48</v>
      </c>
      <c r="E1133">
        <v>120</v>
      </c>
      <c r="F1133">
        <v>1</v>
      </c>
      <c r="G1133">
        <v>50</v>
      </c>
      <c r="H1133">
        <v>121</v>
      </c>
      <c r="I1133">
        <v>111</v>
      </c>
    </row>
    <row r="1134" spans="1:9" x14ac:dyDescent="0.25">
      <c r="A1134">
        <v>2024</v>
      </c>
      <c r="B1134" s="4" t="s">
        <v>14</v>
      </c>
      <c r="C1134" s="1">
        <v>1</v>
      </c>
      <c r="D1134" t="s">
        <v>48</v>
      </c>
      <c r="E1134">
        <v>120</v>
      </c>
      <c r="F1134">
        <v>2</v>
      </c>
      <c r="G1134" t="s">
        <v>20</v>
      </c>
      <c r="H1134">
        <v>121</v>
      </c>
      <c r="I1134">
        <v>102</v>
      </c>
    </row>
    <row r="1135" spans="1:9" x14ac:dyDescent="0.25">
      <c r="A1135">
        <v>2024</v>
      </c>
      <c r="B1135" s="4" t="s">
        <v>14</v>
      </c>
      <c r="C1135" s="1">
        <v>1</v>
      </c>
      <c r="D1135" t="s">
        <v>48</v>
      </c>
      <c r="E1135">
        <v>120</v>
      </c>
      <c r="F1135">
        <v>3</v>
      </c>
      <c r="G1135" t="s">
        <v>20</v>
      </c>
      <c r="H1135">
        <v>118</v>
      </c>
      <c r="I1135">
        <v>105</v>
      </c>
    </row>
    <row r="1136" spans="1:9" x14ac:dyDescent="0.25">
      <c r="A1136">
        <v>2024</v>
      </c>
      <c r="B1136" s="4" t="s">
        <v>49</v>
      </c>
      <c r="C1136" s="1">
        <v>4</v>
      </c>
      <c r="D1136" t="s">
        <v>50</v>
      </c>
      <c r="E1136">
        <v>120</v>
      </c>
      <c r="F1136">
        <v>1</v>
      </c>
      <c r="G1136">
        <v>58</v>
      </c>
      <c r="H1136">
        <v>91</v>
      </c>
      <c r="I1136">
        <v>102</v>
      </c>
    </row>
    <row r="1137" spans="1:9" x14ac:dyDescent="0.25">
      <c r="A1137">
        <v>2024</v>
      </c>
      <c r="B1137" s="4" t="s">
        <v>49</v>
      </c>
      <c r="C1137" s="1">
        <v>4</v>
      </c>
      <c r="D1137" t="s">
        <v>50</v>
      </c>
      <c r="E1137">
        <v>120</v>
      </c>
      <c r="F1137">
        <v>2</v>
      </c>
      <c r="G1137" t="s">
        <v>20</v>
      </c>
      <c r="H1137">
        <v>99</v>
      </c>
      <c r="I1137">
        <v>130</v>
      </c>
    </row>
    <row r="1138" spans="1:9" x14ac:dyDescent="0.25">
      <c r="A1138">
        <v>2024</v>
      </c>
      <c r="B1138" s="4" t="s">
        <v>49</v>
      </c>
      <c r="C1138" s="1">
        <v>4</v>
      </c>
      <c r="D1138" t="s">
        <v>50</v>
      </c>
      <c r="E1138">
        <v>120</v>
      </c>
      <c r="F1138">
        <v>3</v>
      </c>
      <c r="G1138" t="s">
        <v>20</v>
      </c>
      <c r="H1138">
        <v>99</v>
      </c>
      <c r="I1138">
        <v>98</v>
      </c>
    </row>
    <row r="1139" spans="1:9" x14ac:dyDescent="0.25">
      <c r="A1139">
        <v>2024</v>
      </c>
      <c r="B1139" s="4" t="s">
        <v>52</v>
      </c>
      <c r="C1139" s="1">
        <v>4</v>
      </c>
      <c r="D1139" t="s">
        <v>53</v>
      </c>
      <c r="E1139">
        <v>120</v>
      </c>
      <c r="F1139">
        <v>1</v>
      </c>
      <c r="G1139">
        <v>87</v>
      </c>
      <c r="H1139">
        <v>99</v>
      </c>
      <c r="I1139">
        <v>94</v>
      </c>
    </row>
    <row r="1140" spans="1:9" x14ac:dyDescent="0.25">
      <c r="A1140">
        <v>2024</v>
      </c>
      <c r="B1140" s="4" t="s">
        <v>52</v>
      </c>
      <c r="C1140" s="1">
        <v>4</v>
      </c>
      <c r="D1140" t="s">
        <v>53</v>
      </c>
      <c r="E1140">
        <v>120</v>
      </c>
      <c r="F1140">
        <v>2</v>
      </c>
      <c r="G1140">
        <v>90</v>
      </c>
      <c r="H1140">
        <v>94</v>
      </c>
      <c r="I1140">
        <v>104</v>
      </c>
    </row>
    <row r="1141" spans="1:9" x14ac:dyDescent="0.25">
      <c r="A1141">
        <v>2024</v>
      </c>
      <c r="B1141" s="4" t="s">
        <v>52</v>
      </c>
      <c r="C1141" s="1">
        <v>4</v>
      </c>
      <c r="D1141" t="s">
        <v>53</v>
      </c>
      <c r="E1141">
        <v>120</v>
      </c>
      <c r="F1141">
        <v>3</v>
      </c>
      <c r="G1141" t="s">
        <v>20</v>
      </c>
      <c r="H1141">
        <v>99</v>
      </c>
      <c r="I1141">
        <v>98</v>
      </c>
    </row>
    <row r="1142" spans="1:9" x14ac:dyDescent="0.25">
      <c r="A1142">
        <v>2024</v>
      </c>
      <c r="B1142" s="4" t="s">
        <v>49</v>
      </c>
      <c r="C1142" s="1">
        <v>4</v>
      </c>
      <c r="D1142" t="s">
        <v>54</v>
      </c>
      <c r="E1142">
        <v>120</v>
      </c>
      <c r="F1142">
        <v>1</v>
      </c>
      <c r="G1142" t="s">
        <v>20</v>
      </c>
      <c r="H1142">
        <v>99</v>
      </c>
      <c r="I1142">
        <v>80</v>
      </c>
    </row>
    <row r="1143" spans="1:9" x14ac:dyDescent="0.25">
      <c r="A1143">
        <v>2024</v>
      </c>
      <c r="B1143" s="4" t="s">
        <v>49</v>
      </c>
      <c r="C1143" s="1">
        <v>4</v>
      </c>
      <c r="D1143" t="s">
        <v>54</v>
      </c>
      <c r="E1143">
        <v>120</v>
      </c>
      <c r="F1143">
        <v>2</v>
      </c>
      <c r="G1143">
        <v>28</v>
      </c>
      <c r="H1143">
        <v>99</v>
      </c>
      <c r="I1143">
        <v>88</v>
      </c>
    </row>
    <row r="1144" spans="1:9" x14ac:dyDescent="0.25">
      <c r="A1144">
        <v>2024</v>
      </c>
      <c r="B1144" s="4" t="s">
        <v>49</v>
      </c>
      <c r="C1144" s="1">
        <v>4</v>
      </c>
      <c r="D1144" t="s">
        <v>54</v>
      </c>
      <c r="E1144">
        <v>120</v>
      </c>
      <c r="F1144">
        <v>3</v>
      </c>
      <c r="G1144">
        <v>20</v>
      </c>
      <c r="H1144">
        <v>99</v>
      </c>
      <c r="I1144">
        <v>81</v>
      </c>
    </row>
    <row r="1145" spans="1:9" x14ac:dyDescent="0.25">
      <c r="A1145">
        <v>2024</v>
      </c>
      <c r="B1145" s="4" t="s">
        <v>55</v>
      </c>
      <c r="C1145" s="1">
        <v>2</v>
      </c>
      <c r="D1145" t="s">
        <v>56</v>
      </c>
      <c r="E1145">
        <v>120</v>
      </c>
      <c r="F1145">
        <v>1</v>
      </c>
      <c r="G1145">
        <v>52</v>
      </c>
      <c r="H1145">
        <v>106</v>
      </c>
      <c r="I1145">
        <v>125</v>
      </c>
    </row>
    <row r="1146" spans="1:9" x14ac:dyDescent="0.25">
      <c r="A1146">
        <v>2024</v>
      </c>
      <c r="B1146" s="4" t="s">
        <v>55</v>
      </c>
      <c r="C1146" s="1">
        <v>2</v>
      </c>
      <c r="D1146" t="s">
        <v>56</v>
      </c>
      <c r="E1146">
        <v>120</v>
      </c>
      <c r="F1146">
        <v>2</v>
      </c>
      <c r="G1146" t="s">
        <v>20</v>
      </c>
      <c r="H1146">
        <v>106</v>
      </c>
      <c r="I1146">
        <v>135</v>
      </c>
    </row>
    <row r="1147" spans="1:9" x14ac:dyDescent="0.25">
      <c r="A1147">
        <v>2024</v>
      </c>
      <c r="B1147" s="4" t="s">
        <v>55</v>
      </c>
      <c r="C1147" s="1">
        <v>2</v>
      </c>
      <c r="D1147" t="s">
        <v>56</v>
      </c>
      <c r="E1147">
        <v>120</v>
      </c>
      <c r="F1147">
        <v>3</v>
      </c>
      <c r="G1147" t="s">
        <v>20</v>
      </c>
      <c r="H1147">
        <v>107</v>
      </c>
      <c r="I1147">
        <v>135</v>
      </c>
    </row>
    <row r="1148" spans="1:9" x14ac:dyDescent="0.25">
      <c r="A1148">
        <v>2024</v>
      </c>
      <c r="B1148" s="4" t="s">
        <v>49</v>
      </c>
      <c r="C1148" s="1">
        <v>3</v>
      </c>
      <c r="D1148" t="s">
        <v>57</v>
      </c>
      <c r="E1148">
        <v>120</v>
      </c>
      <c r="F1148">
        <v>1</v>
      </c>
      <c r="G1148">
        <v>22</v>
      </c>
      <c r="H1148">
        <v>86</v>
      </c>
      <c r="I1148">
        <v>104</v>
      </c>
    </row>
    <row r="1149" spans="1:9" x14ac:dyDescent="0.25">
      <c r="A1149">
        <v>2024</v>
      </c>
      <c r="B1149" s="4" t="s">
        <v>49</v>
      </c>
      <c r="C1149" s="1">
        <v>3</v>
      </c>
      <c r="D1149" t="s">
        <v>57</v>
      </c>
      <c r="E1149">
        <v>120</v>
      </c>
      <c r="F1149">
        <v>2</v>
      </c>
      <c r="G1149">
        <v>42</v>
      </c>
      <c r="H1149">
        <v>86</v>
      </c>
      <c r="I1149">
        <v>99</v>
      </c>
    </row>
    <row r="1150" spans="1:9" x14ac:dyDescent="0.25">
      <c r="A1150">
        <v>2024</v>
      </c>
      <c r="B1150" s="4" t="s">
        <v>49</v>
      </c>
      <c r="C1150" s="1">
        <v>3</v>
      </c>
      <c r="D1150" t="s">
        <v>57</v>
      </c>
      <c r="E1150">
        <v>120</v>
      </c>
      <c r="F1150">
        <v>3</v>
      </c>
      <c r="G1150" t="s">
        <v>20</v>
      </c>
      <c r="H1150">
        <v>86</v>
      </c>
      <c r="I1150">
        <v>112</v>
      </c>
    </row>
    <row r="1151" spans="1:9" x14ac:dyDescent="0.25">
      <c r="A1151">
        <v>2024</v>
      </c>
      <c r="B1151" s="4" t="s">
        <v>58</v>
      </c>
      <c r="C1151" s="1">
        <v>2</v>
      </c>
      <c r="D1151" t="s">
        <v>62</v>
      </c>
      <c r="E1151">
        <v>120</v>
      </c>
      <c r="F1151">
        <v>1</v>
      </c>
      <c r="G1151">
        <v>8</v>
      </c>
      <c r="H1151">
        <v>124</v>
      </c>
      <c r="I1151">
        <v>88</v>
      </c>
    </row>
    <row r="1152" spans="1:9" x14ac:dyDescent="0.25">
      <c r="A1152">
        <v>2024</v>
      </c>
      <c r="B1152" s="4" t="s">
        <v>58</v>
      </c>
      <c r="C1152" s="1">
        <v>2</v>
      </c>
      <c r="D1152" t="s">
        <v>62</v>
      </c>
      <c r="E1152">
        <v>120</v>
      </c>
      <c r="F1152">
        <v>2</v>
      </c>
      <c r="G1152">
        <v>24</v>
      </c>
      <c r="H1152">
        <v>123</v>
      </c>
      <c r="I1152">
        <v>108</v>
      </c>
    </row>
    <row r="1153" spans="1:9" x14ac:dyDescent="0.25">
      <c r="A1153">
        <v>2024</v>
      </c>
      <c r="B1153" s="4" t="s">
        <v>58</v>
      </c>
      <c r="C1153" s="1">
        <v>2</v>
      </c>
      <c r="D1153" t="s">
        <v>62</v>
      </c>
      <c r="E1153">
        <v>120</v>
      </c>
      <c r="F1153">
        <v>3</v>
      </c>
      <c r="G1153">
        <v>12</v>
      </c>
      <c r="H1153">
        <v>163</v>
      </c>
      <c r="I1153">
        <v>90</v>
      </c>
    </row>
    <row r="1154" spans="1:9" x14ac:dyDescent="0.25">
      <c r="A1154">
        <v>2024</v>
      </c>
      <c r="B1154" s="4" t="s">
        <v>52</v>
      </c>
      <c r="C1154" s="1">
        <v>5</v>
      </c>
      <c r="D1154" t="s">
        <v>63</v>
      </c>
      <c r="E1154">
        <v>120</v>
      </c>
      <c r="F1154">
        <v>1</v>
      </c>
      <c r="G1154">
        <v>58</v>
      </c>
      <c r="H1154">
        <v>91</v>
      </c>
      <c r="I1154">
        <v>110</v>
      </c>
    </row>
    <row r="1155" spans="1:9" x14ac:dyDescent="0.25">
      <c r="A1155">
        <v>2024</v>
      </c>
      <c r="B1155" s="4" t="s">
        <v>52</v>
      </c>
      <c r="C1155" s="1">
        <v>5</v>
      </c>
      <c r="D1155" t="s">
        <v>63</v>
      </c>
      <c r="E1155">
        <v>120</v>
      </c>
      <c r="F1155">
        <v>2</v>
      </c>
      <c r="G1155">
        <v>62</v>
      </c>
      <c r="H1155">
        <v>99</v>
      </c>
      <c r="I1155">
        <v>90</v>
      </c>
    </row>
    <row r="1156" spans="1:9" x14ac:dyDescent="0.25">
      <c r="A1156">
        <v>2024</v>
      </c>
      <c r="B1156" s="4" t="s">
        <v>52</v>
      </c>
      <c r="C1156" s="1">
        <v>5</v>
      </c>
      <c r="D1156" t="s">
        <v>63</v>
      </c>
      <c r="E1156">
        <v>120</v>
      </c>
      <c r="F1156">
        <v>3</v>
      </c>
      <c r="G1156" t="s">
        <v>20</v>
      </c>
      <c r="H1156">
        <v>87</v>
      </c>
      <c r="I1156">
        <v>115</v>
      </c>
    </row>
    <row r="1157" spans="1:9" x14ac:dyDescent="0.25">
      <c r="A1157">
        <v>2024</v>
      </c>
      <c r="B1157" s="4" t="s">
        <v>64</v>
      </c>
      <c r="C1157" s="1">
        <v>2</v>
      </c>
      <c r="D1157" t="s">
        <v>65</v>
      </c>
      <c r="E1157">
        <v>120</v>
      </c>
      <c r="F1157">
        <v>1</v>
      </c>
      <c r="G1157">
        <v>74</v>
      </c>
      <c r="H1157">
        <v>75</v>
      </c>
      <c r="I1157">
        <v>129</v>
      </c>
    </row>
    <row r="1158" spans="1:9" x14ac:dyDescent="0.25">
      <c r="A1158">
        <v>2024</v>
      </c>
      <c r="B1158" s="4" t="s">
        <v>64</v>
      </c>
      <c r="C1158" s="1">
        <v>2</v>
      </c>
      <c r="D1158" t="s">
        <v>65</v>
      </c>
      <c r="E1158">
        <v>120</v>
      </c>
      <c r="F1158">
        <v>2</v>
      </c>
      <c r="G1158" t="s">
        <v>20</v>
      </c>
      <c r="H1158">
        <v>77</v>
      </c>
      <c r="I1158">
        <v>129</v>
      </c>
    </row>
    <row r="1159" spans="1:9" x14ac:dyDescent="0.25">
      <c r="A1159">
        <v>2024</v>
      </c>
      <c r="B1159" s="4" t="s">
        <v>64</v>
      </c>
      <c r="C1159" s="1">
        <v>2</v>
      </c>
      <c r="D1159" t="s">
        <v>65</v>
      </c>
      <c r="E1159">
        <v>120</v>
      </c>
      <c r="F1159">
        <v>3</v>
      </c>
      <c r="G1159" t="s">
        <v>20</v>
      </c>
      <c r="H1159">
        <v>76</v>
      </c>
      <c r="I1159">
        <v>124</v>
      </c>
    </row>
    <row r="1160" spans="1:9" x14ac:dyDescent="0.25">
      <c r="A1160">
        <v>2024</v>
      </c>
      <c r="B1160" s="4" t="s">
        <v>66</v>
      </c>
      <c r="C1160" s="1">
        <v>4</v>
      </c>
      <c r="D1160" t="s">
        <v>67</v>
      </c>
      <c r="E1160">
        <v>120</v>
      </c>
      <c r="F1160">
        <v>1</v>
      </c>
      <c r="G1160">
        <v>2</v>
      </c>
      <c r="H1160">
        <v>103</v>
      </c>
      <c r="I1160">
        <v>88</v>
      </c>
    </row>
    <row r="1161" spans="1:9" x14ac:dyDescent="0.25">
      <c r="A1161">
        <v>2024</v>
      </c>
      <c r="B1161" s="4" t="s">
        <v>66</v>
      </c>
      <c r="C1161" s="1">
        <v>4</v>
      </c>
      <c r="D1161" t="s">
        <v>67</v>
      </c>
      <c r="E1161">
        <v>120</v>
      </c>
      <c r="F1161">
        <v>2</v>
      </c>
      <c r="G1161">
        <v>4</v>
      </c>
      <c r="H1161">
        <v>109</v>
      </c>
      <c r="I1161">
        <v>100</v>
      </c>
    </row>
    <row r="1162" spans="1:9" x14ac:dyDescent="0.25">
      <c r="A1162">
        <v>2024</v>
      </c>
      <c r="B1162" s="4" t="s">
        <v>66</v>
      </c>
      <c r="C1162" s="1">
        <v>4</v>
      </c>
      <c r="D1162" t="s">
        <v>67</v>
      </c>
      <c r="E1162">
        <v>120</v>
      </c>
      <c r="F1162">
        <v>3</v>
      </c>
      <c r="G1162">
        <v>6</v>
      </c>
      <c r="H1162">
        <v>105</v>
      </c>
      <c r="I1162">
        <v>100</v>
      </c>
    </row>
    <row r="1163" spans="1:9" x14ac:dyDescent="0.25">
      <c r="A1163">
        <v>2024</v>
      </c>
      <c r="B1163" s="4" t="s">
        <v>64</v>
      </c>
      <c r="C1163" s="1">
        <v>2</v>
      </c>
      <c r="D1163" t="s">
        <v>68</v>
      </c>
      <c r="E1163">
        <v>120</v>
      </c>
      <c r="F1163">
        <v>1</v>
      </c>
      <c r="G1163">
        <v>80</v>
      </c>
      <c r="H1163">
        <v>74</v>
      </c>
      <c r="I1163">
        <v>107</v>
      </c>
    </row>
    <row r="1164" spans="1:9" x14ac:dyDescent="0.25">
      <c r="A1164">
        <v>2024</v>
      </c>
      <c r="B1164" s="4" t="s">
        <v>64</v>
      </c>
      <c r="C1164" s="1">
        <v>2</v>
      </c>
      <c r="D1164" t="s">
        <v>68</v>
      </c>
      <c r="E1164">
        <v>120</v>
      </c>
      <c r="F1164">
        <v>2</v>
      </c>
      <c r="G1164">
        <v>96</v>
      </c>
      <c r="H1164">
        <v>73</v>
      </c>
      <c r="I1164">
        <v>120</v>
      </c>
    </row>
    <row r="1165" spans="1:9" x14ac:dyDescent="0.25">
      <c r="A1165">
        <v>2024</v>
      </c>
      <c r="B1165" s="4" t="s">
        <v>64</v>
      </c>
      <c r="C1165" s="1">
        <v>2</v>
      </c>
      <c r="D1165" t="s">
        <v>68</v>
      </c>
      <c r="E1165">
        <v>120</v>
      </c>
      <c r="F1165">
        <v>3</v>
      </c>
      <c r="G1165">
        <v>100</v>
      </c>
      <c r="H1165">
        <v>73</v>
      </c>
      <c r="I1165">
        <v>102</v>
      </c>
    </row>
    <row r="1166" spans="1:9" x14ac:dyDescent="0.25">
      <c r="A1166">
        <v>2024</v>
      </c>
      <c r="B1166" s="4" t="s">
        <v>52</v>
      </c>
      <c r="C1166" s="1">
        <v>5</v>
      </c>
      <c r="D1166" t="s">
        <v>71</v>
      </c>
      <c r="E1166">
        <v>120</v>
      </c>
      <c r="F1166">
        <v>1</v>
      </c>
      <c r="G1166">
        <v>28</v>
      </c>
      <c r="H1166">
        <v>101</v>
      </c>
      <c r="I1166">
        <v>93</v>
      </c>
    </row>
    <row r="1167" spans="1:9" x14ac:dyDescent="0.25">
      <c r="A1167">
        <v>2024</v>
      </c>
      <c r="B1167" s="4" t="s">
        <v>52</v>
      </c>
      <c r="C1167" s="1">
        <v>5</v>
      </c>
      <c r="D1167" t="s">
        <v>71</v>
      </c>
      <c r="E1167">
        <v>120</v>
      </c>
      <c r="F1167">
        <v>2</v>
      </c>
      <c r="G1167">
        <v>24</v>
      </c>
      <c r="H1167">
        <v>101</v>
      </c>
      <c r="I1167">
        <v>108</v>
      </c>
    </row>
    <row r="1168" spans="1:9" x14ac:dyDescent="0.25">
      <c r="A1168">
        <v>2024</v>
      </c>
      <c r="B1168" s="4" t="s">
        <v>52</v>
      </c>
      <c r="C1168" s="1">
        <v>5</v>
      </c>
      <c r="D1168" t="s">
        <v>71</v>
      </c>
      <c r="E1168">
        <v>120</v>
      </c>
      <c r="F1168">
        <v>3</v>
      </c>
      <c r="G1168">
        <v>30</v>
      </c>
      <c r="H1168">
        <v>132</v>
      </c>
      <c r="I1168">
        <v>110</v>
      </c>
    </row>
    <row r="1169" spans="1:9" x14ac:dyDescent="0.25">
      <c r="A1169">
        <v>2024</v>
      </c>
      <c r="B1169" s="4" t="s">
        <v>69</v>
      </c>
      <c r="C1169" s="1">
        <v>2</v>
      </c>
      <c r="D1169" t="s">
        <v>72</v>
      </c>
      <c r="E1169">
        <v>120</v>
      </c>
      <c r="F1169">
        <v>1</v>
      </c>
      <c r="G1169">
        <v>88</v>
      </c>
      <c r="H1169">
        <v>84</v>
      </c>
      <c r="I1169">
        <v>97</v>
      </c>
    </row>
    <row r="1170" spans="1:9" x14ac:dyDescent="0.25">
      <c r="A1170">
        <v>2024</v>
      </c>
      <c r="B1170" s="4" t="s">
        <v>69</v>
      </c>
      <c r="C1170" s="1">
        <v>2</v>
      </c>
      <c r="D1170" t="s">
        <v>72</v>
      </c>
      <c r="E1170">
        <v>120</v>
      </c>
      <c r="F1170">
        <v>2</v>
      </c>
      <c r="G1170">
        <v>88</v>
      </c>
      <c r="H1170">
        <v>79</v>
      </c>
      <c r="I1170">
        <v>107</v>
      </c>
    </row>
    <row r="1171" spans="1:9" x14ac:dyDescent="0.25">
      <c r="A1171">
        <v>2024</v>
      </c>
      <c r="B1171" s="4" t="s">
        <v>69</v>
      </c>
      <c r="C1171" s="1">
        <v>2</v>
      </c>
      <c r="D1171" t="s">
        <v>72</v>
      </c>
      <c r="E1171">
        <v>120</v>
      </c>
      <c r="F1171">
        <v>3</v>
      </c>
      <c r="G1171" t="s">
        <v>20</v>
      </c>
      <c r="H1171">
        <v>84</v>
      </c>
      <c r="I1171">
        <v>100</v>
      </c>
    </row>
    <row r="1172" spans="1:9" x14ac:dyDescent="0.25">
      <c r="A1172">
        <v>2024</v>
      </c>
      <c r="B1172" s="4" t="s">
        <v>52</v>
      </c>
      <c r="C1172" s="1">
        <v>4</v>
      </c>
      <c r="D1172" t="s">
        <v>73</v>
      </c>
      <c r="E1172">
        <v>120</v>
      </c>
      <c r="F1172">
        <v>1</v>
      </c>
      <c r="G1172">
        <v>10</v>
      </c>
      <c r="H1172">
        <v>106</v>
      </c>
      <c r="I1172">
        <v>110</v>
      </c>
    </row>
    <row r="1173" spans="1:9" x14ac:dyDescent="0.25">
      <c r="A1173">
        <v>2024</v>
      </c>
      <c r="B1173" s="4" t="s">
        <v>52</v>
      </c>
      <c r="C1173" s="1">
        <v>4</v>
      </c>
      <c r="D1173" t="s">
        <v>73</v>
      </c>
      <c r="E1173">
        <v>120</v>
      </c>
      <c r="F1173">
        <v>2</v>
      </c>
      <c r="G1173">
        <v>12</v>
      </c>
      <c r="H1173">
        <v>112</v>
      </c>
      <c r="I1173">
        <v>90</v>
      </c>
    </row>
    <row r="1174" spans="1:9" x14ac:dyDescent="0.25">
      <c r="A1174">
        <v>2024</v>
      </c>
      <c r="B1174" s="4" t="s">
        <v>52</v>
      </c>
      <c r="C1174" s="1">
        <v>4</v>
      </c>
      <c r="D1174" t="s">
        <v>73</v>
      </c>
      <c r="E1174">
        <v>120</v>
      </c>
      <c r="F1174">
        <v>3</v>
      </c>
      <c r="G1174">
        <v>2</v>
      </c>
      <c r="H1174">
        <v>106</v>
      </c>
      <c r="I1174">
        <v>98</v>
      </c>
    </row>
    <row r="1175" spans="1:9" x14ac:dyDescent="0.25">
      <c r="A1175">
        <v>2024</v>
      </c>
      <c r="B1175" s="4" t="s">
        <v>75</v>
      </c>
      <c r="C1175" s="1">
        <v>4</v>
      </c>
      <c r="D1175" t="s">
        <v>77</v>
      </c>
      <c r="E1175">
        <v>120</v>
      </c>
      <c r="F1175">
        <v>1</v>
      </c>
      <c r="G1175">
        <v>40</v>
      </c>
      <c r="H1175">
        <v>116</v>
      </c>
      <c r="I1175">
        <v>93</v>
      </c>
    </row>
    <row r="1176" spans="1:9" x14ac:dyDescent="0.25">
      <c r="A1176">
        <v>2024</v>
      </c>
      <c r="B1176" s="4" t="s">
        <v>75</v>
      </c>
      <c r="C1176" s="1">
        <v>4</v>
      </c>
      <c r="D1176" t="s">
        <v>77</v>
      </c>
      <c r="E1176">
        <v>120</v>
      </c>
      <c r="F1176">
        <v>2</v>
      </c>
      <c r="G1176">
        <v>40</v>
      </c>
      <c r="H1176">
        <v>116</v>
      </c>
      <c r="I1176">
        <v>106</v>
      </c>
    </row>
    <row r="1177" spans="1:9" x14ac:dyDescent="0.25">
      <c r="A1177">
        <v>2024</v>
      </c>
      <c r="B1177" s="4" t="s">
        <v>75</v>
      </c>
      <c r="C1177" s="1">
        <v>4</v>
      </c>
      <c r="D1177" t="s">
        <v>77</v>
      </c>
      <c r="E1177">
        <v>120</v>
      </c>
      <c r="F1177">
        <v>3</v>
      </c>
      <c r="G1177">
        <v>44</v>
      </c>
      <c r="H1177">
        <v>119</v>
      </c>
      <c r="I1177">
        <v>98</v>
      </c>
    </row>
    <row r="1178" spans="1:9" x14ac:dyDescent="0.25">
      <c r="A1178">
        <v>2024</v>
      </c>
      <c r="B1178" s="4" t="s">
        <v>75</v>
      </c>
      <c r="C1178" s="1">
        <v>4</v>
      </c>
      <c r="D1178" t="s">
        <v>79</v>
      </c>
      <c r="E1178">
        <v>120</v>
      </c>
      <c r="F1178">
        <v>1</v>
      </c>
      <c r="G1178">
        <v>20</v>
      </c>
      <c r="H1178">
        <v>121</v>
      </c>
      <c r="I1178">
        <v>105</v>
      </c>
    </row>
    <row r="1179" spans="1:9" x14ac:dyDescent="0.25">
      <c r="A1179">
        <v>2024</v>
      </c>
      <c r="B1179" s="4" t="s">
        <v>75</v>
      </c>
      <c r="C1179" s="1">
        <v>4</v>
      </c>
      <c r="D1179" t="s">
        <v>79</v>
      </c>
      <c r="E1179">
        <v>120</v>
      </c>
      <c r="F1179">
        <v>2</v>
      </c>
      <c r="G1179">
        <v>24</v>
      </c>
      <c r="H1179">
        <v>124</v>
      </c>
      <c r="I1179">
        <v>105</v>
      </c>
    </row>
    <row r="1180" spans="1:9" x14ac:dyDescent="0.25">
      <c r="A1180">
        <v>2024</v>
      </c>
      <c r="B1180" s="4" t="s">
        <v>75</v>
      </c>
      <c r="C1180" s="1">
        <v>4</v>
      </c>
      <c r="D1180" t="s">
        <v>79</v>
      </c>
      <c r="E1180">
        <v>120</v>
      </c>
      <c r="F1180">
        <v>3</v>
      </c>
      <c r="G1180" t="s">
        <v>20</v>
      </c>
      <c r="H1180">
        <v>147</v>
      </c>
      <c r="I1180">
        <v>91</v>
      </c>
    </row>
    <row r="1181" spans="1:9" x14ac:dyDescent="0.25">
      <c r="A1181">
        <v>2024</v>
      </c>
      <c r="B1181" s="4" t="s">
        <v>64</v>
      </c>
      <c r="C1181" s="1">
        <v>3</v>
      </c>
      <c r="D1181" t="s">
        <v>80</v>
      </c>
      <c r="E1181">
        <v>120</v>
      </c>
      <c r="F1181">
        <v>1</v>
      </c>
      <c r="G1181">
        <v>54</v>
      </c>
      <c r="H1181">
        <v>95</v>
      </c>
      <c r="I1181">
        <v>116</v>
      </c>
    </row>
    <row r="1182" spans="1:9" x14ac:dyDescent="0.25">
      <c r="A1182">
        <v>2024</v>
      </c>
      <c r="B1182" s="4" t="s">
        <v>64</v>
      </c>
      <c r="C1182" s="1">
        <v>3</v>
      </c>
      <c r="D1182" t="s">
        <v>80</v>
      </c>
      <c r="E1182">
        <v>120</v>
      </c>
      <c r="F1182">
        <v>2</v>
      </c>
      <c r="G1182">
        <v>64</v>
      </c>
      <c r="H1182">
        <v>95</v>
      </c>
      <c r="I1182">
        <v>122</v>
      </c>
    </row>
    <row r="1183" spans="1:9" x14ac:dyDescent="0.25">
      <c r="A1183">
        <v>2024</v>
      </c>
      <c r="B1183" s="4" t="s">
        <v>64</v>
      </c>
      <c r="C1183" s="1">
        <v>3</v>
      </c>
      <c r="D1183" t="s">
        <v>80</v>
      </c>
      <c r="E1183">
        <v>120</v>
      </c>
      <c r="F1183">
        <v>3</v>
      </c>
      <c r="G1183" t="s">
        <v>20</v>
      </c>
      <c r="H1183">
        <v>99</v>
      </c>
      <c r="I1183">
        <v>115</v>
      </c>
    </row>
    <row r="1184" spans="1:9" x14ac:dyDescent="0.25">
      <c r="A1184">
        <v>2024</v>
      </c>
      <c r="B1184" s="4" t="s">
        <v>81</v>
      </c>
      <c r="C1184" s="1">
        <v>4</v>
      </c>
      <c r="D1184" t="s">
        <v>82</v>
      </c>
      <c r="E1184">
        <v>120</v>
      </c>
      <c r="F1184">
        <v>1</v>
      </c>
      <c r="G1184">
        <v>34</v>
      </c>
      <c r="H1184">
        <v>119</v>
      </c>
      <c r="I1184">
        <v>111</v>
      </c>
    </row>
    <row r="1185" spans="1:9" x14ac:dyDescent="0.25">
      <c r="A1185">
        <v>2024</v>
      </c>
      <c r="B1185" s="4" t="s">
        <v>81</v>
      </c>
      <c r="C1185" s="1">
        <v>4</v>
      </c>
      <c r="D1185" t="s">
        <v>82</v>
      </c>
      <c r="E1185">
        <v>120</v>
      </c>
      <c r="F1185">
        <v>2</v>
      </c>
      <c r="G1185" t="s">
        <v>20</v>
      </c>
      <c r="H1185">
        <v>116</v>
      </c>
      <c r="I1185">
        <v>122</v>
      </c>
    </row>
    <row r="1186" spans="1:9" x14ac:dyDescent="0.25">
      <c r="A1186">
        <v>2024</v>
      </c>
      <c r="B1186" s="4" t="s">
        <v>81</v>
      </c>
      <c r="C1186" s="1">
        <v>4</v>
      </c>
      <c r="D1186" t="s">
        <v>82</v>
      </c>
      <c r="E1186">
        <v>120</v>
      </c>
      <c r="F1186">
        <v>3</v>
      </c>
      <c r="G1186" t="s">
        <v>20</v>
      </c>
      <c r="H1186">
        <v>121</v>
      </c>
      <c r="I1186">
        <v>110</v>
      </c>
    </row>
    <row r="1187" spans="1:9" x14ac:dyDescent="0.25">
      <c r="A1187">
        <v>2024</v>
      </c>
      <c r="B1187" s="4" t="s">
        <v>58</v>
      </c>
      <c r="C1187" s="1">
        <v>2</v>
      </c>
      <c r="D1187" t="s">
        <v>85</v>
      </c>
      <c r="E1187">
        <v>120</v>
      </c>
      <c r="F1187">
        <v>1</v>
      </c>
      <c r="G1187">
        <v>48</v>
      </c>
      <c r="H1187">
        <v>137</v>
      </c>
      <c r="I1187">
        <v>120</v>
      </c>
    </row>
    <row r="1188" spans="1:9" x14ac:dyDescent="0.25">
      <c r="A1188">
        <v>2024</v>
      </c>
      <c r="B1188" s="4" t="s">
        <v>58</v>
      </c>
      <c r="C1188" s="1">
        <v>2</v>
      </c>
      <c r="D1188" t="s">
        <v>85</v>
      </c>
      <c r="E1188">
        <v>120</v>
      </c>
      <c r="F1188">
        <v>2</v>
      </c>
      <c r="G1188" t="s">
        <v>20</v>
      </c>
      <c r="H1188">
        <v>138</v>
      </c>
      <c r="I1188">
        <v>119</v>
      </c>
    </row>
    <row r="1189" spans="1:9" x14ac:dyDescent="0.25">
      <c r="A1189">
        <v>2024</v>
      </c>
      <c r="B1189" s="4" t="s">
        <v>58</v>
      </c>
      <c r="C1189" s="1">
        <v>2</v>
      </c>
      <c r="D1189" t="s">
        <v>85</v>
      </c>
      <c r="E1189">
        <v>120</v>
      </c>
      <c r="F1189">
        <v>3</v>
      </c>
      <c r="G1189" t="s">
        <v>20</v>
      </c>
      <c r="H1189">
        <v>137</v>
      </c>
      <c r="I1189">
        <v>109</v>
      </c>
    </row>
    <row r="1190" spans="1:9" x14ac:dyDescent="0.25">
      <c r="A1190">
        <v>2024</v>
      </c>
      <c r="B1190" s="4" t="s">
        <v>58</v>
      </c>
      <c r="C1190" s="1">
        <v>2</v>
      </c>
      <c r="D1190" t="s">
        <v>86</v>
      </c>
      <c r="E1190">
        <v>120</v>
      </c>
      <c r="F1190">
        <v>1</v>
      </c>
      <c r="G1190" t="s">
        <v>20</v>
      </c>
      <c r="H1190">
        <v>122</v>
      </c>
      <c r="I1190">
        <v>130</v>
      </c>
    </row>
    <row r="1191" spans="1:9" x14ac:dyDescent="0.25">
      <c r="A1191">
        <v>2024</v>
      </c>
      <c r="B1191" s="4" t="s">
        <v>58</v>
      </c>
      <c r="C1191" s="1">
        <v>2</v>
      </c>
      <c r="D1191" t="s">
        <v>86</v>
      </c>
      <c r="E1191">
        <v>120</v>
      </c>
      <c r="F1191">
        <v>2</v>
      </c>
      <c r="G1191" t="s">
        <v>20</v>
      </c>
      <c r="H1191">
        <v>137</v>
      </c>
      <c r="I1191">
        <v>113</v>
      </c>
    </row>
    <row r="1192" spans="1:9" x14ac:dyDescent="0.25">
      <c r="A1192">
        <v>2024</v>
      </c>
      <c r="B1192" s="4" t="s">
        <v>58</v>
      </c>
      <c r="C1192" s="1">
        <v>2</v>
      </c>
      <c r="D1192" t="s">
        <v>86</v>
      </c>
      <c r="E1192">
        <v>120</v>
      </c>
      <c r="F1192">
        <v>3</v>
      </c>
      <c r="G1192" t="s">
        <v>20</v>
      </c>
      <c r="H1192">
        <v>134</v>
      </c>
      <c r="I1192">
        <v>132</v>
      </c>
    </row>
    <row r="1193" spans="1:9" x14ac:dyDescent="0.25">
      <c r="A1193">
        <v>2024</v>
      </c>
      <c r="B1193" s="4" t="s">
        <v>14</v>
      </c>
      <c r="C1193" s="1" t="s">
        <v>20</v>
      </c>
      <c r="D1193" t="s">
        <v>90</v>
      </c>
      <c r="E1193">
        <v>120</v>
      </c>
      <c r="F1193">
        <v>1</v>
      </c>
      <c r="G1193">
        <v>54</v>
      </c>
      <c r="H1193">
        <v>139</v>
      </c>
      <c r="I1193">
        <v>120</v>
      </c>
    </row>
    <row r="1194" spans="1:9" x14ac:dyDescent="0.25">
      <c r="A1194">
        <v>2024</v>
      </c>
      <c r="B1194" s="4" t="s">
        <v>14</v>
      </c>
      <c r="C1194" s="1" t="s">
        <v>20</v>
      </c>
      <c r="D1194" t="s">
        <v>90</v>
      </c>
      <c r="E1194">
        <v>120</v>
      </c>
      <c r="F1194">
        <v>2</v>
      </c>
      <c r="G1194">
        <v>72</v>
      </c>
      <c r="H1194">
        <v>138</v>
      </c>
      <c r="I1194">
        <v>104</v>
      </c>
    </row>
    <row r="1195" spans="1:9" x14ac:dyDescent="0.25">
      <c r="A1195">
        <v>2024</v>
      </c>
      <c r="B1195" s="4" t="s">
        <v>14</v>
      </c>
      <c r="C1195" s="1" t="s">
        <v>20</v>
      </c>
      <c r="D1195" t="s">
        <v>90</v>
      </c>
      <c r="E1195">
        <v>120</v>
      </c>
      <c r="F1195">
        <v>3</v>
      </c>
      <c r="G1195" t="s">
        <v>20</v>
      </c>
      <c r="H1195">
        <v>146</v>
      </c>
      <c r="I1195">
        <v>101</v>
      </c>
    </row>
    <row r="1196" spans="1:9" x14ac:dyDescent="0.25">
      <c r="A1196">
        <v>2024</v>
      </c>
      <c r="B1196" s="4" t="s">
        <v>49</v>
      </c>
      <c r="C1196" s="1">
        <v>5</v>
      </c>
      <c r="D1196" t="s">
        <v>93</v>
      </c>
      <c r="E1196">
        <v>120</v>
      </c>
      <c r="F1196">
        <v>1</v>
      </c>
      <c r="G1196">
        <v>20</v>
      </c>
      <c r="H1196">
        <v>89</v>
      </c>
      <c r="I1196">
        <v>100</v>
      </c>
    </row>
    <row r="1197" spans="1:9" x14ac:dyDescent="0.25">
      <c r="A1197">
        <v>2024</v>
      </c>
      <c r="B1197" s="4" t="s">
        <v>49</v>
      </c>
      <c r="C1197" s="1">
        <v>5</v>
      </c>
      <c r="D1197" t="s">
        <v>93</v>
      </c>
      <c r="E1197">
        <v>120</v>
      </c>
      <c r="F1197">
        <v>2</v>
      </c>
      <c r="G1197" t="s">
        <v>20</v>
      </c>
      <c r="H1197">
        <v>85</v>
      </c>
      <c r="I1197">
        <v>81</v>
      </c>
    </row>
    <row r="1198" spans="1:9" x14ac:dyDescent="0.25">
      <c r="A1198">
        <v>2024</v>
      </c>
      <c r="B1198" s="4" t="s">
        <v>49</v>
      </c>
      <c r="C1198" s="1">
        <v>5</v>
      </c>
      <c r="D1198" t="s">
        <v>93</v>
      </c>
      <c r="E1198">
        <v>120</v>
      </c>
      <c r="F1198">
        <v>3</v>
      </c>
      <c r="G1198" t="s">
        <v>20</v>
      </c>
      <c r="H1198">
        <v>100</v>
      </c>
      <c r="I1198">
        <v>89</v>
      </c>
    </row>
    <row r="1199" spans="1:9" x14ac:dyDescent="0.25">
      <c r="A1199">
        <v>2024</v>
      </c>
      <c r="B1199" s="4" t="s">
        <v>94</v>
      </c>
      <c r="C1199" s="1">
        <v>4</v>
      </c>
      <c r="D1199" t="s">
        <v>95</v>
      </c>
      <c r="E1199">
        <v>120</v>
      </c>
      <c r="F1199">
        <v>1</v>
      </c>
      <c r="G1199">
        <v>28</v>
      </c>
      <c r="H1199">
        <v>135</v>
      </c>
      <c r="I1199">
        <v>107</v>
      </c>
    </row>
    <row r="1200" spans="1:9" x14ac:dyDescent="0.25">
      <c r="A1200">
        <v>2024</v>
      </c>
      <c r="B1200" s="4" t="s">
        <v>94</v>
      </c>
      <c r="C1200" s="1">
        <v>4</v>
      </c>
      <c r="D1200" t="s">
        <v>95</v>
      </c>
      <c r="E1200">
        <v>120</v>
      </c>
      <c r="F1200">
        <v>2</v>
      </c>
      <c r="G1200" t="s">
        <v>20</v>
      </c>
      <c r="H1200">
        <v>130</v>
      </c>
      <c r="I1200">
        <v>106</v>
      </c>
    </row>
    <row r="1201" spans="1:9" x14ac:dyDescent="0.25">
      <c r="A1201">
        <v>2024</v>
      </c>
      <c r="B1201" s="4" t="s">
        <v>94</v>
      </c>
      <c r="C1201" s="1">
        <v>4</v>
      </c>
      <c r="D1201" t="s">
        <v>95</v>
      </c>
      <c r="E1201">
        <v>120</v>
      </c>
      <c r="F1201">
        <v>3</v>
      </c>
      <c r="G1201" t="s">
        <v>20</v>
      </c>
      <c r="H1201">
        <v>124</v>
      </c>
      <c r="I1201">
        <v>102</v>
      </c>
    </row>
    <row r="1202" spans="1:9" x14ac:dyDescent="0.25">
      <c r="A1202">
        <v>2024</v>
      </c>
      <c r="B1202" s="4" t="s">
        <v>94</v>
      </c>
      <c r="C1202" s="1">
        <v>4</v>
      </c>
      <c r="D1202" t="s">
        <v>102</v>
      </c>
      <c r="E1202">
        <v>120</v>
      </c>
      <c r="F1202">
        <v>1</v>
      </c>
      <c r="G1202">
        <v>16</v>
      </c>
      <c r="H1202">
        <v>104</v>
      </c>
      <c r="I1202">
        <v>85</v>
      </c>
    </row>
    <row r="1203" spans="1:9" x14ac:dyDescent="0.25">
      <c r="A1203">
        <v>2024</v>
      </c>
      <c r="B1203" s="4" t="s">
        <v>94</v>
      </c>
      <c r="C1203" s="1">
        <v>4</v>
      </c>
      <c r="D1203" t="s">
        <v>102</v>
      </c>
      <c r="E1203">
        <v>120</v>
      </c>
      <c r="F1203">
        <v>2</v>
      </c>
      <c r="G1203">
        <v>10</v>
      </c>
      <c r="H1203">
        <v>104</v>
      </c>
      <c r="I1203">
        <v>102</v>
      </c>
    </row>
    <row r="1204" spans="1:9" x14ac:dyDescent="0.25">
      <c r="A1204">
        <v>2024</v>
      </c>
      <c r="B1204" s="4" t="s">
        <v>94</v>
      </c>
      <c r="C1204" s="1">
        <v>4</v>
      </c>
      <c r="D1204" t="s">
        <v>102</v>
      </c>
      <c r="E1204">
        <v>120</v>
      </c>
      <c r="F1204">
        <v>3</v>
      </c>
      <c r="G1204">
        <v>14</v>
      </c>
      <c r="H1204">
        <v>103</v>
      </c>
      <c r="I1204">
        <v>100</v>
      </c>
    </row>
    <row r="1205" spans="1:9" x14ac:dyDescent="0.25">
      <c r="A1205">
        <v>2024</v>
      </c>
      <c r="B1205" s="4" t="s">
        <v>94</v>
      </c>
      <c r="C1205" s="1">
        <v>5</v>
      </c>
      <c r="D1205" t="s">
        <v>103</v>
      </c>
      <c r="E1205">
        <v>120</v>
      </c>
      <c r="F1205">
        <v>1</v>
      </c>
      <c r="G1205">
        <v>60</v>
      </c>
      <c r="H1205">
        <v>106</v>
      </c>
      <c r="I1205">
        <v>103</v>
      </c>
    </row>
    <row r="1206" spans="1:9" x14ac:dyDescent="0.25">
      <c r="A1206">
        <v>2024</v>
      </c>
      <c r="B1206" s="4" t="s">
        <v>94</v>
      </c>
      <c r="C1206" s="1">
        <v>5</v>
      </c>
      <c r="D1206" t="s">
        <v>103</v>
      </c>
      <c r="E1206">
        <v>120</v>
      </c>
      <c r="F1206">
        <v>2</v>
      </c>
      <c r="G1206">
        <v>64</v>
      </c>
      <c r="H1206">
        <v>110</v>
      </c>
      <c r="I1206">
        <v>90</v>
      </c>
    </row>
    <row r="1207" spans="1:9" x14ac:dyDescent="0.25">
      <c r="A1207">
        <v>2024</v>
      </c>
      <c r="B1207" s="4" t="s">
        <v>94</v>
      </c>
      <c r="C1207" s="1">
        <v>5</v>
      </c>
      <c r="D1207" t="s">
        <v>103</v>
      </c>
      <c r="E1207">
        <v>120</v>
      </c>
      <c r="F1207">
        <v>3</v>
      </c>
      <c r="G1207" t="s">
        <v>20</v>
      </c>
      <c r="H1207">
        <v>110</v>
      </c>
      <c r="I1207">
        <v>101</v>
      </c>
    </row>
    <row r="1208" spans="1:9" x14ac:dyDescent="0.25">
      <c r="A1208">
        <v>2024</v>
      </c>
      <c r="B1208" s="4" t="s">
        <v>94</v>
      </c>
      <c r="C1208" s="1">
        <v>4</v>
      </c>
      <c r="D1208" t="s">
        <v>104</v>
      </c>
      <c r="E1208">
        <v>120</v>
      </c>
      <c r="F1208">
        <v>1</v>
      </c>
      <c r="G1208">
        <v>54</v>
      </c>
      <c r="H1208">
        <v>121</v>
      </c>
      <c r="I1208">
        <v>138</v>
      </c>
    </row>
    <row r="1209" spans="1:9" x14ac:dyDescent="0.25">
      <c r="A1209">
        <v>2024</v>
      </c>
      <c r="B1209" s="4" t="s">
        <v>94</v>
      </c>
      <c r="C1209" s="1">
        <v>4</v>
      </c>
      <c r="D1209" t="s">
        <v>104</v>
      </c>
      <c r="E1209">
        <v>120</v>
      </c>
      <c r="F1209">
        <v>2</v>
      </c>
      <c r="G1209" t="s">
        <v>20</v>
      </c>
      <c r="H1209">
        <v>124</v>
      </c>
      <c r="I1209">
        <v>132</v>
      </c>
    </row>
    <row r="1210" spans="1:9" x14ac:dyDescent="0.25">
      <c r="A1210">
        <v>2024</v>
      </c>
      <c r="B1210" s="4" t="s">
        <v>94</v>
      </c>
      <c r="C1210" s="1">
        <v>4</v>
      </c>
      <c r="D1210" t="s">
        <v>104</v>
      </c>
      <c r="E1210">
        <v>120</v>
      </c>
      <c r="F1210">
        <v>3</v>
      </c>
      <c r="G1210" t="s">
        <v>20</v>
      </c>
      <c r="H1210">
        <v>124</v>
      </c>
      <c r="I1210">
        <v>122</v>
      </c>
    </row>
    <row r="1211" spans="1:9" x14ac:dyDescent="0.25">
      <c r="A1211">
        <v>2024</v>
      </c>
      <c r="B1211" s="4" t="s">
        <v>94</v>
      </c>
      <c r="C1211" s="1">
        <v>5</v>
      </c>
      <c r="D1211" t="s">
        <v>105</v>
      </c>
      <c r="E1211">
        <v>120</v>
      </c>
      <c r="F1211">
        <v>1</v>
      </c>
      <c r="G1211">
        <v>12</v>
      </c>
      <c r="H1211">
        <v>121</v>
      </c>
      <c r="I1211">
        <v>88</v>
      </c>
    </row>
    <row r="1212" spans="1:9" x14ac:dyDescent="0.25">
      <c r="A1212">
        <v>2024</v>
      </c>
      <c r="B1212" s="4" t="s">
        <v>94</v>
      </c>
      <c r="C1212" s="1">
        <v>5</v>
      </c>
      <c r="D1212" t="s">
        <v>105</v>
      </c>
      <c r="E1212">
        <v>120</v>
      </c>
      <c r="F1212">
        <v>2</v>
      </c>
      <c r="G1212">
        <v>4</v>
      </c>
      <c r="H1212">
        <v>118</v>
      </c>
      <c r="I1212">
        <v>94</v>
      </c>
    </row>
    <row r="1213" spans="1:9" x14ac:dyDescent="0.25">
      <c r="A1213">
        <v>2024</v>
      </c>
      <c r="B1213" s="4" t="s">
        <v>94</v>
      </c>
      <c r="C1213" s="1">
        <v>5</v>
      </c>
      <c r="D1213" t="s">
        <v>105</v>
      </c>
      <c r="E1213">
        <v>120</v>
      </c>
      <c r="F1213">
        <v>3</v>
      </c>
      <c r="G1213">
        <v>14</v>
      </c>
      <c r="H1213">
        <v>119</v>
      </c>
      <c r="I1213">
        <v>80</v>
      </c>
    </row>
    <row r="1214" spans="1:9" x14ac:dyDescent="0.25">
      <c r="A1214">
        <v>2024</v>
      </c>
      <c r="B1214" s="4" t="s">
        <v>94</v>
      </c>
      <c r="C1214" s="1">
        <v>4</v>
      </c>
      <c r="D1214" t="s">
        <v>106</v>
      </c>
      <c r="E1214">
        <v>120</v>
      </c>
      <c r="F1214">
        <v>1</v>
      </c>
      <c r="G1214">
        <v>22</v>
      </c>
      <c r="H1214">
        <v>117</v>
      </c>
      <c r="I1214">
        <v>100</v>
      </c>
    </row>
    <row r="1215" spans="1:9" x14ac:dyDescent="0.25">
      <c r="A1215">
        <v>2024</v>
      </c>
      <c r="B1215" s="4" t="s">
        <v>94</v>
      </c>
      <c r="C1215" s="1">
        <v>4</v>
      </c>
      <c r="D1215" t="s">
        <v>106</v>
      </c>
      <c r="E1215">
        <v>120</v>
      </c>
      <c r="F1215">
        <v>2</v>
      </c>
      <c r="G1215" t="s">
        <v>20</v>
      </c>
      <c r="H1215">
        <v>113</v>
      </c>
      <c r="I1215">
        <v>110</v>
      </c>
    </row>
    <row r="1216" spans="1:9" x14ac:dyDescent="0.25">
      <c r="A1216">
        <v>2024</v>
      </c>
      <c r="B1216" s="4" t="s">
        <v>94</v>
      </c>
      <c r="C1216" s="1">
        <v>4</v>
      </c>
      <c r="D1216" t="s">
        <v>106</v>
      </c>
      <c r="E1216">
        <v>120</v>
      </c>
      <c r="F1216">
        <v>3</v>
      </c>
      <c r="G1216" t="s">
        <v>20</v>
      </c>
      <c r="H1216">
        <v>108</v>
      </c>
      <c r="I1216">
        <v>110</v>
      </c>
    </row>
    <row r="1217" spans="1:9" x14ac:dyDescent="0.25">
      <c r="A1217">
        <v>2024</v>
      </c>
      <c r="B1217" s="4" t="s">
        <v>94</v>
      </c>
      <c r="C1217" s="1">
        <v>4</v>
      </c>
      <c r="D1217" t="s">
        <v>107</v>
      </c>
      <c r="E1217">
        <v>120</v>
      </c>
      <c r="F1217">
        <v>1</v>
      </c>
      <c r="G1217">
        <v>2</v>
      </c>
      <c r="H1217">
        <v>116</v>
      </c>
      <c r="I1217">
        <v>106</v>
      </c>
    </row>
    <row r="1218" spans="1:9" x14ac:dyDescent="0.25">
      <c r="A1218">
        <v>2024</v>
      </c>
      <c r="B1218" s="4" t="s">
        <v>94</v>
      </c>
      <c r="C1218" s="1">
        <v>4</v>
      </c>
      <c r="D1218" t="s">
        <v>107</v>
      </c>
      <c r="E1218">
        <v>120</v>
      </c>
      <c r="F1218">
        <v>2</v>
      </c>
      <c r="G1218" t="s">
        <v>20</v>
      </c>
      <c r="H1218">
        <v>116</v>
      </c>
      <c r="I1218">
        <v>86</v>
      </c>
    </row>
    <row r="1219" spans="1:9" x14ac:dyDescent="0.25">
      <c r="A1219">
        <v>2024</v>
      </c>
      <c r="B1219" s="4" t="s">
        <v>94</v>
      </c>
      <c r="C1219" s="1">
        <v>4</v>
      </c>
      <c r="D1219" t="s">
        <v>107</v>
      </c>
      <c r="E1219">
        <v>120</v>
      </c>
      <c r="F1219">
        <v>3</v>
      </c>
      <c r="G1219" t="s">
        <v>20</v>
      </c>
      <c r="H1219" t="s">
        <v>20</v>
      </c>
      <c r="I1219">
        <v>100</v>
      </c>
    </row>
    <row r="1220" spans="1:9" x14ac:dyDescent="0.25">
      <c r="A1220">
        <v>2024</v>
      </c>
      <c r="B1220" s="4" t="s">
        <v>94</v>
      </c>
      <c r="C1220" s="1">
        <v>4</v>
      </c>
      <c r="D1220" t="s">
        <v>108</v>
      </c>
      <c r="E1220">
        <v>120</v>
      </c>
      <c r="F1220">
        <v>1</v>
      </c>
      <c r="G1220">
        <v>32</v>
      </c>
      <c r="H1220">
        <v>101</v>
      </c>
      <c r="I1220">
        <v>102</v>
      </c>
    </row>
    <row r="1221" spans="1:9" x14ac:dyDescent="0.25">
      <c r="A1221">
        <v>2024</v>
      </c>
      <c r="B1221" s="4" t="s">
        <v>94</v>
      </c>
      <c r="C1221" s="1">
        <v>4</v>
      </c>
      <c r="D1221" t="s">
        <v>108</v>
      </c>
      <c r="E1221">
        <v>120</v>
      </c>
      <c r="F1221">
        <v>2</v>
      </c>
      <c r="G1221">
        <v>36</v>
      </c>
      <c r="H1221">
        <v>102</v>
      </c>
      <c r="I1221">
        <v>106</v>
      </c>
    </row>
    <row r="1222" spans="1:9" x14ac:dyDescent="0.25">
      <c r="A1222">
        <v>2024</v>
      </c>
      <c r="B1222" s="4" t="s">
        <v>94</v>
      </c>
      <c r="C1222" s="1">
        <v>4</v>
      </c>
      <c r="D1222" t="s">
        <v>108</v>
      </c>
      <c r="E1222">
        <v>120</v>
      </c>
      <c r="F1222">
        <v>3</v>
      </c>
      <c r="G1222" t="s">
        <v>20</v>
      </c>
      <c r="H1222">
        <v>100</v>
      </c>
      <c r="I1222">
        <v>102</v>
      </c>
    </row>
    <row r="1223" spans="1:9" x14ac:dyDescent="0.25">
      <c r="A1223">
        <v>2024</v>
      </c>
      <c r="B1223" s="4" t="s">
        <v>94</v>
      </c>
      <c r="C1223" s="1">
        <v>4</v>
      </c>
      <c r="D1223" t="s">
        <v>109</v>
      </c>
      <c r="E1223">
        <v>120</v>
      </c>
      <c r="F1223">
        <v>1</v>
      </c>
      <c r="G1223">
        <v>24</v>
      </c>
      <c r="H1223">
        <v>105</v>
      </c>
      <c r="I1223">
        <v>115</v>
      </c>
    </row>
    <row r="1224" spans="1:9" x14ac:dyDescent="0.25">
      <c r="A1224">
        <v>2024</v>
      </c>
      <c r="B1224" s="4" t="s">
        <v>94</v>
      </c>
      <c r="C1224" s="1">
        <v>4</v>
      </c>
      <c r="D1224" t="s">
        <v>109</v>
      </c>
      <c r="E1224">
        <v>120</v>
      </c>
      <c r="F1224">
        <v>2</v>
      </c>
      <c r="G1224" t="s">
        <v>20</v>
      </c>
      <c r="H1224">
        <v>111</v>
      </c>
      <c r="I1224">
        <v>110</v>
      </c>
    </row>
    <row r="1225" spans="1:9" x14ac:dyDescent="0.25">
      <c r="A1225">
        <v>2024</v>
      </c>
      <c r="B1225" s="4" t="s">
        <v>94</v>
      </c>
      <c r="C1225" s="1">
        <v>4</v>
      </c>
      <c r="D1225" t="s">
        <v>109</v>
      </c>
      <c r="E1225">
        <v>120</v>
      </c>
      <c r="F1225">
        <v>3</v>
      </c>
      <c r="G1225" t="s">
        <v>20</v>
      </c>
      <c r="H1225">
        <v>112</v>
      </c>
      <c r="I1225">
        <v>112</v>
      </c>
    </row>
    <row r="1226" spans="1:9" x14ac:dyDescent="0.25">
      <c r="A1226">
        <v>2024</v>
      </c>
      <c r="B1226" s="4" t="s">
        <v>94</v>
      </c>
      <c r="C1226" s="1">
        <v>4</v>
      </c>
      <c r="D1226" t="s">
        <v>110</v>
      </c>
      <c r="E1226">
        <v>120</v>
      </c>
      <c r="F1226">
        <v>1</v>
      </c>
      <c r="G1226">
        <v>42</v>
      </c>
      <c r="H1226">
        <v>113</v>
      </c>
      <c r="I1226">
        <v>105</v>
      </c>
    </row>
    <row r="1227" spans="1:9" x14ac:dyDescent="0.25">
      <c r="A1227">
        <v>2024</v>
      </c>
      <c r="B1227" s="4" t="s">
        <v>94</v>
      </c>
      <c r="C1227" s="1">
        <v>4</v>
      </c>
      <c r="D1227" t="s">
        <v>110</v>
      </c>
      <c r="E1227">
        <v>120</v>
      </c>
      <c r="F1227">
        <v>2</v>
      </c>
      <c r="G1227">
        <v>40</v>
      </c>
      <c r="H1227">
        <v>116</v>
      </c>
      <c r="I1227">
        <v>116</v>
      </c>
    </row>
    <row r="1228" spans="1:9" x14ac:dyDescent="0.25">
      <c r="A1228">
        <v>2024</v>
      </c>
      <c r="B1228" s="4" t="s">
        <v>94</v>
      </c>
      <c r="C1228" s="1">
        <v>4</v>
      </c>
      <c r="D1228" t="s">
        <v>110</v>
      </c>
      <c r="E1228">
        <v>120</v>
      </c>
      <c r="F1228">
        <v>3</v>
      </c>
      <c r="G1228" t="s">
        <v>20</v>
      </c>
      <c r="H1228">
        <v>117</v>
      </c>
      <c r="I1228">
        <v>104</v>
      </c>
    </row>
    <row r="1229" spans="1:9" x14ac:dyDescent="0.25">
      <c r="A1229">
        <v>2024</v>
      </c>
      <c r="B1229" s="4" t="s">
        <v>94</v>
      </c>
      <c r="C1229" s="1">
        <v>5</v>
      </c>
      <c r="D1229" t="s">
        <v>111</v>
      </c>
      <c r="E1229">
        <v>120</v>
      </c>
      <c r="F1229">
        <v>1</v>
      </c>
      <c r="G1229">
        <v>4</v>
      </c>
      <c r="H1229">
        <v>101</v>
      </c>
      <c r="I1229">
        <v>105</v>
      </c>
    </row>
    <row r="1230" spans="1:9" x14ac:dyDescent="0.25">
      <c r="A1230">
        <v>2024</v>
      </c>
      <c r="B1230" s="4" t="s">
        <v>94</v>
      </c>
      <c r="C1230" s="1">
        <v>5</v>
      </c>
      <c r="D1230" t="s">
        <v>111</v>
      </c>
      <c r="E1230">
        <v>120</v>
      </c>
      <c r="F1230">
        <v>2</v>
      </c>
      <c r="G1230">
        <v>6</v>
      </c>
      <c r="H1230">
        <v>106</v>
      </c>
      <c r="I1230">
        <v>104</v>
      </c>
    </row>
    <row r="1231" spans="1:9" x14ac:dyDescent="0.25">
      <c r="A1231">
        <v>2024</v>
      </c>
      <c r="B1231" s="4" t="s">
        <v>94</v>
      </c>
      <c r="C1231" s="1">
        <v>5</v>
      </c>
      <c r="D1231" t="s">
        <v>111</v>
      </c>
      <c r="E1231">
        <v>120</v>
      </c>
      <c r="F1231">
        <v>3</v>
      </c>
      <c r="G1231" t="s">
        <v>20</v>
      </c>
      <c r="H1231">
        <v>105</v>
      </c>
      <c r="I1231">
        <v>113</v>
      </c>
    </row>
    <row r="1232" spans="1:9" x14ac:dyDescent="0.25">
      <c r="A1232">
        <v>2024</v>
      </c>
      <c r="B1232" s="4" t="s">
        <v>94</v>
      </c>
      <c r="C1232" s="1">
        <v>4</v>
      </c>
      <c r="D1232" t="s">
        <v>112</v>
      </c>
      <c r="E1232">
        <v>120</v>
      </c>
      <c r="F1232">
        <v>1</v>
      </c>
      <c r="G1232">
        <v>36</v>
      </c>
      <c r="H1232">
        <v>104</v>
      </c>
      <c r="I1232">
        <v>108</v>
      </c>
    </row>
    <row r="1233" spans="1:9" x14ac:dyDescent="0.25">
      <c r="A1233">
        <v>2024</v>
      </c>
      <c r="B1233" s="4" t="s">
        <v>94</v>
      </c>
      <c r="C1233" s="1">
        <v>4</v>
      </c>
      <c r="D1233" t="s">
        <v>112</v>
      </c>
      <c r="E1233">
        <v>120</v>
      </c>
      <c r="F1233">
        <v>2</v>
      </c>
      <c r="G1233" t="s">
        <v>20</v>
      </c>
      <c r="H1233">
        <v>104</v>
      </c>
      <c r="I1233">
        <v>116</v>
      </c>
    </row>
    <row r="1234" spans="1:9" x14ac:dyDescent="0.25">
      <c r="A1234">
        <v>2024</v>
      </c>
      <c r="B1234" s="4" t="s">
        <v>94</v>
      </c>
      <c r="C1234" s="1">
        <v>4</v>
      </c>
      <c r="D1234" t="s">
        <v>112</v>
      </c>
      <c r="E1234">
        <v>120</v>
      </c>
      <c r="F1234">
        <v>3</v>
      </c>
      <c r="G1234" t="s">
        <v>20</v>
      </c>
      <c r="H1234">
        <v>116</v>
      </c>
      <c r="I1234">
        <v>101</v>
      </c>
    </row>
    <row r="1235" spans="1:9" x14ac:dyDescent="0.25">
      <c r="A1235">
        <v>2024</v>
      </c>
      <c r="B1235" s="4" t="s">
        <v>94</v>
      </c>
      <c r="C1235" s="1">
        <v>4</v>
      </c>
      <c r="D1235" t="s">
        <v>113</v>
      </c>
      <c r="E1235">
        <v>120</v>
      </c>
      <c r="F1235">
        <v>1</v>
      </c>
      <c r="G1235">
        <v>30</v>
      </c>
      <c r="H1235">
        <v>116</v>
      </c>
      <c r="I1235">
        <v>90</v>
      </c>
    </row>
    <row r="1236" spans="1:9" x14ac:dyDescent="0.25">
      <c r="A1236">
        <v>2024</v>
      </c>
      <c r="B1236" s="4" t="s">
        <v>94</v>
      </c>
      <c r="C1236" s="1">
        <v>4</v>
      </c>
      <c r="D1236" t="s">
        <v>113</v>
      </c>
      <c r="E1236">
        <v>120</v>
      </c>
      <c r="F1236">
        <v>2</v>
      </c>
      <c r="G1236">
        <v>36</v>
      </c>
      <c r="H1236">
        <v>106</v>
      </c>
      <c r="I1236">
        <v>105</v>
      </c>
    </row>
    <row r="1237" spans="1:9" x14ac:dyDescent="0.25">
      <c r="A1237">
        <v>2024</v>
      </c>
      <c r="B1237" s="4" t="s">
        <v>94</v>
      </c>
      <c r="C1237" s="1">
        <v>4</v>
      </c>
      <c r="D1237" t="s">
        <v>113</v>
      </c>
      <c r="E1237">
        <v>120</v>
      </c>
      <c r="F1237">
        <v>3</v>
      </c>
      <c r="G1237" t="s">
        <v>20</v>
      </c>
      <c r="H1237">
        <v>109</v>
      </c>
      <c r="I1237">
        <v>91</v>
      </c>
    </row>
    <row r="1238" spans="1:9" x14ac:dyDescent="0.25">
      <c r="A1238">
        <v>2024</v>
      </c>
      <c r="B1238" s="4" t="s">
        <v>94</v>
      </c>
      <c r="C1238" s="1">
        <v>4</v>
      </c>
      <c r="D1238" t="s">
        <v>114</v>
      </c>
      <c r="E1238">
        <v>120</v>
      </c>
      <c r="F1238">
        <v>1</v>
      </c>
      <c r="G1238">
        <v>36</v>
      </c>
      <c r="H1238">
        <v>112</v>
      </c>
      <c r="I1238">
        <v>95</v>
      </c>
    </row>
    <row r="1239" spans="1:9" x14ac:dyDescent="0.25">
      <c r="A1239">
        <v>2024</v>
      </c>
      <c r="B1239" s="4" t="s">
        <v>94</v>
      </c>
      <c r="C1239" s="1">
        <v>4</v>
      </c>
      <c r="D1239" t="s">
        <v>114</v>
      </c>
      <c r="E1239">
        <v>120</v>
      </c>
      <c r="F1239">
        <v>2</v>
      </c>
      <c r="G1239" t="s">
        <v>20</v>
      </c>
      <c r="H1239">
        <v>118</v>
      </c>
      <c r="I1239">
        <v>110</v>
      </c>
    </row>
    <row r="1240" spans="1:9" x14ac:dyDescent="0.25">
      <c r="A1240">
        <v>2024</v>
      </c>
      <c r="B1240" s="4" t="s">
        <v>94</v>
      </c>
      <c r="C1240" s="1">
        <v>4</v>
      </c>
      <c r="D1240" t="s">
        <v>114</v>
      </c>
      <c r="E1240">
        <v>120</v>
      </c>
      <c r="F1240">
        <v>3</v>
      </c>
      <c r="G1240" t="s">
        <v>20</v>
      </c>
      <c r="H1240">
        <v>116</v>
      </c>
      <c r="I1240">
        <v>100</v>
      </c>
    </row>
    <row r="1241" spans="1:9" x14ac:dyDescent="0.25">
      <c r="A1241">
        <v>2024</v>
      </c>
      <c r="B1241" s="4" t="s">
        <v>94</v>
      </c>
      <c r="C1241" s="1">
        <v>4</v>
      </c>
      <c r="D1241" t="s">
        <v>116</v>
      </c>
      <c r="E1241">
        <v>120</v>
      </c>
      <c r="F1241">
        <v>1</v>
      </c>
      <c r="G1241">
        <v>88</v>
      </c>
      <c r="H1241">
        <v>116</v>
      </c>
      <c r="I1241">
        <v>97</v>
      </c>
    </row>
    <row r="1242" spans="1:9" x14ac:dyDescent="0.25">
      <c r="A1242">
        <v>2024</v>
      </c>
      <c r="B1242" s="4" t="s">
        <v>94</v>
      </c>
      <c r="C1242" s="1">
        <v>4</v>
      </c>
      <c r="D1242" t="s">
        <v>116</v>
      </c>
      <c r="E1242">
        <v>120</v>
      </c>
      <c r="F1242">
        <v>2</v>
      </c>
      <c r="G1242">
        <v>84</v>
      </c>
      <c r="H1242">
        <v>122</v>
      </c>
      <c r="I1242">
        <v>114</v>
      </c>
    </row>
    <row r="1243" spans="1:9" x14ac:dyDescent="0.25">
      <c r="A1243">
        <v>2024</v>
      </c>
      <c r="B1243" s="4" t="s">
        <v>94</v>
      </c>
      <c r="C1243" s="1">
        <v>4</v>
      </c>
      <c r="D1243" t="s">
        <v>116</v>
      </c>
      <c r="E1243">
        <v>120</v>
      </c>
      <c r="F1243">
        <v>3</v>
      </c>
      <c r="G1243" t="s">
        <v>20</v>
      </c>
      <c r="H1243">
        <v>121</v>
      </c>
      <c r="I1243">
        <v>110</v>
      </c>
    </row>
    <row r="1244" spans="1:9" x14ac:dyDescent="0.25">
      <c r="A1244">
        <v>2024</v>
      </c>
      <c r="B1244" s="4" t="s">
        <v>94</v>
      </c>
      <c r="C1244" s="1">
        <v>4</v>
      </c>
      <c r="D1244" t="s">
        <v>117</v>
      </c>
      <c r="E1244">
        <v>120</v>
      </c>
      <c r="F1244">
        <v>1</v>
      </c>
      <c r="G1244">
        <v>26</v>
      </c>
      <c r="H1244">
        <v>115</v>
      </c>
      <c r="I1244">
        <v>113</v>
      </c>
    </row>
    <row r="1245" spans="1:9" x14ac:dyDescent="0.25">
      <c r="A1245">
        <v>2024</v>
      </c>
      <c r="B1245" s="4" t="s">
        <v>94</v>
      </c>
      <c r="C1245" s="1">
        <v>4</v>
      </c>
      <c r="D1245" t="s">
        <v>117</v>
      </c>
      <c r="E1245">
        <v>120</v>
      </c>
      <c r="F1245">
        <v>2</v>
      </c>
      <c r="G1245">
        <v>34</v>
      </c>
      <c r="H1245">
        <v>109</v>
      </c>
      <c r="I1245">
        <v>106</v>
      </c>
    </row>
    <row r="1246" spans="1:9" x14ac:dyDescent="0.25">
      <c r="A1246">
        <v>2024</v>
      </c>
      <c r="B1246" s="4" t="s">
        <v>94</v>
      </c>
      <c r="C1246" s="1">
        <v>4</v>
      </c>
      <c r="D1246" t="s">
        <v>117</v>
      </c>
      <c r="E1246">
        <v>120</v>
      </c>
      <c r="F1246">
        <v>3</v>
      </c>
      <c r="G1246" t="s">
        <v>20</v>
      </c>
      <c r="H1246">
        <v>112</v>
      </c>
      <c r="I1246">
        <v>113</v>
      </c>
    </row>
    <row r="1247" spans="1:9" x14ac:dyDescent="0.25">
      <c r="A1247">
        <v>2024</v>
      </c>
      <c r="B1247" s="4" t="s">
        <v>14</v>
      </c>
      <c r="C1247" s="1">
        <v>1</v>
      </c>
      <c r="D1247" t="s">
        <v>118</v>
      </c>
      <c r="E1247">
        <v>120</v>
      </c>
      <c r="F1247">
        <v>1</v>
      </c>
      <c r="G1247">
        <v>40</v>
      </c>
      <c r="H1247">
        <v>113</v>
      </c>
      <c r="I1247">
        <v>120</v>
      </c>
    </row>
    <row r="1248" spans="1:9" x14ac:dyDescent="0.25">
      <c r="A1248">
        <v>2024</v>
      </c>
      <c r="B1248" s="4" t="s">
        <v>14</v>
      </c>
      <c r="C1248" s="1">
        <v>1</v>
      </c>
      <c r="D1248" t="s">
        <v>118</v>
      </c>
      <c r="E1248">
        <v>120</v>
      </c>
      <c r="F1248">
        <v>2</v>
      </c>
      <c r="G1248">
        <v>48</v>
      </c>
      <c r="H1248">
        <v>116</v>
      </c>
      <c r="I1248">
        <v>110</v>
      </c>
    </row>
    <row r="1249" spans="1:9" x14ac:dyDescent="0.25">
      <c r="A1249">
        <v>2024</v>
      </c>
      <c r="B1249" s="4" t="s">
        <v>14</v>
      </c>
      <c r="C1249" s="1">
        <v>1</v>
      </c>
      <c r="D1249" t="s">
        <v>118</v>
      </c>
      <c r="E1249">
        <v>120</v>
      </c>
      <c r="F1249">
        <v>3</v>
      </c>
      <c r="G1249" t="s">
        <v>20</v>
      </c>
      <c r="H1249">
        <v>116</v>
      </c>
      <c r="I1249">
        <v>121</v>
      </c>
    </row>
    <row r="1250" spans="1:9" x14ac:dyDescent="0.25">
      <c r="A1250">
        <v>2024</v>
      </c>
      <c r="B1250" s="4" t="s">
        <v>94</v>
      </c>
      <c r="C1250" s="1">
        <v>4</v>
      </c>
      <c r="D1250" t="s">
        <v>119</v>
      </c>
      <c r="E1250">
        <v>120</v>
      </c>
      <c r="F1250">
        <v>1</v>
      </c>
      <c r="G1250">
        <v>56</v>
      </c>
      <c r="H1250">
        <v>101</v>
      </c>
      <c r="I1250">
        <v>102</v>
      </c>
    </row>
    <row r="1251" spans="1:9" x14ac:dyDescent="0.25">
      <c r="A1251">
        <v>2024</v>
      </c>
      <c r="B1251" s="4" t="s">
        <v>94</v>
      </c>
      <c r="C1251" s="1">
        <v>4</v>
      </c>
      <c r="D1251" t="s">
        <v>119</v>
      </c>
      <c r="E1251">
        <v>120</v>
      </c>
      <c r="F1251">
        <v>2</v>
      </c>
      <c r="G1251" t="s">
        <v>20</v>
      </c>
      <c r="H1251" t="s">
        <v>20</v>
      </c>
      <c r="I1251" t="s">
        <v>20</v>
      </c>
    </row>
    <row r="1252" spans="1:9" x14ac:dyDescent="0.25">
      <c r="A1252">
        <v>2024</v>
      </c>
      <c r="B1252" s="4" t="s">
        <v>94</v>
      </c>
      <c r="C1252" s="1">
        <v>4</v>
      </c>
      <c r="D1252" t="s">
        <v>119</v>
      </c>
      <c r="E1252">
        <v>120</v>
      </c>
      <c r="F1252">
        <v>3</v>
      </c>
      <c r="G1252" t="s">
        <v>20</v>
      </c>
      <c r="H1252">
        <v>104</v>
      </c>
      <c r="I1252">
        <v>118</v>
      </c>
    </row>
    <row r="1253" spans="1:9" x14ac:dyDescent="0.25">
      <c r="A1253">
        <v>2024</v>
      </c>
      <c r="B1253" s="4" t="s">
        <v>94</v>
      </c>
      <c r="C1253" s="1">
        <v>5</v>
      </c>
      <c r="D1253" t="s">
        <v>121</v>
      </c>
      <c r="E1253">
        <v>120</v>
      </c>
      <c r="F1253">
        <v>1</v>
      </c>
      <c r="G1253">
        <v>28</v>
      </c>
      <c r="H1253">
        <v>134</v>
      </c>
      <c r="I1253">
        <v>105</v>
      </c>
    </row>
    <row r="1254" spans="1:9" x14ac:dyDescent="0.25">
      <c r="A1254">
        <v>2024</v>
      </c>
      <c r="B1254" s="4" t="s">
        <v>94</v>
      </c>
      <c r="C1254" s="1">
        <v>5</v>
      </c>
      <c r="D1254" t="s">
        <v>121</v>
      </c>
      <c r="E1254">
        <v>120</v>
      </c>
      <c r="F1254">
        <v>2</v>
      </c>
      <c r="G1254">
        <v>26</v>
      </c>
      <c r="H1254">
        <v>110</v>
      </c>
      <c r="I1254">
        <v>117</v>
      </c>
    </row>
    <row r="1255" spans="1:9" x14ac:dyDescent="0.25">
      <c r="A1255">
        <v>2024</v>
      </c>
      <c r="B1255" s="4" t="s">
        <v>94</v>
      </c>
      <c r="C1255" s="1">
        <v>5</v>
      </c>
      <c r="D1255" t="s">
        <v>121</v>
      </c>
      <c r="E1255">
        <v>120</v>
      </c>
      <c r="F1255">
        <v>3</v>
      </c>
      <c r="G1255" t="s">
        <v>20</v>
      </c>
      <c r="H1255">
        <v>106</v>
      </c>
      <c r="I1255">
        <v>120</v>
      </c>
    </row>
    <row r="1256" spans="1:9" x14ac:dyDescent="0.25">
      <c r="A1256">
        <v>2024</v>
      </c>
      <c r="B1256" s="4" t="s">
        <v>94</v>
      </c>
      <c r="C1256" s="1">
        <v>4</v>
      </c>
      <c r="D1256" t="s">
        <v>122</v>
      </c>
      <c r="E1256">
        <v>120</v>
      </c>
      <c r="F1256">
        <v>1</v>
      </c>
      <c r="G1256">
        <v>14</v>
      </c>
      <c r="H1256">
        <v>120</v>
      </c>
      <c r="I1256">
        <v>94</v>
      </c>
    </row>
    <row r="1257" spans="1:9" x14ac:dyDescent="0.25">
      <c r="A1257">
        <v>2024</v>
      </c>
      <c r="B1257" s="4" t="s">
        <v>94</v>
      </c>
      <c r="C1257" s="1">
        <v>4</v>
      </c>
      <c r="D1257" t="s">
        <v>122</v>
      </c>
      <c r="E1257">
        <v>120</v>
      </c>
      <c r="F1257">
        <v>2</v>
      </c>
      <c r="G1257">
        <v>16</v>
      </c>
      <c r="H1257">
        <v>121</v>
      </c>
      <c r="I1257">
        <v>100</v>
      </c>
    </row>
    <row r="1258" spans="1:9" x14ac:dyDescent="0.25">
      <c r="A1258">
        <v>2024</v>
      </c>
      <c r="B1258" s="4" t="s">
        <v>94</v>
      </c>
      <c r="C1258" s="1">
        <v>4</v>
      </c>
      <c r="D1258" t="s">
        <v>122</v>
      </c>
      <c r="E1258">
        <v>120</v>
      </c>
      <c r="F1258">
        <v>3</v>
      </c>
      <c r="G1258">
        <v>8</v>
      </c>
      <c r="H1258">
        <v>116</v>
      </c>
      <c r="I1258">
        <v>90</v>
      </c>
    </row>
    <row r="1259" spans="1:9" x14ac:dyDescent="0.25">
      <c r="A1259">
        <v>2024</v>
      </c>
      <c r="B1259" s="4" t="s">
        <v>94</v>
      </c>
      <c r="C1259" s="1">
        <v>4</v>
      </c>
      <c r="D1259" t="s">
        <v>123</v>
      </c>
      <c r="E1259">
        <v>120</v>
      </c>
      <c r="F1259">
        <v>1</v>
      </c>
      <c r="G1259" t="s">
        <v>20</v>
      </c>
      <c r="H1259">
        <v>104</v>
      </c>
      <c r="I1259">
        <v>110</v>
      </c>
    </row>
    <row r="1260" spans="1:9" x14ac:dyDescent="0.25">
      <c r="A1260">
        <v>2024</v>
      </c>
      <c r="B1260" s="4" t="s">
        <v>94</v>
      </c>
      <c r="C1260" s="1">
        <v>4</v>
      </c>
      <c r="D1260" t="s">
        <v>123</v>
      </c>
      <c r="E1260">
        <v>120</v>
      </c>
      <c r="F1260">
        <v>2</v>
      </c>
      <c r="G1260" t="s">
        <v>20</v>
      </c>
      <c r="H1260">
        <v>105</v>
      </c>
      <c r="I1260">
        <v>105</v>
      </c>
    </row>
    <row r="1261" spans="1:9" x14ac:dyDescent="0.25">
      <c r="A1261">
        <v>2024</v>
      </c>
      <c r="B1261" s="4" t="s">
        <v>94</v>
      </c>
      <c r="C1261" s="1">
        <v>4</v>
      </c>
      <c r="D1261" t="s">
        <v>123</v>
      </c>
      <c r="E1261">
        <v>120</v>
      </c>
      <c r="F1261">
        <v>3</v>
      </c>
      <c r="G1261" t="s">
        <v>20</v>
      </c>
      <c r="H1261">
        <v>106</v>
      </c>
      <c r="I1261">
        <v>110</v>
      </c>
    </row>
    <row r="1262" spans="1:9" x14ac:dyDescent="0.25">
      <c r="A1262">
        <v>2024</v>
      </c>
      <c r="B1262" s="4" t="s">
        <v>94</v>
      </c>
      <c r="C1262" s="1">
        <v>4</v>
      </c>
      <c r="D1262" t="s">
        <v>124</v>
      </c>
      <c r="E1262">
        <v>120</v>
      </c>
      <c r="F1262">
        <v>1</v>
      </c>
      <c r="G1262">
        <v>36</v>
      </c>
      <c r="H1262">
        <v>101</v>
      </c>
      <c r="I1262">
        <v>95</v>
      </c>
    </row>
    <row r="1263" spans="1:9" x14ac:dyDescent="0.25">
      <c r="A1263">
        <v>2024</v>
      </c>
      <c r="B1263" s="4" t="s">
        <v>94</v>
      </c>
      <c r="C1263" s="1">
        <v>4</v>
      </c>
      <c r="D1263" t="s">
        <v>124</v>
      </c>
      <c r="E1263">
        <v>120</v>
      </c>
      <c r="F1263">
        <v>2</v>
      </c>
      <c r="G1263">
        <v>55</v>
      </c>
      <c r="H1263">
        <v>106</v>
      </c>
      <c r="I1263">
        <v>89</v>
      </c>
    </row>
    <row r="1264" spans="1:9" x14ac:dyDescent="0.25">
      <c r="A1264">
        <v>2024</v>
      </c>
      <c r="B1264" s="4" t="s">
        <v>94</v>
      </c>
      <c r="C1264" s="1">
        <v>4</v>
      </c>
      <c r="D1264" t="s">
        <v>124</v>
      </c>
      <c r="E1264">
        <v>120</v>
      </c>
      <c r="F1264">
        <v>3</v>
      </c>
      <c r="G1264" t="s">
        <v>20</v>
      </c>
      <c r="H1264">
        <v>101</v>
      </c>
      <c r="I1264">
        <v>95</v>
      </c>
    </row>
    <row r="1265" spans="1:9" x14ac:dyDescent="0.25">
      <c r="A1265">
        <v>2024</v>
      </c>
      <c r="B1265" s="4" t="s">
        <v>94</v>
      </c>
      <c r="C1265" s="1">
        <v>5</v>
      </c>
      <c r="D1265" t="s">
        <v>125</v>
      </c>
      <c r="E1265">
        <v>120</v>
      </c>
      <c r="F1265">
        <v>1</v>
      </c>
      <c r="G1265">
        <v>16</v>
      </c>
      <c r="H1265">
        <v>116</v>
      </c>
      <c r="I1265">
        <v>100</v>
      </c>
    </row>
    <row r="1266" spans="1:9" x14ac:dyDescent="0.25">
      <c r="A1266">
        <v>2024</v>
      </c>
      <c r="B1266" s="4" t="s">
        <v>94</v>
      </c>
      <c r="C1266" s="1">
        <v>5</v>
      </c>
      <c r="D1266" t="s">
        <v>125</v>
      </c>
      <c r="E1266">
        <v>120</v>
      </c>
      <c r="F1266">
        <v>2</v>
      </c>
      <c r="G1266">
        <v>14</v>
      </c>
      <c r="H1266">
        <v>109</v>
      </c>
      <c r="I1266">
        <v>110</v>
      </c>
    </row>
    <row r="1267" spans="1:9" x14ac:dyDescent="0.25">
      <c r="A1267">
        <v>2024</v>
      </c>
      <c r="B1267" s="4" t="s">
        <v>94</v>
      </c>
      <c r="C1267" s="1">
        <v>5</v>
      </c>
      <c r="D1267" t="s">
        <v>125</v>
      </c>
      <c r="E1267">
        <v>120</v>
      </c>
      <c r="F1267">
        <v>3</v>
      </c>
      <c r="G1267">
        <v>8</v>
      </c>
      <c r="H1267">
        <v>85</v>
      </c>
      <c r="I1267">
        <v>106</v>
      </c>
    </row>
    <row r="1268" spans="1:9" x14ac:dyDescent="0.25">
      <c r="A1268">
        <v>2024</v>
      </c>
      <c r="B1268" s="4" t="s">
        <v>94</v>
      </c>
      <c r="C1268" s="1">
        <v>5</v>
      </c>
      <c r="D1268" t="s">
        <v>126</v>
      </c>
      <c r="E1268">
        <v>120</v>
      </c>
      <c r="F1268">
        <v>1</v>
      </c>
      <c r="G1268">
        <v>0</v>
      </c>
      <c r="H1268">
        <v>104</v>
      </c>
      <c r="I1268">
        <v>90</v>
      </c>
    </row>
    <row r="1269" spans="1:9" x14ac:dyDescent="0.25">
      <c r="A1269">
        <v>2024</v>
      </c>
      <c r="B1269" s="4" t="s">
        <v>94</v>
      </c>
      <c r="C1269" s="1">
        <v>5</v>
      </c>
      <c r="D1269" t="s">
        <v>126</v>
      </c>
      <c r="E1269">
        <v>120</v>
      </c>
      <c r="F1269">
        <v>2</v>
      </c>
      <c r="G1269">
        <v>4</v>
      </c>
      <c r="H1269">
        <v>101</v>
      </c>
      <c r="I1269">
        <v>85</v>
      </c>
    </row>
    <row r="1270" spans="1:9" x14ac:dyDescent="0.25">
      <c r="A1270">
        <v>2024</v>
      </c>
      <c r="B1270" s="4" t="s">
        <v>94</v>
      </c>
      <c r="C1270" s="1">
        <v>5</v>
      </c>
      <c r="D1270" t="s">
        <v>126</v>
      </c>
      <c r="E1270">
        <v>120</v>
      </c>
      <c r="F1270">
        <v>3</v>
      </c>
      <c r="G1270" t="s">
        <v>20</v>
      </c>
      <c r="H1270">
        <v>106</v>
      </c>
      <c r="I1270">
        <v>75</v>
      </c>
    </row>
    <row r="1271" spans="1:9" x14ac:dyDescent="0.25">
      <c r="A1271">
        <v>2024</v>
      </c>
      <c r="B1271" s="4" t="s">
        <v>94</v>
      </c>
      <c r="C1271" s="1">
        <v>5</v>
      </c>
      <c r="D1271" t="s">
        <v>127</v>
      </c>
      <c r="E1271">
        <v>120</v>
      </c>
      <c r="F1271">
        <v>1</v>
      </c>
      <c r="G1271">
        <v>46</v>
      </c>
      <c r="H1271">
        <v>117</v>
      </c>
      <c r="I1271">
        <v>100</v>
      </c>
    </row>
    <row r="1272" spans="1:9" x14ac:dyDescent="0.25">
      <c r="A1272">
        <v>2024</v>
      </c>
      <c r="B1272" s="4" t="s">
        <v>94</v>
      </c>
      <c r="C1272" s="1">
        <v>5</v>
      </c>
      <c r="D1272" t="s">
        <v>127</v>
      </c>
      <c r="E1272">
        <v>120</v>
      </c>
      <c r="F1272">
        <v>2</v>
      </c>
      <c r="G1272">
        <v>32</v>
      </c>
      <c r="H1272">
        <v>111</v>
      </c>
      <c r="I1272">
        <v>122</v>
      </c>
    </row>
    <row r="1273" spans="1:9" x14ac:dyDescent="0.25">
      <c r="A1273">
        <v>2024</v>
      </c>
      <c r="B1273" s="4" t="s">
        <v>94</v>
      </c>
      <c r="C1273" s="1">
        <v>5</v>
      </c>
      <c r="D1273" t="s">
        <v>127</v>
      </c>
      <c r="E1273">
        <v>120</v>
      </c>
      <c r="F1273">
        <v>3</v>
      </c>
      <c r="G1273" t="s">
        <v>20</v>
      </c>
      <c r="H1273">
        <v>121</v>
      </c>
      <c r="I1273">
        <v>97</v>
      </c>
    </row>
    <row r="1274" spans="1:9" x14ac:dyDescent="0.25">
      <c r="A1274">
        <v>2024</v>
      </c>
      <c r="B1274" s="4" t="s">
        <v>94</v>
      </c>
      <c r="C1274" s="1">
        <v>5</v>
      </c>
      <c r="D1274" t="s">
        <v>128</v>
      </c>
      <c r="E1274">
        <v>120</v>
      </c>
      <c r="F1274">
        <v>1</v>
      </c>
      <c r="G1274" t="s">
        <v>20</v>
      </c>
      <c r="H1274">
        <v>104</v>
      </c>
      <c r="I1274">
        <v>96</v>
      </c>
    </row>
    <row r="1275" spans="1:9" x14ac:dyDescent="0.25">
      <c r="A1275">
        <v>2024</v>
      </c>
      <c r="B1275" s="4" t="s">
        <v>94</v>
      </c>
      <c r="C1275" s="1">
        <v>5</v>
      </c>
      <c r="D1275" t="s">
        <v>128</v>
      </c>
      <c r="E1275">
        <v>120</v>
      </c>
      <c r="F1275">
        <v>2</v>
      </c>
      <c r="G1275">
        <v>36</v>
      </c>
      <c r="H1275">
        <v>106</v>
      </c>
      <c r="I1275">
        <v>102</v>
      </c>
    </row>
    <row r="1276" spans="1:9" x14ac:dyDescent="0.25">
      <c r="A1276">
        <v>2024</v>
      </c>
      <c r="B1276" s="4" t="s">
        <v>94</v>
      </c>
      <c r="C1276" s="1">
        <v>5</v>
      </c>
      <c r="D1276" t="s">
        <v>128</v>
      </c>
      <c r="E1276">
        <v>120</v>
      </c>
      <c r="F1276">
        <v>3</v>
      </c>
      <c r="G1276">
        <v>30</v>
      </c>
      <c r="H1276">
        <v>115</v>
      </c>
      <c r="I1276">
        <v>102</v>
      </c>
    </row>
    <row r="1277" spans="1:9" x14ac:dyDescent="0.25">
      <c r="A1277">
        <v>2024</v>
      </c>
      <c r="B1277" s="4" t="s">
        <v>94</v>
      </c>
      <c r="C1277" s="1">
        <v>5</v>
      </c>
      <c r="D1277" t="s">
        <v>129</v>
      </c>
      <c r="E1277">
        <v>120</v>
      </c>
      <c r="F1277">
        <v>1</v>
      </c>
      <c r="G1277">
        <v>76</v>
      </c>
      <c r="H1277">
        <v>106</v>
      </c>
      <c r="I1277">
        <v>115</v>
      </c>
    </row>
    <row r="1278" spans="1:9" x14ac:dyDescent="0.25">
      <c r="A1278">
        <v>2024</v>
      </c>
      <c r="B1278" s="4" t="s">
        <v>94</v>
      </c>
      <c r="C1278" s="1">
        <v>5</v>
      </c>
      <c r="D1278" t="s">
        <v>129</v>
      </c>
      <c r="E1278">
        <v>120</v>
      </c>
      <c r="F1278">
        <v>2</v>
      </c>
      <c r="G1278">
        <v>78</v>
      </c>
      <c r="H1278">
        <v>109</v>
      </c>
      <c r="I1278">
        <v>105</v>
      </c>
    </row>
    <row r="1279" spans="1:9" x14ac:dyDescent="0.25">
      <c r="A1279">
        <v>2024</v>
      </c>
      <c r="B1279" s="4" t="s">
        <v>94</v>
      </c>
      <c r="C1279" s="1">
        <v>5</v>
      </c>
      <c r="D1279" t="s">
        <v>129</v>
      </c>
      <c r="E1279">
        <v>120</v>
      </c>
      <c r="F1279">
        <v>3</v>
      </c>
      <c r="G1279">
        <v>74</v>
      </c>
      <c r="H1279">
        <v>109</v>
      </c>
      <c r="I1279">
        <v>105</v>
      </c>
    </row>
    <row r="1280" spans="1:9" x14ac:dyDescent="0.25">
      <c r="A1280">
        <v>2024</v>
      </c>
      <c r="B1280" s="4" t="s">
        <v>94</v>
      </c>
      <c r="C1280" s="1">
        <v>5</v>
      </c>
      <c r="D1280" t="s">
        <v>130</v>
      </c>
      <c r="E1280">
        <v>120</v>
      </c>
      <c r="F1280">
        <v>1</v>
      </c>
      <c r="G1280">
        <v>44</v>
      </c>
      <c r="H1280">
        <v>103</v>
      </c>
      <c r="I1280">
        <v>110</v>
      </c>
    </row>
    <row r="1281" spans="1:9" x14ac:dyDescent="0.25">
      <c r="A1281">
        <v>2024</v>
      </c>
      <c r="B1281" s="4" t="s">
        <v>94</v>
      </c>
      <c r="C1281" s="1">
        <v>5</v>
      </c>
      <c r="D1281" t="s">
        <v>130</v>
      </c>
      <c r="E1281">
        <v>120</v>
      </c>
      <c r="F1281">
        <v>2</v>
      </c>
      <c r="G1281">
        <v>44</v>
      </c>
      <c r="H1281">
        <v>101</v>
      </c>
      <c r="I1281">
        <v>113</v>
      </c>
    </row>
    <row r="1282" spans="1:9" x14ac:dyDescent="0.25">
      <c r="A1282">
        <v>2024</v>
      </c>
      <c r="B1282" s="4" t="s">
        <v>94</v>
      </c>
      <c r="C1282" s="1">
        <v>5</v>
      </c>
      <c r="D1282" t="s">
        <v>130</v>
      </c>
      <c r="E1282">
        <v>120</v>
      </c>
      <c r="F1282">
        <v>3</v>
      </c>
      <c r="G1282" t="s">
        <v>20</v>
      </c>
      <c r="H1282">
        <v>106</v>
      </c>
      <c r="I1282">
        <v>102</v>
      </c>
    </row>
    <row r="1283" spans="1:9" x14ac:dyDescent="0.25">
      <c r="A1283">
        <v>2024</v>
      </c>
      <c r="B1283" s="4" t="s">
        <v>94</v>
      </c>
      <c r="C1283" s="1">
        <v>5</v>
      </c>
      <c r="D1283" t="s">
        <v>131</v>
      </c>
      <c r="E1283">
        <v>120</v>
      </c>
      <c r="F1283">
        <v>1</v>
      </c>
      <c r="G1283">
        <v>102</v>
      </c>
      <c r="H1283">
        <v>109</v>
      </c>
      <c r="I1283">
        <v>106</v>
      </c>
    </row>
    <row r="1284" spans="1:9" x14ac:dyDescent="0.25">
      <c r="A1284">
        <v>2024</v>
      </c>
      <c r="B1284" s="4" t="s">
        <v>94</v>
      </c>
      <c r="C1284" s="1">
        <v>5</v>
      </c>
      <c r="D1284" t="s">
        <v>131</v>
      </c>
      <c r="E1284">
        <v>120</v>
      </c>
      <c r="F1284">
        <v>2</v>
      </c>
      <c r="G1284" t="s">
        <v>20</v>
      </c>
      <c r="H1284">
        <v>110</v>
      </c>
      <c r="I1284">
        <v>106</v>
      </c>
    </row>
    <row r="1285" spans="1:9" x14ac:dyDescent="0.25">
      <c r="A1285">
        <v>2024</v>
      </c>
      <c r="B1285" s="4" t="s">
        <v>94</v>
      </c>
      <c r="C1285" s="1">
        <v>5</v>
      </c>
      <c r="D1285" t="s">
        <v>131</v>
      </c>
      <c r="E1285">
        <v>120</v>
      </c>
      <c r="F1285">
        <v>3</v>
      </c>
      <c r="G1285" t="s">
        <v>20</v>
      </c>
      <c r="H1285">
        <v>112</v>
      </c>
      <c r="I1285">
        <v>104</v>
      </c>
    </row>
    <row r="1286" spans="1:9" x14ac:dyDescent="0.25">
      <c r="A1286">
        <v>2024</v>
      </c>
      <c r="B1286" s="4" t="s">
        <v>94</v>
      </c>
      <c r="C1286" s="1">
        <v>5</v>
      </c>
      <c r="D1286" t="s">
        <v>132</v>
      </c>
      <c r="E1286">
        <v>120</v>
      </c>
      <c r="F1286">
        <v>1</v>
      </c>
      <c r="G1286" t="s">
        <v>20</v>
      </c>
      <c r="H1286">
        <v>106</v>
      </c>
      <c r="I1286">
        <v>113</v>
      </c>
    </row>
    <row r="1287" spans="1:9" x14ac:dyDescent="0.25">
      <c r="A1287">
        <v>2024</v>
      </c>
      <c r="B1287" s="4" t="s">
        <v>94</v>
      </c>
      <c r="C1287" s="1">
        <v>5</v>
      </c>
      <c r="D1287" t="s">
        <v>132</v>
      </c>
      <c r="E1287">
        <v>120</v>
      </c>
      <c r="F1287">
        <v>2</v>
      </c>
      <c r="G1287" t="s">
        <v>20</v>
      </c>
      <c r="H1287">
        <v>101</v>
      </c>
      <c r="I1287">
        <v>110</v>
      </c>
    </row>
    <row r="1288" spans="1:9" x14ac:dyDescent="0.25">
      <c r="A1288">
        <v>2024</v>
      </c>
      <c r="B1288" s="4" t="s">
        <v>94</v>
      </c>
      <c r="C1288" s="1">
        <v>5</v>
      </c>
      <c r="D1288" t="s">
        <v>132</v>
      </c>
      <c r="E1288">
        <v>120</v>
      </c>
      <c r="F1288">
        <v>3</v>
      </c>
      <c r="G1288" t="s">
        <v>20</v>
      </c>
      <c r="H1288">
        <v>100</v>
      </c>
      <c r="I1288">
        <v>105</v>
      </c>
    </row>
    <row r="1289" spans="1:9" x14ac:dyDescent="0.25">
      <c r="A1289">
        <v>2024</v>
      </c>
      <c r="B1289" s="4" t="s">
        <v>94</v>
      </c>
      <c r="C1289" s="1">
        <v>5</v>
      </c>
      <c r="D1289" t="s">
        <v>133</v>
      </c>
      <c r="E1289">
        <v>120</v>
      </c>
      <c r="F1289">
        <v>1</v>
      </c>
      <c r="G1289">
        <v>24</v>
      </c>
      <c r="H1289">
        <v>101</v>
      </c>
      <c r="I1289">
        <v>101</v>
      </c>
    </row>
    <row r="1290" spans="1:9" x14ac:dyDescent="0.25">
      <c r="A1290">
        <v>2024</v>
      </c>
      <c r="B1290" s="4" t="s">
        <v>94</v>
      </c>
      <c r="C1290" s="1">
        <v>5</v>
      </c>
      <c r="D1290" t="s">
        <v>133</v>
      </c>
      <c r="E1290">
        <v>120</v>
      </c>
      <c r="F1290">
        <v>2</v>
      </c>
      <c r="G1290">
        <v>32</v>
      </c>
      <c r="H1290">
        <v>104</v>
      </c>
      <c r="I1290">
        <v>105</v>
      </c>
    </row>
    <row r="1291" spans="1:9" x14ac:dyDescent="0.25">
      <c r="A1291">
        <v>2024</v>
      </c>
      <c r="B1291" s="4" t="s">
        <v>94</v>
      </c>
      <c r="C1291" s="1">
        <v>5</v>
      </c>
      <c r="D1291" t="s">
        <v>133</v>
      </c>
      <c r="E1291">
        <v>120</v>
      </c>
      <c r="F1291">
        <v>3</v>
      </c>
      <c r="G1291" t="s">
        <v>20</v>
      </c>
      <c r="H1291">
        <v>109</v>
      </c>
      <c r="I1291">
        <v>109</v>
      </c>
    </row>
    <row r="1292" spans="1:9" x14ac:dyDescent="0.25">
      <c r="A1292">
        <v>2024</v>
      </c>
      <c r="B1292" s="4" t="s">
        <v>94</v>
      </c>
      <c r="C1292" s="1">
        <v>5</v>
      </c>
      <c r="D1292" t="s">
        <v>134</v>
      </c>
      <c r="E1292">
        <v>120</v>
      </c>
      <c r="F1292">
        <v>1</v>
      </c>
      <c r="G1292">
        <v>34</v>
      </c>
      <c r="H1292">
        <v>112</v>
      </c>
      <c r="I1292">
        <v>98</v>
      </c>
    </row>
    <row r="1293" spans="1:9" x14ac:dyDescent="0.25">
      <c r="A1293">
        <v>2024</v>
      </c>
      <c r="B1293" s="4" t="s">
        <v>94</v>
      </c>
      <c r="C1293" s="1">
        <v>5</v>
      </c>
      <c r="D1293" t="s">
        <v>134</v>
      </c>
      <c r="E1293">
        <v>120</v>
      </c>
      <c r="F1293">
        <v>2</v>
      </c>
      <c r="G1293">
        <v>44</v>
      </c>
      <c r="H1293">
        <v>113</v>
      </c>
      <c r="I1293">
        <v>123</v>
      </c>
    </row>
    <row r="1294" spans="1:9" x14ac:dyDescent="0.25">
      <c r="A1294">
        <v>2024</v>
      </c>
      <c r="B1294" s="4" t="s">
        <v>94</v>
      </c>
      <c r="C1294" s="1">
        <v>5</v>
      </c>
      <c r="D1294" t="s">
        <v>134</v>
      </c>
      <c r="E1294">
        <v>120</v>
      </c>
      <c r="F1294">
        <v>3</v>
      </c>
      <c r="G1294">
        <v>36</v>
      </c>
      <c r="H1294">
        <v>115</v>
      </c>
      <c r="I1294">
        <v>109</v>
      </c>
    </row>
    <row r="1295" spans="1:9" x14ac:dyDescent="0.25">
      <c r="A1295">
        <v>2024</v>
      </c>
      <c r="B1295" s="4" t="s">
        <v>94</v>
      </c>
      <c r="C1295" s="1">
        <v>5</v>
      </c>
      <c r="D1295" t="s">
        <v>135</v>
      </c>
      <c r="E1295">
        <v>120</v>
      </c>
      <c r="F1295">
        <v>1</v>
      </c>
      <c r="G1295" t="s">
        <v>20</v>
      </c>
      <c r="H1295">
        <v>99</v>
      </c>
      <c r="I1295">
        <v>119</v>
      </c>
    </row>
    <row r="1296" spans="1:9" x14ac:dyDescent="0.25">
      <c r="A1296">
        <v>2024</v>
      </c>
      <c r="B1296" s="4" t="s">
        <v>94</v>
      </c>
      <c r="C1296" s="1">
        <v>5</v>
      </c>
      <c r="D1296" t="s">
        <v>135</v>
      </c>
      <c r="E1296">
        <v>120</v>
      </c>
      <c r="F1296">
        <v>2</v>
      </c>
      <c r="G1296" t="s">
        <v>20</v>
      </c>
      <c r="H1296">
        <v>99</v>
      </c>
      <c r="I1296">
        <v>105</v>
      </c>
    </row>
    <row r="1297" spans="1:9" x14ac:dyDescent="0.25">
      <c r="A1297">
        <v>2024</v>
      </c>
      <c r="B1297" s="4" t="s">
        <v>94</v>
      </c>
      <c r="C1297" s="1">
        <v>5</v>
      </c>
      <c r="D1297" t="s">
        <v>135</v>
      </c>
      <c r="E1297">
        <v>120</v>
      </c>
      <c r="F1297">
        <v>3</v>
      </c>
      <c r="G1297" t="s">
        <v>20</v>
      </c>
      <c r="H1297">
        <v>101</v>
      </c>
      <c r="I1297">
        <v>120</v>
      </c>
    </row>
    <row r="1298" spans="1:9" x14ac:dyDescent="0.25">
      <c r="A1298">
        <v>2024</v>
      </c>
      <c r="B1298" s="4" t="s">
        <v>94</v>
      </c>
      <c r="C1298" s="1">
        <v>5</v>
      </c>
      <c r="D1298" t="s">
        <v>136</v>
      </c>
      <c r="E1298">
        <v>120</v>
      </c>
      <c r="F1298">
        <v>1</v>
      </c>
      <c r="G1298">
        <v>20</v>
      </c>
      <c r="H1298">
        <v>104</v>
      </c>
      <c r="I1298">
        <v>89</v>
      </c>
    </row>
    <row r="1299" spans="1:9" x14ac:dyDescent="0.25">
      <c r="A1299">
        <v>2024</v>
      </c>
      <c r="B1299" s="4" t="s">
        <v>94</v>
      </c>
      <c r="C1299" s="1">
        <v>5</v>
      </c>
      <c r="D1299" t="s">
        <v>136</v>
      </c>
      <c r="E1299">
        <v>120</v>
      </c>
      <c r="F1299">
        <v>2</v>
      </c>
      <c r="G1299">
        <v>16</v>
      </c>
      <c r="H1299">
        <v>110</v>
      </c>
      <c r="I1299">
        <v>94</v>
      </c>
    </row>
    <row r="1300" spans="1:9" x14ac:dyDescent="0.25">
      <c r="A1300">
        <v>2024</v>
      </c>
      <c r="B1300" s="4" t="s">
        <v>94</v>
      </c>
      <c r="C1300" s="1">
        <v>5</v>
      </c>
      <c r="D1300" t="s">
        <v>136</v>
      </c>
      <c r="E1300">
        <v>120</v>
      </c>
      <c r="F1300">
        <v>3</v>
      </c>
      <c r="G1300" t="s">
        <v>20</v>
      </c>
      <c r="H1300">
        <v>104</v>
      </c>
      <c r="I1300">
        <v>93</v>
      </c>
    </row>
    <row r="1301" spans="1:9" x14ac:dyDescent="0.25">
      <c r="A1301">
        <v>2024</v>
      </c>
      <c r="B1301" s="4" t="s">
        <v>94</v>
      </c>
      <c r="C1301" s="1">
        <v>5</v>
      </c>
      <c r="D1301" t="s">
        <v>138</v>
      </c>
      <c r="E1301">
        <v>120</v>
      </c>
      <c r="F1301">
        <v>1</v>
      </c>
      <c r="G1301">
        <v>30</v>
      </c>
      <c r="H1301">
        <v>118</v>
      </c>
      <c r="I1301">
        <v>90</v>
      </c>
    </row>
    <row r="1302" spans="1:9" x14ac:dyDescent="0.25">
      <c r="A1302">
        <v>2024</v>
      </c>
      <c r="B1302" s="4" t="s">
        <v>94</v>
      </c>
      <c r="C1302" s="1">
        <v>5</v>
      </c>
      <c r="D1302" t="s">
        <v>138</v>
      </c>
      <c r="E1302">
        <v>120</v>
      </c>
      <c r="F1302">
        <v>2</v>
      </c>
      <c r="G1302">
        <v>30</v>
      </c>
      <c r="H1302">
        <v>116</v>
      </c>
      <c r="I1302">
        <v>83</v>
      </c>
    </row>
    <row r="1303" spans="1:9" x14ac:dyDescent="0.25">
      <c r="A1303">
        <v>2024</v>
      </c>
      <c r="B1303" s="4" t="s">
        <v>94</v>
      </c>
      <c r="C1303" s="1">
        <v>5</v>
      </c>
      <c r="D1303" t="s">
        <v>138</v>
      </c>
      <c r="E1303">
        <v>120</v>
      </c>
      <c r="F1303">
        <v>3</v>
      </c>
      <c r="G1303" t="s">
        <v>20</v>
      </c>
      <c r="H1303">
        <v>118</v>
      </c>
      <c r="I1303">
        <v>89</v>
      </c>
    </row>
    <row r="1304" spans="1:9" x14ac:dyDescent="0.25">
      <c r="A1304">
        <v>2024</v>
      </c>
      <c r="B1304" s="4" t="s">
        <v>94</v>
      </c>
      <c r="C1304" s="1" t="s">
        <v>20</v>
      </c>
      <c r="D1304" t="s">
        <v>139</v>
      </c>
      <c r="E1304">
        <v>120</v>
      </c>
      <c r="F1304">
        <v>1</v>
      </c>
      <c r="G1304">
        <v>34</v>
      </c>
      <c r="H1304">
        <v>124</v>
      </c>
      <c r="I1304">
        <v>96</v>
      </c>
    </row>
    <row r="1305" spans="1:9" x14ac:dyDescent="0.25">
      <c r="A1305">
        <v>2024</v>
      </c>
      <c r="B1305" s="4" t="s">
        <v>94</v>
      </c>
      <c r="C1305" s="1" t="s">
        <v>20</v>
      </c>
      <c r="D1305" t="s">
        <v>139</v>
      </c>
      <c r="E1305">
        <v>120</v>
      </c>
      <c r="F1305">
        <v>2</v>
      </c>
      <c r="G1305" t="s">
        <v>20</v>
      </c>
      <c r="H1305">
        <v>130</v>
      </c>
      <c r="I1305">
        <v>100</v>
      </c>
    </row>
    <row r="1306" spans="1:9" x14ac:dyDescent="0.25">
      <c r="A1306">
        <v>2024</v>
      </c>
      <c r="B1306" s="4" t="s">
        <v>94</v>
      </c>
      <c r="C1306" s="1" t="s">
        <v>20</v>
      </c>
      <c r="D1306" t="s">
        <v>139</v>
      </c>
      <c r="E1306">
        <v>120</v>
      </c>
      <c r="F1306">
        <v>3</v>
      </c>
      <c r="G1306" t="s">
        <v>20</v>
      </c>
      <c r="H1306">
        <v>124</v>
      </c>
      <c r="I1306">
        <v>95</v>
      </c>
    </row>
    <row r="1307" spans="1:9" x14ac:dyDescent="0.25">
      <c r="A1307">
        <v>2024</v>
      </c>
      <c r="B1307" s="4" t="s">
        <v>94</v>
      </c>
      <c r="C1307" s="1">
        <v>5</v>
      </c>
      <c r="D1307" t="s">
        <v>140</v>
      </c>
      <c r="E1307">
        <v>120</v>
      </c>
      <c r="F1307">
        <v>1</v>
      </c>
      <c r="G1307">
        <v>4</v>
      </c>
      <c r="H1307">
        <v>115</v>
      </c>
      <c r="I1307">
        <v>104</v>
      </c>
    </row>
    <row r="1308" spans="1:9" x14ac:dyDescent="0.25">
      <c r="A1308">
        <v>2024</v>
      </c>
      <c r="B1308" s="4" t="s">
        <v>94</v>
      </c>
      <c r="C1308" s="1">
        <v>5</v>
      </c>
      <c r="D1308" t="s">
        <v>140</v>
      </c>
      <c r="E1308">
        <v>120</v>
      </c>
      <c r="F1308">
        <v>2</v>
      </c>
      <c r="G1308">
        <v>10</v>
      </c>
      <c r="H1308">
        <v>103</v>
      </c>
      <c r="I1308">
        <v>100</v>
      </c>
    </row>
    <row r="1309" spans="1:9" x14ac:dyDescent="0.25">
      <c r="A1309">
        <v>2024</v>
      </c>
      <c r="B1309" s="4" t="s">
        <v>94</v>
      </c>
      <c r="C1309" s="1">
        <v>5</v>
      </c>
      <c r="D1309" t="s">
        <v>140</v>
      </c>
      <c r="E1309">
        <v>120</v>
      </c>
      <c r="F1309">
        <v>3</v>
      </c>
      <c r="G1309" t="s">
        <v>20</v>
      </c>
      <c r="H1309">
        <v>104</v>
      </c>
      <c r="I1309">
        <v>90</v>
      </c>
    </row>
    <row r="1310" spans="1:9" x14ac:dyDescent="0.25">
      <c r="A1310">
        <v>2024</v>
      </c>
      <c r="B1310" s="4" t="s">
        <v>94</v>
      </c>
      <c r="C1310" s="1">
        <v>5</v>
      </c>
      <c r="D1310" t="s">
        <v>141</v>
      </c>
      <c r="E1310">
        <v>120</v>
      </c>
      <c r="F1310">
        <v>1</v>
      </c>
      <c r="G1310">
        <v>30</v>
      </c>
      <c r="H1310">
        <v>118</v>
      </c>
      <c r="I1310">
        <v>81</v>
      </c>
    </row>
    <row r="1311" spans="1:9" x14ac:dyDescent="0.25">
      <c r="A1311">
        <v>2024</v>
      </c>
      <c r="B1311" s="4" t="s">
        <v>94</v>
      </c>
      <c r="C1311" s="1">
        <v>5</v>
      </c>
      <c r="D1311" t="s">
        <v>141</v>
      </c>
      <c r="E1311">
        <v>120</v>
      </c>
      <c r="F1311">
        <v>2</v>
      </c>
      <c r="G1311">
        <v>54</v>
      </c>
      <c r="H1311">
        <v>118</v>
      </c>
      <c r="I1311">
        <v>85</v>
      </c>
    </row>
    <row r="1312" spans="1:9" x14ac:dyDescent="0.25">
      <c r="A1312">
        <v>2024</v>
      </c>
      <c r="B1312" s="4" t="s">
        <v>94</v>
      </c>
      <c r="C1312" s="1">
        <v>5</v>
      </c>
      <c r="D1312" t="s">
        <v>141</v>
      </c>
      <c r="E1312">
        <v>120</v>
      </c>
      <c r="F1312">
        <v>3</v>
      </c>
      <c r="G1312" t="s">
        <v>20</v>
      </c>
      <c r="H1312">
        <v>124</v>
      </c>
      <c r="I1312">
        <v>83</v>
      </c>
    </row>
    <row r="1313" spans="1:9" x14ac:dyDescent="0.25">
      <c r="A1313">
        <v>2024</v>
      </c>
      <c r="B1313" s="4" t="s">
        <v>94</v>
      </c>
      <c r="C1313" s="1">
        <v>5</v>
      </c>
      <c r="D1313" t="s">
        <v>144</v>
      </c>
      <c r="E1313">
        <v>120</v>
      </c>
      <c r="F1313">
        <v>1</v>
      </c>
      <c r="G1313">
        <v>12</v>
      </c>
      <c r="H1313">
        <v>101</v>
      </c>
      <c r="I1313">
        <v>105</v>
      </c>
    </row>
    <row r="1314" spans="1:9" x14ac:dyDescent="0.25">
      <c r="A1314">
        <v>2024</v>
      </c>
      <c r="B1314" s="4" t="s">
        <v>94</v>
      </c>
      <c r="C1314" s="1">
        <v>5</v>
      </c>
      <c r="D1314" t="s">
        <v>144</v>
      </c>
      <c r="E1314">
        <v>120</v>
      </c>
      <c r="F1314">
        <v>2</v>
      </c>
      <c r="G1314">
        <v>0</v>
      </c>
      <c r="H1314">
        <v>101</v>
      </c>
      <c r="I1314">
        <v>100</v>
      </c>
    </row>
    <row r="1315" spans="1:9" x14ac:dyDescent="0.25">
      <c r="A1315">
        <v>2024</v>
      </c>
      <c r="B1315" s="4" t="s">
        <v>94</v>
      </c>
      <c r="C1315" s="1">
        <v>5</v>
      </c>
      <c r="D1315" t="s">
        <v>144</v>
      </c>
      <c r="E1315">
        <v>120</v>
      </c>
      <c r="F1315">
        <v>3</v>
      </c>
      <c r="G1315" t="s">
        <v>20</v>
      </c>
      <c r="H1315">
        <v>102</v>
      </c>
      <c r="I1315">
        <v>109</v>
      </c>
    </row>
    <row r="1316" spans="1:9" x14ac:dyDescent="0.25">
      <c r="A1316">
        <v>2024</v>
      </c>
      <c r="B1316" s="4" t="s">
        <v>94</v>
      </c>
      <c r="C1316" s="1">
        <v>5</v>
      </c>
      <c r="D1316" t="s">
        <v>145</v>
      </c>
      <c r="E1316">
        <v>120</v>
      </c>
      <c r="F1316">
        <v>1</v>
      </c>
      <c r="G1316">
        <v>26</v>
      </c>
      <c r="H1316">
        <v>100</v>
      </c>
      <c r="I1316">
        <v>90</v>
      </c>
    </row>
    <row r="1317" spans="1:9" x14ac:dyDescent="0.25">
      <c r="A1317">
        <v>2024</v>
      </c>
      <c r="B1317" s="4" t="s">
        <v>94</v>
      </c>
      <c r="C1317" s="1">
        <v>5</v>
      </c>
      <c r="D1317" t="s">
        <v>145</v>
      </c>
      <c r="E1317">
        <v>120</v>
      </c>
      <c r="F1317">
        <v>2</v>
      </c>
      <c r="G1317">
        <v>54</v>
      </c>
      <c r="H1317">
        <v>91</v>
      </c>
      <c r="I1317">
        <v>110</v>
      </c>
    </row>
    <row r="1318" spans="1:9" x14ac:dyDescent="0.25">
      <c r="A1318">
        <v>2024</v>
      </c>
      <c r="B1318" s="4" t="s">
        <v>94</v>
      </c>
      <c r="C1318" s="1">
        <v>5</v>
      </c>
      <c r="D1318" t="s">
        <v>145</v>
      </c>
      <c r="E1318">
        <v>120</v>
      </c>
      <c r="F1318">
        <v>3</v>
      </c>
      <c r="G1318">
        <v>30</v>
      </c>
      <c r="H1318">
        <v>89</v>
      </c>
      <c r="I1318">
        <v>95</v>
      </c>
    </row>
    <row r="1319" spans="1:9" x14ac:dyDescent="0.25">
      <c r="A1319">
        <v>2024</v>
      </c>
      <c r="B1319" s="4" t="s">
        <v>94</v>
      </c>
      <c r="C1319" s="1">
        <v>5</v>
      </c>
      <c r="D1319" t="s">
        <v>146</v>
      </c>
      <c r="E1319">
        <v>120</v>
      </c>
      <c r="F1319">
        <v>1</v>
      </c>
      <c r="G1319">
        <v>16</v>
      </c>
      <c r="H1319">
        <v>99</v>
      </c>
      <c r="I1319">
        <v>97</v>
      </c>
    </row>
    <row r="1320" spans="1:9" x14ac:dyDescent="0.25">
      <c r="A1320">
        <v>2024</v>
      </c>
      <c r="B1320" s="4" t="s">
        <v>94</v>
      </c>
      <c r="C1320" s="1">
        <v>5</v>
      </c>
      <c r="D1320" t="s">
        <v>146</v>
      </c>
      <c r="E1320">
        <v>120</v>
      </c>
      <c r="F1320">
        <v>2</v>
      </c>
      <c r="G1320" t="s">
        <v>20</v>
      </c>
      <c r="H1320">
        <v>99</v>
      </c>
      <c r="I1320">
        <v>92</v>
      </c>
    </row>
    <row r="1321" spans="1:9" x14ac:dyDescent="0.25">
      <c r="A1321">
        <v>2024</v>
      </c>
      <c r="B1321" s="4" t="s">
        <v>94</v>
      </c>
      <c r="C1321" s="1">
        <v>5</v>
      </c>
      <c r="D1321" t="s">
        <v>146</v>
      </c>
      <c r="E1321">
        <v>120</v>
      </c>
      <c r="F1321">
        <v>3</v>
      </c>
      <c r="G1321" t="s">
        <v>20</v>
      </c>
      <c r="H1321">
        <v>106</v>
      </c>
      <c r="I1321">
        <v>95</v>
      </c>
    </row>
    <row r="1322" spans="1:9" x14ac:dyDescent="0.25">
      <c r="A1322">
        <v>2024</v>
      </c>
      <c r="B1322" s="4" t="s">
        <v>94</v>
      </c>
      <c r="C1322" s="1">
        <v>5</v>
      </c>
      <c r="D1322" t="s">
        <v>147</v>
      </c>
      <c r="E1322">
        <v>120</v>
      </c>
      <c r="F1322">
        <v>1</v>
      </c>
      <c r="G1322" t="s">
        <v>20</v>
      </c>
      <c r="H1322">
        <v>115</v>
      </c>
      <c r="I1322">
        <v>108</v>
      </c>
    </row>
    <row r="1323" spans="1:9" x14ac:dyDescent="0.25">
      <c r="A1323">
        <v>2024</v>
      </c>
      <c r="B1323" s="4" t="s">
        <v>94</v>
      </c>
      <c r="C1323" s="1">
        <v>5</v>
      </c>
      <c r="D1323" t="s">
        <v>147</v>
      </c>
      <c r="E1323">
        <v>120</v>
      </c>
      <c r="F1323">
        <v>2</v>
      </c>
      <c r="G1323" t="s">
        <v>20</v>
      </c>
      <c r="H1323">
        <v>106</v>
      </c>
      <c r="I1323">
        <v>116</v>
      </c>
    </row>
    <row r="1324" spans="1:9" x14ac:dyDescent="0.25">
      <c r="A1324">
        <v>2024</v>
      </c>
      <c r="B1324" s="4" t="s">
        <v>94</v>
      </c>
      <c r="C1324" s="1">
        <v>5</v>
      </c>
      <c r="D1324" t="s">
        <v>147</v>
      </c>
      <c r="E1324">
        <v>120</v>
      </c>
      <c r="F1324">
        <v>3</v>
      </c>
      <c r="G1324" t="s">
        <v>20</v>
      </c>
      <c r="H1324">
        <v>109</v>
      </c>
      <c r="I1324">
        <v>117</v>
      </c>
    </row>
    <row r="1325" spans="1:9" x14ac:dyDescent="0.25">
      <c r="A1325">
        <v>2024</v>
      </c>
      <c r="B1325" s="4" t="s">
        <v>94</v>
      </c>
      <c r="C1325" s="1">
        <v>5</v>
      </c>
      <c r="D1325" t="s">
        <v>148</v>
      </c>
      <c r="E1325">
        <v>120</v>
      </c>
      <c r="F1325">
        <v>1</v>
      </c>
      <c r="G1325">
        <v>6</v>
      </c>
      <c r="H1325">
        <v>113</v>
      </c>
      <c r="I1325">
        <v>90</v>
      </c>
    </row>
    <row r="1326" spans="1:9" x14ac:dyDescent="0.25">
      <c r="A1326">
        <v>2024</v>
      </c>
      <c r="B1326" s="4" t="s">
        <v>94</v>
      </c>
      <c r="C1326" s="1">
        <v>5</v>
      </c>
      <c r="D1326" t="s">
        <v>148</v>
      </c>
      <c r="E1326">
        <v>120</v>
      </c>
      <c r="F1326">
        <v>2</v>
      </c>
      <c r="G1326">
        <v>20</v>
      </c>
      <c r="H1326">
        <v>115</v>
      </c>
      <c r="I1326">
        <v>90</v>
      </c>
    </row>
    <row r="1327" spans="1:9" x14ac:dyDescent="0.25">
      <c r="A1327">
        <v>2024</v>
      </c>
      <c r="B1327" s="4" t="s">
        <v>94</v>
      </c>
      <c r="C1327" s="1">
        <v>5</v>
      </c>
      <c r="D1327" t="s">
        <v>148</v>
      </c>
      <c r="E1327">
        <v>120</v>
      </c>
      <c r="F1327">
        <v>3</v>
      </c>
      <c r="G1327" t="s">
        <v>20</v>
      </c>
      <c r="H1327">
        <v>106</v>
      </c>
      <c r="I1327">
        <v>90</v>
      </c>
    </row>
    <row r="1328" spans="1:9" x14ac:dyDescent="0.25">
      <c r="A1328">
        <v>2024</v>
      </c>
      <c r="B1328" s="4" t="s">
        <v>94</v>
      </c>
      <c r="C1328" s="1">
        <v>5</v>
      </c>
      <c r="D1328" t="s">
        <v>149</v>
      </c>
      <c r="E1328">
        <v>120</v>
      </c>
      <c r="F1328">
        <v>1</v>
      </c>
      <c r="G1328">
        <v>0</v>
      </c>
      <c r="H1328">
        <v>106</v>
      </c>
      <c r="I1328">
        <v>90</v>
      </c>
    </row>
    <row r="1329" spans="1:9" x14ac:dyDescent="0.25">
      <c r="A1329">
        <v>2024</v>
      </c>
      <c r="B1329" s="4" t="s">
        <v>94</v>
      </c>
      <c r="C1329" s="1">
        <v>5</v>
      </c>
      <c r="D1329" t="s">
        <v>149</v>
      </c>
      <c r="E1329">
        <v>120</v>
      </c>
      <c r="F1329">
        <v>2</v>
      </c>
      <c r="G1329" t="s">
        <v>20</v>
      </c>
      <c r="H1329" t="s">
        <v>20</v>
      </c>
      <c r="I1329" t="s">
        <v>20</v>
      </c>
    </row>
    <row r="1330" spans="1:9" x14ac:dyDescent="0.25">
      <c r="A1330">
        <v>2024</v>
      </c>
      <c r="B1330" s="4" t="s">
        <v>94</v>
      </c>
      <c r="C1330" s="1">
        <v>5</v>
      </c>
      <c r="D1330" t="s">
        <v>149</v>
      </c>
      <c r="E1330">
        <v>120</v>
      </c>
      <c r="F1330">
        <v>3</v>
      </c>
      <c r="G1330" t="s">
        <v>20</v>
      </c>
      <c r="H1330">
        <v>109</v>
      </c>
      <c r="I1330">
        <v>100</v>
      </c>
    </row>
    <row r="1331" spans="1:9" x14ac:dyDescent="0.25">
      <c r="A1331">
        <v>2024</v>
      </c>
      <c r="B1331" s="4" t="s">
        <v>94</v>
      </c>
      <c r="C1331" s="1">
        <v>5</v>
      </c>
      <c r="D1331" t="s">
        <v>150</v>
      </c>
      <c r="E1331">
        <v>120</v>
      </c>
      <c r="F1331">
        <v>1</v>
      </c>
      <c r="G1331">
        <v>26</v>
      </c>
      <c r="H1331">
        <v>106</v>
      </c>
      <c r="I1331">
        <v>110</v>
      </c>
    </row>
    <row r="1332" spans="1:9" x14ac:dyDescent="0.25">
      <c r="A1332">
        <v>2024</v>
      </c>
      <c r="B1332" s="4" t="s">
        <v>94</v>
      </c>
      <c r="C1332" s="1">
        <v>5</v>
      </c>
      <c r="D1332" t="s">
        <v>150</v>
      </c>
      <c r="E1332">
        <v>120</v>
      </c>
      <c r="F1332">
        <v>2</v>
      </c>
      <c r="G1332">
        <v>24</v>
      </c>
      <c r="H1332">
        <v>112</v>
      </c>
      <c r="I1332">
        <v>95</v>
      </c>
    </row>
    <row r="1333" spans="1:9" x14ac:dyDescent="0.25">
      <c r="A1333">
        <v>2024</v>
      </c>
      <c r="B1333" s="4" t="s">
        <v>94</v>
      </c>
      <c r="C1333" s="1">
        <v>5</v>
      </c>
      <c r="D1333" t="s">
        <v>150</v>
      </c>
      <c r="E1333">
        <v>120</v>
      </c>
      <c r="F1333">
        <v>3</v>
      </c>
      <c r="G1333" t="s">
        <v>20</v>
      </c>
      <c r="H1333">
        <v>104</v>
      </c>
      <c r="I1333">
        <v>105</v>
      </c>
    </row>
    <row r="1334" spans="1:9" x14ac:dyDescent="0.25">
      <c r="A1334">
        <v>2024</v>
      </c>
      <c r="B1334" s="4" t="s">
        <v>94</v>
      </c>
      <c r="C1334" s="1">
        <v>5</v>
      </c>
      <c r="D1334" t="s">
        <v>151</v>
      </c>
      <c r="E1334">
        <v>120</v>
      </c>
      <c r="F1334">
        <v>1</v>
      </c>
      <c r="G1334">
        <v>64</v>
      </c>
      <c r="H1334">
        <v>100</v>
      </c>
      <c r="I1334">
        <v>92</v>
      </c>
    </row>
    <row r="1335" spans="1:9" x14ac:dyDescent="0.25">
      <c r="A1335">
        <v>2024</v>
      </c>
      <c r="B1335" s="4" t="s">
        <v>94</v>
      </c>
      <c r="C1335" s="1">
        <v>5</v>
      </c>
      <c r="D1335" t="s">
        <v>151</v>
      </c>
      <c r="E1335">
        <v>120</v>
      </c>
      <c r="F1335">
        <v>2</v>
      </c>
      <c r="G1335">
        <v>42</v>
      </c>
      <c r="H1335">
        <v>100</v>
      </c>
      <c r="I1335">
        <v>107</v>
      </c>
    </row>
    <row r="1336" spans="1:9" x14ac:dyDescent="0.25">
      <c r="A1336">
        <v>2024</v>
      </c>
      <c r="B1336" s="4" t="s">
        <v>94</v>
      </c>
      <c r="C1336" s="1">
        <v>5</v>
      </c>
      <c r="D1336" t="s">
        <v>151</v>
      </c>
      <c r="E1336">
        <v>120</v>
      </c>
      <c r="F1336">
        <v>3</v>
      </c>
      <c r="G1336" t="s">
        <v>20</v>
      </c>
      <c r="H1336">
        <v>100</v>
      </c>
      <c r="I1336">
        <v>100</v>
      </c>
    </row>
    <row r="1337" spans="1:9" x14ac:dyDescent="0.25">
      <c r="A1337">
        <v>2024</v>
      </c>
      <c r="B1337" s="4" t="s">
        <v>94</v>
      </c>
      <c r="C1337" s="1">
        <v>5</v>
      </c>
      <c r="D1337" t="s">
        <v>152</v>
      </c>
      <c r="E1337">
        <v>120</v>
      </c>
      <c r="F1337">
        <v>1</v>
      </c>
      <c r="G1337">
        <v>72</v>
      </c>
      <c r="H1337">
        <v>100</v>
      </c>
      <c r="I1337">
        <v>110</v>
      </c>
    </row>
    <row r="1338" spans="1:9" x14ac:dyDescent="0.25">
      <c r="A1338">
        <v>2024</v>
      </c>
      <c r="B1338" s="4" t="s">
        <v>94</v>
      </c>
      <c r="C1338" s="1">
        <v>5</v>
      </c>
      <c r="D1338" t="s">
        <v>152</v>
      </c>
      <c r="E1338">
        <v>120</v>
      </c>
      <c r="F1338">
        <v>2</v>
      </c>
      <c r="G1338" t="s">
        <v>20</v>
      </c>
      <c r="H1338">
        <v>100</v>
      </c>
      <c r="I1338">
        <v>110</v>
      </c>
    </row>
    <row r="1339" spans="1:9" x14ac:dyDescent="0.25">
      <c r="A1339">
        <v>2024</v>
      </c>
      <c r="B1339" s="4" t="s">
        <v>94</v>
      </c>
      <c r="C1339" s="1">
        <v>5</v>
      </c>
      <c r="D1339" t="s">
        <v>152</v>
      </c>
      <c r="E1339">
        <v>120</v>
      </c>
      <c r="F1339">
        <v>3</v>
      </c>
      <c r="G1339" t="s">
        <v>20</v>
      </c>
      <c r="H1339">
        <v>101</v>
      </c>
      <c r="I1339" s="11">
        <v>107</v>
      </c>
    </row>
    <row r="1340" spans="1:9" x14ac:dyDescent="0.25">
      <c r="A1340">
        <v>2024</v>
      </c>
      <c r="B1340" s="4" t="s">
        <v>94</v>
      </c>
      <c r="C1340" s="1">
        <v>4</v>
      </c>
      <c r="D1340" t="s">
        <v>154</v>
      </c>
      <c r="E1340">
        <v>120</v>
      </c>
      <c r="F1340">
        <v>2</v>
      </c>
      <c r="G1340" t="s">
        <v>20</v>
      </c>
      <c r="H1340">
        <v>104</v>
      </c>
      <c r="I1340">
        <v>108</v>
      </c>
    </row>
    <row r="1341" spans="1:9" x14ac:dyDescent="0.25">
      <c r="A1341">
        <v>2024</v>
      </c>
      <c r="B1341" s="4" t="s">
        <v>94</v>
      </c>
      <c r="C1341" s="1">
        <v>4</v>
      </c>
      <c r="D1341" t="s">
        <v>154</v>
      </c>
      <c r="E1341">
        <v>120</v>
      </c>
      <c r="F1341">
        <v>3</v>
      </c>
      <c r="G1341" t="s">
        <v>20</v>
      </c>
      <c r="H1341">
        <v>113</v>
      </c>
      <c r="I1341">
        <v>109</v>
      </c>
    </row>
    <row r="1342" spans="1:9" x14ac:dyDescent="0.25">
      <c r="A1342">
        <v>2024</v>
      </c>
      <c r="B1342" s="4" t="s">
        <v>94</v>
      </c>
      <c r="C1342" s="1">
        <v>4</v>
      </c>
      <c r="D1342" t="s">
        <v>154</v>
      </c>
      <c r="E1342">
        <v>120</v>
      </c>
      <c r="F1342">
        <v>1</v>
      </c>
      <c r="G1342" t="s">
        <v>20</v>
      </c>
      <c r="H1342" t="s">
        <v>20</v>
      </c>
      <c r="I1342" t="s">
        <v>20</v>
      </c>
    </row>
    <row r="1343" spans="1:9" x14ac:dyDescent="0.25">
      <c r="A1343">
        <v>2024</v>
      </c>
      <c r="B1343" s="4" t="s">
        <v>94</v>
      </c>
      <c r="C1343" s="1">
        <v>5</v>
      </c>
      <c r="D1343" t="s">
        <v>155</v>
      </c>
      <c r="E1343">
        <v>120</v>
      </c>
      <c r="F1343">
        <v>1</v>
      </c>
      <c r="G1343">
        <v>52</v>
      </c>
      <c r="H1343">
        <v>106</v>
      </c>
      <c r="I1343">
        <v>120</v>
      </c>
    </row>
    <row r="1344" spans="1:9" x14ac:dyDescent="0.25">
      <c r="A1344">
        <v>2024</v>
      </c>
      <c r="B1344" s="4" t="s">
        <v>94</v>
      </c>
      <c r="C1344" s="1">
        <v>5</v>
      </c>
      <c r="D1344" t="s">
        <v>155</v>
      </c>
      <c r="E1344">
        <v>120</v>
      </c>
      <c r="F1344">
        <v>2</v>
      </c>
      <c r="G1344" t="s">
        <v>20</v>
      </c>
      <c r="H1344">
        <v>104</v>
      </c>
      <c r="I1344">
        <v>107</v>
      </c>
    </row>
    <row r="1345" spans="1:9" x14ac:dyDescent="0.25">
      <c r="A1345">
        <v>2024</v>
      </c>
      <c r="B1345" s="4" t="s">
        <v>94</v>
      </c>
      <c r="C1345" s="1">
        <v>5</v>
      </c>
      <c r="D1345" t="s">
        <v>155</v>
      </c>
      <c r="E1345">
        <v>120</v>
      </c>
      <c r="F1345">
        <v>3</v>
      </c>
      <c r="G1345" t="s">
        <v>20</v>
      </c>
      <c r="H1345">
        <v>116</v>
      </c>
      <c r="I1345">
        <v>118</v>
      </c>
    </row>
    <row r="1346" spans="1:9" x14ac:dyDescent="0.25">
      <c r="A1346">
        <v>2024</v>
      </c>
      <c r="B1346" s="4" t="s">
        <v>94</v>
      </c>
      <c r="C1346" s="1">
        <v>5</v>
      </c>
      <c r="D1346" t="s">
        <v>156</v>
      </c>
      <c r="E1346">
        <v>120</v>
      </c>
      <c r="F1346">
        <v>1</v>
      </c>
      <c r="G1346">
        <v>12</v>
      </c>
      <c r="H1346">
        <v>100</v>
      </c>
      <c r="I1346">
        <v>108</v>
      </c>
    </row>
    <row r="1347" spans="1:9" x14ac:dyDescent="0.25">
      <c r="A1347">
        <v>2024</v>
      </c>
      <c r="B1347" s="4" t="s">
        <v>94</v>
      </c>
      <c r="C1347" s="1">
        <v>5</v>
      </c>
      <c r="D1347" t="s">
        <v>156</v>
      </c>
      <c r="E1347">
        <v>120</v>
      </c>
      <c r="F1347">
        <v>2</v>
      </c>
      <c r="G1347" t="s">
        <v>20</v>
      </c>
      <c r="H1347">
        <v>100</v>
      </c>
      <c r="I1347">
        <v>105</v>
      </c>
    </row>
    <row r="1348" spans="1:9" x14ac:dyDescent="0.25">
      <c r="A1348">
        <v>2024</v>
      </c>
      <c r="B1348" s="4" t="s">
        <v>94</v>
      </c>
      <c r="C1348" s="1">
        <v>5</v>
      </c>
      <c r="D1348" t="s">
        <v>156</v>
      </c>
      <c r="E1348">
        <v>120</v>
      </c>
      <c r="F1348">
        <v>3</v>
      </c>
      <c r="G1348" t="s">
        <v>20</v>
      </c>
      <c r="H1348">
        <v>103</v>
      </c>
      <c r="I1348">
        <v>95</v>
      </c>
    </row>
    <row r="1349" spans="1:9" x14ac:dyDescent="0.25">
      <c r="A1349">
        <v>2024</v>
      </c>
      <c r="B1349" s="4" t="s">
        <v>94</v>
      </c>
      <c r="C1349" s="1">
        <v>4</v>
      </c>
      <c r="D1349" t="s">
        <v>157</v>
      </c>
      <c r="E1349">
        <v>120</v>
      </c>
      <c r="F1349">
        <v>1</v>
      </c>
      <c r="G1349">
        <v>44</v>
      </c>
      <c r="H1349">
        <v>101</v>
      </c>
      <c r="I1349">
        <v>103</v>
      </c>
    </row>
    <row r="1350" spans="1:9" x14ac:dyDescent="0.25">
      <c r="A1350">
        <v>2024</v>
      </c>
      <c r="B1350" s="4" t="s">
        <v>94</v>
      </c>
      <c r="C1350" s="1">
        <v>4</v>
      </c>
      <c r="D1350" t="s">
        <v>157</v>
      </c>
      <c r="E1350">
        <v>120</v>
      </c>
      <c r="F1350">
        <v>2</v>
      </c>
      <c r="G1350">
        <v>24</v>
      </c>
      <c r="H1350">
        <v>100</v>
      </c>
      <c r="I1350">
        <v>99</v>
      </c>
    </row>
    <row r="1351" spans="1:9" x14ac:dyDescent="0.25">
      <c r="A1351">
        <v>2024</v>
      </c>
      <c r="B1351" s="4" t="s">
        <v>94</v>
      </c>
      <c r="C1351" s="1">
        <v>4</v>
      </c>
      <c r="D1351" t="s">
        <v>157</v>
      </c>
      <c r="E1351">
        <v>120</v>
      </c>
      <c r="F1351">
        <v>3</v>
      </c>
      <c r="G1351">
        <v>10</v>
      </c>
      <c r="H1351">
        <v>93</v>
      </c>
      <c r="I1351">
        <v>110</v>
      </c>
    </row>
    <row r="1352" spans="1:9" x14ac:dyDescent="0.25">
      <c r="A1352">
        <v>2024</v>
      </c>
      <c r="B1352" s="4" t="s">
        <v>14</v>
      </c>
      <c r="C1352" s="1">
        <v>1</v>
      </c>
      <c r="D1352" t="s">
        <v>159</v>
      </c>
      <c r="E1352">
        <v>120</v>
      </c>
      <c r="F1352">
        <v>1</v>
      </c>
      <c r="G1352">
        <v>58</v>
      </c>
      <c r="H1352">
        <v>125</v>
      </c>
      <c r="I1352">
        <v>108</v>
      </c>
    </row>
    <row r="1353" spans="1:9" x14ac:dyDescent="0.25">
      <c r="A1353">
        <v>2024</v>
      </c>
      <c r="B1353" s="4" t="s">
        <v>14</v>
      </c>
      <c r="C1353" s="1">
        <v>1</v>
      </c>
      <c r="D1353" t="s">
        <v>159</v>
      </c>
      <c r="E1353">
        <v>120</v>
      </c>
      <c r="F1353">
        <v>2</v>
      </c>
      <c r="G1353" t="s">
        <v>20</v>
      </c>
      <c r="H1353">
        <v>138</v>
      </c>
      <c r="I1353">
        <v>92</v>
      </c>
    </row>
    <row r="1354" spans="1:9" x14ac:dyDescent="0.25">
      <c r="A1354">
        <v>2024</v>
      </c>
      <c r="B1354" s="4" t="s">
        <v>14</v>
      </c>
      <c r="C1354" s="1">
        <v>1</v>
      </c>
      <c r="D1354" t="s">
        <v>159</v>
      </c>
      <c r="E1354">
        <v>120</v>
      </c>
      <c r="F1354">
        <v>3</v>
      </c>
      <c r="G1354" t="s">
        <v>20</v>
      </c>
      <c r="H1354">
        <v>117</v>
      </c>
      <c r="I1354">
        <v>93</v>
      </c>
    </row>
    <row r="1355" spans="1:9" x14ac:dyDescent="0.25">
      <c r="A1355">
        <v>2024</v>
      </c>
      <c r="B1355" s="4" t="s">
        <v>94</v>
      </c>
      <c r="C1355" s="1">
        <v>5</v>
      </c>
      <c r="D1355" t="s">
        <v>160</v>
      </c>
      <c r="E1355">
        <v>120</v>
      </c>
      <c r="F1355">
        <v>1</v>
      </c>
      <c r="G1355">
        <v>36</v>
      </c>
      <c r="H1355">
        <v>110</v>
      </c>
      <c r="I1355">
        <v>102</v>
      </c>
    </row>
    <row r="1356" spans="1:9" x14ac:dyDescent="0.25">
      <c r="A1356">
        <v>2024</v>
      </c>
      <c r="B1356" s="4" t="s">
        <v>94</v>
      </c>
      <c r="C1356" s="1">
        <v>5</v>
      </c>
      <c r="D1356" t="s">
        <v>160</v>
      </c>
      <c r="E1356">
        <v>120</v>
      </c>
      <c r="F1356">
        <v>2</v>
      </c>
      <c r="G1356">
        <v>44</v>
      </c>
      <c r="H1356">
        <v>109</v>
      </c>
      <c r="I1356">
        <v>104</v>
      </c>
    </row>
    <row r="1357" spans="1:9" x14ac:dyDescent="0.25">
      <c r="A1357">
        <v>2024</v>
      </c>
      <c r="B1357" s="4" t="s">
        <v>94</v>
      </c>
      <c r="C1357" s="1">
        <v>5</v>
      </c>
      <c r="D1357" t="s">
        <v>160</v>
      </c>
      <c r="E1357">
        <v>120</v>
      </c>
      <c r="F1357">
        <v>3</v>
      </c>
      <c r="G1357" t="s">
        <v>20</v>
      </c>
      <c r="H1357">
        <v>109</v>
      </c>
      <c r="I1357">
        <v>110</v>
      </c>
    </row>
    <row r="1358" spans="1:9" x14ac:dyDescent="0.25">
      <c r="A1358">
        <v>2024</v>
      </c>
      <c r="B1358" s="4" t="s">
        <v>94</v>
      </c>
      <c r="C1358" s="1">
        <v>4</v>
      </c>
      <c r="D1358" t="s">
        <v>161</v>
      </c>
      <c r="E1358">
        <v>120</v>
      </c>
      <c r="F1358">
        <v>1</v>
      </c>
      <c r="G1358">
        <v>32</v>
      </c>
      <c r="H1358">
        <v>101</v>
      </c>
      <c r="I1358">
        <v>100</v>
      </c>
    </row>
    <row r="1359" spans="1:9" x14ac:dyDescent="0.25">
      <c r="A1359">
        <v>2024</v>
      </c>
      <c r="B1359" s="4" t="s">
        <v>94</v>
      </c>
      <c r="C1359" s="1">
        <v>4</v>
      </c>
      <c r="D1359" t="s">
        <v>161</v>
      </c>
      <c r="E1359">
        <v>120</v>
      </c>
      <c r="F1359">
        <v>2</v>
      </c>
      <c r="G1359">
        <v>30</v>
      </c>
      <c r="H1359">
        <v>90</v>
      </c>
      <c r="I1359">
        <v>94</v>
      </c>
    </row>
    <row r="1360" spans="1:9" x14ac:dyDescent="0.25">
      <c r="A1360">
        <v>2024</v>
      </c>
      <c r="B1360" s="4" t="s">
        <v>94</v>
      </c>
      <c r="C1360" s="1">
        <v>4</v>
      </c>
      <c r="D1360" t="s">
        <v>161</v>
      </c>
      <c r="E1360">
        <v>120</v>
      </c>
      <c r="F1360">
        <v>3</v>
      </c>
      <c r="G1360" t="s">
        <v>20</v>
      </c>
      <c r="H1360">
        <v>104</v>
      </c>
      <c r="I1360">
        <v>110</v>
      </c>
    </row>
    <row r="1361" spans="1:9" x14ac:dyDescent="0.25">
      <c r="A1361">
        <v>2024</v>
      </c>
      <c r="B1361" s="4" t="s">
        <v>94</v>
      </c>
      <c r="C1361" s="1">
        <v>5</v>
      </c>
      <c r="D1361" t="s">
        <v>162</v>
      </c>
      <c r="E1361">
        <v>120</v>
      </c>
      <c r="F1361">
        <v>1</v>
      </c>
      <c r="G1361">
        <v>24</v>
      </c>
      <c r="H1361">
        <v>99</v>
      </c>
      <c r="I1361">
        <v>82</v>
      </c>
    </row>
    <row r="1362" spans="1:9" x14ac:dyDescent="0.25">
      <c r="A1362">
        <v>2024</v>
      </c>
      <c r="B1362" s="4" t="s">
        <v>94</v>
      </c>
      <c r="C1362" s="1">
        <v>5</v>
      </c>
      <c r="D1362" t="s">
        <v>162</v>
      </c>
      <c r="E1362">
        <v>120</v>
      </c>
      <c r="F1362">
        <v>2</v>
      </c>
      <c r="G1362">
        <v>26</v>
      </c>
      <c r="H1362">
        <v>99</v>
      </c>
      <c r="I1362">
        <v>87</v>
      </c>
    </row>
    <row r="1363" spans="1:9" x14ac:dyDescent="0.25">
      <c r="A1363">
        <v>2024</v>
      </c>
      <c r="B1363" s="4" t="s">
        <v>94</v>
      </c>
      <c r="C1363" s="1">
        <v>5</v>
      </c>
      <c r="D1363" t="s">
        <v>162</v>
      </c>
      <c r="E1363">
        <v>120</v>
      </c>
      <c r="F1363">
        <v>3</v>
      </c>
      <c r="G1363">
        <v>44</v>
      </c>
      <c r="H1363">
        <v>101</v>
      </c>
      <c r="I1363">
        <v>91</v>
      </c>
    </row>
    <row r="1364" spans="1:9" x14ac:dyDescent="0.25">
      <c r="A1364">
        <v>2024</v>
      </c>
      <c r="B1364" s="4" t="s">
        <v>94</v>
      </c>
      <c r="C1364" s="1">
        <v>5</v>
      </c>
      <c r="D1364" t="s">
        <v>163</v>
      </c>
      <c r="E1364">
        <v>120</v>
      </c>
      <c r="F1364">
        <v>1</v>
      </c>
      <c r="G1364">
        <v>30</v>
      </c>
      <c r="H1364">
        <v>107</v>
      </c>
      <c r="I1364">
        <v>85</v>
      </c>
    </row>
    <row r="1365" spans="1:9" x14ac:dyDescent="0.25">
      <c r="A1365">
        <v>2024</v>
      </c>
      <c r="B1365" s="4" t="s">
        <v>94</v>
      </c>
      <c r="C1365" s="1">
        <v>5</v>
      </c>
      <c r="D1365" t="s">
        <v>163</v>
      </c>
      <c r="E1365">
        <v>120</v>
      </c>
      <c r="F1365">
        <v>2</v>
      </c>
      <c r="G1365">
        <v>38</v>
      </c>
      <c r="H1365">
        <v>104</v>
      </c>
      <c r="I1365">
        <v>100</v>
      </c>
    </row>
    <row r="1366" spans="1:9" x14ac:dyDescent="0.25">
      <c r="A1366">
        <v>2024</v>
      </c>
      <c r="B1366" s="4" t="s">
        <v>94</v>
      </c>
      <c r="C1366" s="1">
        <v>5</v>
      </c>
      <c r="D1366" t="s">
        <v>163</v>
      </c>
      <c r="E1366">
        <v>120</v>
      </c>
      <c r="F1366">
        <v>3</v>
      </c>
      <c r="G1366" t="s">
        <v>20</v>
      </c>
      <c r="H1366">
        <v>116</v>
      </c>
      <c r="I1366">
        <v>91</v>
      </c>
    </row>
    <row r="1367" spans="1:9" x14ac:dyDescent="0.25">
      <c r="A1367">
        <v>2024</v>
      </c>
      <c r="B1367" s="4" t="s">
        <v>94</v>
      </c>
      <c r="C1367" s="1">
        <v>5</v>
      </c>
      <c r="D1367" t="s">
        <v>164</v>
      </c>
      <c r="E1367">
        <v>120</v>
      </c>
      <c r="F1367">
        <v>1</v>
      </c>
      <c r="G1367">
        <v>16</v>
      </c>
      <c r="H1367">
        <v>100</v>
      </c>
      <c r="I1367">
        <v>92</v>
      </c>
    </row>
    <row r="1368" spans="1:9" x14ac:dyDescent="0.25">
      <c r="A1368">
        <v>2024</v>
      </c>
      <c r="B1368" s="4" t="s">
        <v>94</v>
      </c>
      <c r="C1368" s="1">
        <v>5</v>
      </c>
      <c r="D1368" t="s">
        <v>164</v>
      </c>
      <c r="E1368">
        <v>120</v>
      </c>
      <c r="F1368">
        <v>2</v>
      </c>
      <c r="G1368">
        <v>40</v>
      </c>
      <c r="H1368">
        <v>100</v>
      </c>
      <c r="I1368">
        <v>96</v>
      </c>
    </row>
    <row r="1369" spans="1:9" x14ac:dyDescent="0.25">
      <c r="A1369">
        <v>2024</v>
      </c>
      <c r="B1369" s="4" t="s">
        <v>94</v>
      </c>
      <c r="C1369" s="1">
        <v>5</v>
      </c>
      <c r="D1369" t="s">
        <v>164</v>
      </c>
      <c r="E1369">
        <v>120</v>
      </c>
      <c r="F1369">
        <v>3</v>
      </c>
      <c r="G1369">
        <v>34</v>
      </c>
      <c r="H1369">
        <v>100</v>
      </c>
      <c r="I1369">
        <v>93</v>
      </c>
    </row>
    <row r="1370" spans="1:9" x14ac:dyDescent="0.25">
      <c r="A1370">
        <v>2024</v>
      </c>
      <c r="B1370" s="4" t="s">
        <v>94</v>
      </c>
      <c r="C1370" s="1">
        <v>5</v>
      </c>
      <c r="D1370" t="s">
        <v>165</v>
      </c>
      <c r="E1370">
        <v>120</v>
      </c>
      <c r="F1370">
        <v>1</v>
      </c>
      <c r="G1370">
        <v>22</v>
      </c>
      <c r="H1370">
        <v>98</v>
      </c>
      <c r="I1370">
        <v>90</v>
      </c>
    </row>
    <row r="1371" spans="1:9" x14ac:dyDescent="0.25">
      <c r="A1371">
        <v>2024</v>
      </c>
      <c r="B1371" s="4" t="s">
        <v>94</v>
      </c>
      <c r="C1371" s="1">
        <v>5</v>
      </c>
      <c r="D1371" t="s">
        <v>165</v>
      </c>
      <c r="E1371">
        <v>120</v>
      </c>
      <c r="F1371">
        <v>2</v>
      </c>
      <c r="G1371" t="s">
        <v>20</v>
      </c>
      <c r="H1371">
        <v>99</v>
      </c>
      <c r="I1371">
        <v>102</v>
      </c>
    </row>
    <row r="1372" spans="1:9" x14ac:dyDescent="0.25">
      <c r="A1372">
        <v>2024</v>
      </c>
      <c r="B1372" s="4" t="s">
        <v>94</v>
      </c>
      <c r="C1372" s="1">
        <v>5</v>
      </c>
      <c r="D1372" t="s">
        <v>165</v>
      </c>
      <c r="E1372">
        <v>120</v>
      </c>
      <c r="F1372">
        <v>3</v>
      </c>
      <c r="G1372" t="s">
        <v>20</v>
      </c>
      <c r="H1372">
        <v>100</v>
      </c>
      <c r="I1372">
        <v>88</v>
      </c>
    </row>
    <row r="1373" spans="1:9" x14ac:dyDescent="0.25">
      <c r="A1373">
        <v>2024</v>
      </c>
      <c r="B1373" s="4" t="s">
        <v>94</v>
      </c>
      <c r="C1373" s="1">
        <v>5</v>
      </c>
      <c r="D1373" t="s">
        <v>166</v>
      </c>
      <c r="E1373">
        <v>120</v>
      </c>
      <c r="F1373">
        <v>1</v>
      </c>
      <c r="G1373">
        <v>22</v>
      </c>
      <c r="H1373">
        <v>111</v>
      </c>
      <c r="I1373">
        <v>117</v>
      </c>
    </row>
    <row r="1374" spans="1:9" x14ac:dyDescent="0.25">
      <c r="A1374">
        <v>2024</v>
      </c>
      <c r="B1374" s="4" t="s">
        <v>94</v>
      </c>
      <c r="C1374" s="1">
        <v>5</v>
      </c>
      <c r="D1374" t="s">
        <v>166</v>
      </c>
      <c r="E1374">
        <v>120</v>
      </c>
      <c r="F1374">
        <v>2</v>
      </c>
      <c r="G1374">
        <v>44</v>
      </c>
      <c r="H1374">
        <v>112</v>
      </c>
      <c r="I1374">
        <v>112</v>
      </c>
    </row>
    <row r="1375" spans="1:9" x14ac:dyDescent="0.25">
      <c r="A1375">
        <v>2024</v>
      </c>
      <c r="B1375" s="4" t="s">
        <v>94</v>
      </c>
      <c r="C1375" s="1">
        <v>5</v>
      </c>
      <c r="D1375" t="s">
        <v>166</v>
      </c>
      <c r="E1375">
        <v>120</v>
      </c>
      <c r="F1375">
        <v>3</v>
      </c>
      <c r="G1375" t="s">
        <v>20</v>
      </c>
      <c r="H1375">
        <v>116</v>
      </c>
      <c r="I1375">
        <v>113</v>
      </c>
    </row>
    <row r="1376" spans="1:9" x14ac:dyDescent="0.25">
      <c r="A1376">
        <v>2024</v>
      </c>
      <c r="B1376" s="4" t="s">
        <v>94</v>
      </c>
      <c r="C1376" s="1">
        <v>5</v>
      </c>
      <c r="D1376" t="s">
        <v>167</v>
      </c>
      <c r="E1376">
        <v>120</v>
      </c>
      <c r="F1376">
        <v>1</v>
      </c>
      <c r="G1376">
        <v>56</v>
      </c>
      <c r="H1376">
        <v>117</v>
      </c>
      <c r="I1376">
        <v>111</v>
      </c>
    </row>
    <row r="1377" spans="1:9" x14ac:dyDescent="0.25">
      <c r="A1377">
        <v>2024</v>
      </c>
      <c r="B1377" s="4" t="s">
        <v>94</v>
      </c>
      <c r="C1377" s="1">
        <v>5</v>
      </c>
      <c r="D1377" t="s">
        <v>167</v>
      </c>
      <c r="E1377">
        <v>120</v>
      </c>
      <c r="F1377">
        <v>2</v>
      </c>
      <c r="G1377">
        <v>36</v>
      </c>
      <c r="H1377">
        <v>122</v>
      </c>
      <c r="I1377">
        <v>108</v>
      </c>
    </row>
    <row r="1378" spans="1:9" x14ac:dyDescent="0.25">
      <c r="A1378">
        <v>2024</v>
      </c>
      <c r="B1378" s="4" t="s">
        <v>94</v>
      </c>
      <c r="C1378" s="1">
        <v>5</v>
      </c>
      <c r="D1378" t="s">
        <v>167</v>
      </c>
      <c r="E1378">
        <v>120</v>
      </c>
      <c r="F1378">
        <v>3</v>
      </c>
      <c r="G1378">
        <v>52</v>
      </c>
      <c r="H1378">
        <v>121</v>
      </c>
      <c r="I1378">
        <v>102</v>
      </c>
    </row>
    <row r="1379" spans="1:9" x14ac:dyDescent="0.25">
      <c r="A1379">
        <v>2024</v>
      </c>
      <c r="B1379" s="4" t="s">
        <v>94</v>
      </c>
      <c r="C1379" s="1">
        <v>5</v>
      </c>
      <c r="D1379" t="s">
        <v>168</v>
      </c>
      <c r="E1379">
        <v>120</v>
      </c>
      <c r="F1379">
        <v>1</v>
      </c>
      <c r="G1379">
        <v>64</v>
      </c>
      <c r="H1379">
        <v>119</v>
      </c>
      <c r="I1379">
        <v>88</v>
      </c>
    </row>
    <row r="1380" spans="1:9" x14ac:dyDescent="0.25">
      <c r="A1380">
        <v>2024</v>
      </c>
      <c r="B1380" s="4" t="s">
        <v>94</v>
      </c>
      <c r="C1380" s="1">
        <v>5</v>
      </c>
      <c r="D1380" t="s">
        <v>168</v>
      </c>
      <c r="E1380">
        <v>120</v>
      </c>
      <c r="F1380">
        <v>2</v>
      </c>
      <c r="G1380">
        <v>44</v>
      </c>
      <c r="H1380">
        <v>121</v>
      </c>
      <c r="I1380">
        <v>98</v>
      </c>
    </row>
    <row r="1381" spans="1:9" x14ac:dyDescent="0.25">
      <c r="A1381">
        <v>2024</v>
      </c>
      <c r="B1381" s="4" t="s">
        <v>94</v>
      </c>
      <c r="C1381" s="1">
        <v>5</v>
      </c>
      <c r="D1381" t="s">
        <v>168</v>
      </c>
      <c r="E1381">
        <v>120</v>
      </c>
      <c r="F1381">
        <v>3</v>
      </c>
      <c r="G1381">
        <v>40</v>
      </c>
      <c r="H1381">
        <v>118</v>
      </c>
      <c r="I1381">
        <v>83</v>
      </c>
    </row>
    <row r="1382" spans="1:9" x14ac:dyDescent="0.25">
      <c r="A1382">
        <v>2024</v>
      </c>
      <c r="B1382" s="4" t="s">
        <v>94</v>
      </c>
      <c r="C1382" s="1">
        <v>5</v>
      </c>
      <c r="D1382" t="s">
        <v>169</v>
      </c>
      <c r="E1382">
        <v>120</v>
      </c>
      <c r="F1382">
        <v>1</v>
      </c>
      <c r="G1382">
        <v>42</v>
      </c>
      <c r="H1382">
        <v>95</v>
      </c>
      <c r="I1382">
        <v>89</v>
      </c>
    </row>
    <row r="1383" spans="1:9" x14ac:dyDescent="0.25">
      <c r="A1383">
        <v>2024</v>
      </c>
      <c r="B1383" s="4" t="s">
        <v>94</v>
      </c>
      <c r="C1383" s="1">
        <v>5</v>
      </c>
      <c r="D1383" t="s">
        <v>169</v>
      </c>
      <c r="E1383">
        <v>120</v>
      </c>
      <c r="F1383">
        <v>2</v>
      </c>
      <c r="G1383" t="s">
        <v>20</v>
      </c>
      <c r="H1383">
        <v>95</v>
      </c>
      <c r="I1383">
        <v>104</v>
      </c>
    </row>
    <row r="1384" spans="1:9" x14ac:dyDescent="0.25">
      <c r="A1384">
        <v>2024</v>
      </c>
      <c r="B1384" s="4" t="s">
        <v>94</v>
      </c>
      <c r="C1384" s="1">
        <v>5</v>
      </c>
      <c r="D1384" t="s">
        <v>169</v>
      </c>
      <c r="E1384">
        <v>120</v>
      </c>
      <c r="F1384">
        <v>3</v>
      </c>
      <c r="G1384" t="s">
        <v>20</v>
      </c>
      <c r="H1384">
        <v>95</v>
      </c>
      <c r="I1384">
        <v>90</v>
      </c>
    </row>
    <row r="1385" spans="1:9" x14ac:dyDescent="0.25">
      <c r="A1385">
        <v>2024</v>
      </c>
      <c r="B1385" s="4" t="s">
        <v>94</v>
      </c>
      <c r="C1385" s="1">
        <v>5</v>
      </c>
      <c r="D1385" t="s">
        <v>170</v>
      </c>
      <c r="E1385">
        <v>120</v>
      </c>
      <c r="F1385">
        <v>1</v>
      </c>
      <c r="G1385">
        <v>14</v>
      </c>
      <c r="H1385">
        <v>101</v>
      </c>
      <c r="I1385">
        <v>93</v>
      </c>
    </row>
    <row r="1386" spans="1:9" x14ac:dyDescent="0.25">
      <c r="A1386">
        <v>2024</v>
      </c>
      <c r="B1386" s="4" t="s">
        <v>94</v>
      </c>
      <c r="C1386" s="1">
        <v>5</v>
      </c>
      <c r="D1386" t="s">
        <v>170</v>
      </c>
      <c r="E1386">
        <v>120</v>
      </c>
      <c r="F1386">
        <v>2</v>
      </c>
      <c r="G1386" t="s">
        <v>20</v>
      </c>
      <c r="H1386">
        <v>106</v>
      </c>
      <c r="I1386">
        <v>105</v>
      </c>
    </row>
    <row r="1387" spans="1:9" x14ac:dyDescent="0.25">
      <c r="A1387">
        <v>2024</v>
      </c>
      <c r="B1387" s="4" t="s">
        <v>94</v>
      </c>
      <c r="C1387" s="1">
        <v>5</v>
      </c>
      <c r="D1387" t="s">
        <v>170</v>
      </c>
      <c r="E1387">
        <v>120</v>
      </c>
      <c r="F1387">
        <v>3</v>
      </c>
      <c r="G1387" t="s">
        <v>20</v>
      </c>
      <c r="H1387">
        <v>101</v>
      </c>
      <c r="I1387">
        <v>95</v>
      </c>
    </row>
    <row r="1388" spans="1:9" x14ac:dyDescent="0.25">
      <c r="A1388">
        <v>2024</v>
      </c>
      <c r="B1388" s="4" t="s">
        <v>94</v>
      </c>
      <c r="C1388" s="1">
        <v>5</v>
      </c>
      <c r="D1388" t="s">
        <v>171</v>
      </c>
      <c r="E1388">
        <v>120</v>
      </c>
      <c r="F1388">
        <v>1</v>
      </c>
      <c r="G1388" t="s">
        <v>20</v>
      </c>
      <c r="H1388">
        <v>106</v>
      </c>
      <c r="I1388">
        <v>105</v>
      </c>
    </row>
    <row r="1389" spans="1:9" x14ac:dyDescent="0.25">
      <c r="A1389">
        <v>2024</v>
      </c>
      <c r="B1389" s="4" t="s">
        <v>94</v>
      </c>
      <c r="C1389" s="1">
        <v>5</v>
      </c>
      <c r="D1389" t="s">
        <v>171</v>
      </c>
      <c r="E1389">
        <v>120</v>
      </c>
      <c r="F1389">
        <v>2</v>
      </c>
      <c r="G1389" t="s">
        <v>20</v>
      </c>
      <c r="H1389">
        <v>112</v>
      </c>
      <c r="I1389">
        <v>107</v>
      </c>
    </row>
    <row r="1390" spans="1:9" x14ac:dyDescent="0.25">
      <c r="A1390">
        <v>2024</v>
      </c>
      <c r="B1390" s="4" t="s">
        <v>94</v>
      </c>
      <c r="C1390" s="1">
        <v>5</v>
      </c>
      <c r="D1390" t="s">
        <v>171</v>
      </c>
      <c r="E1390">
        <v>120</v>
      </c>
      <c r="F1390">
        <v>3</v>
      </c>
      <c r="G1390" t="s">
        <v>20</v>
      </c>
      <c r="H1390">
        <v>119</v>
      </c>
      <c r="I1390">
        <v>107</v>
      </c>
    </row>
    <row r="1391" spans="1:9" x14ac:dyDescent="0.25">
      <c r="A1391">
        <v>2024</v>
      </c>
      <c r="B1391" s="4" t="s">
        <v>172</v>
      </c>
      <c r="C1391" s="1">
        <v>4</v>
      </c>
      <c r="D1391" t="s">
        <v>173</v>
      </c>
      <c r="E1391">
        <v>120</v>
      </c>
      <c r="F1391">
        <v>1</v>
      </c>
      <c r="G1391">
        <v>16</v>
      </c>
      <c r="H1391">
        <v>99</v>
      </c>
      <c r="I1391">
        <v>97</v>
      </c>
    </row>
    <row r="1392" spans="1:9" x14ac:dyDescent="0.25">
      <c r="A1392">
        <v>2024</v>
      </c>
      <c r="B1392" s="4" t="s">
        <v>172</v>
      </c>
      <c r="C1392" s="1">
        <v>4</v>
      </c>
      <c r="D1392" t="s">
        <v>173</v>
      </c>
      <c r="E1392">
        <v>120</v>
      </c>
      <c r="F1392">
        <v>2</v>
      </c>
      <c r="G1392" t="s">
        <v>20</v>
      </c>
      <c r="H1392">
        <v>99</v>
      </c>
      <c r="I1392">
        <v>90</v>
      </c>
    </row>
    <row r="1393" spans="1:9" x14ac:dyDescent="0.25">
      <c r="A1393">
        <v>2024</v>
      </c>
      <c r="B1393" s="4" t="s">
        <v>172</v>
      </c>
      <c r="C1393" s="1">
        <v>4</v>
      </c>
      <c r="D1393" t="s">
        <v>173</v>
      </c>
      <c r="E1393">
        <v>120</v>
      </c>
      <c r="F1393">
        <v>3</v>
      </c>
      <c r="G1393" t="s">
        <v>20</v>
      </c>
      <c r="H1393">
        <v>99</v>
      </c>
      <c r="I1393" s="11">
        <v>78</v>
      </c>
    </row>
    <row r="1394" spans="1:9" x14ac:dyDescent="0.25">
      <c r="A1394">
        <v>2024</v>
      </c>
      <c r="B1394" s="4" t="s">
        <v>172</v>
      </c>
      <c r="C1394" s="1">
        <v>3</v>
      </c>
      <c r="D1394" t="s">
        <v>174</v>
      </c>
      <c r="E1394">
        <v>120</v>
      </c>
      <c r="F1394">
        <v>1</v>
      </c>
      <c r="G1394">
        <v>18</v>
      </c>
      <c r="H1394">
        <v>98</v>
      </c>
      <c r="I1394">
        <v>125</v>
      </c>
    </row>
    <row r="1395" spans="1:9" x14ac:dyDescent="0.25">
      <c r="A1395">
        <v>2024</v>
      </c>
      <c r="B1395" s="4" t="s">
        <v>172</v>
      </c>
      <c r="C1395" s="1">
        <v>3</v>
      </c>
      <c r="D1395" t="s">
        <v>174</v>
      </c>
      <c r="E1395">
        <v>120</v>
      </c>
      <c r="F1395">
        <v>2</v>
      </c>
      <c r="G1395" t="s">
        <v>20</v>
      </c>
      <c r="H1395">
        <v>99</v>
      </c>
      <c r="I1395" s="12">
        <v>125</v>
      </c>
    </row>
    <row r="1396" spans="1:9" x14ac:dyDescent="0.25">
      <c r="A1396">
        <v>2024</v>
      </c>
      <c r="B1396" s="4" t="s">
        <v>172</v>
      </c>
      <c r="C1396" s="1">
        <v>3</v>
      </c>
      <c r="D1396" t="s">
        <v>174</v>
      </c>
      <c r="E1396">
        <v>120</v>
      </c>
      <c r="F1396">
        <v>3</v>
      </c>
      <c r="G1396" t="s">
        <v>20</v>
      </c>
      <c r="H1396">
        <v>93</v>
      </c>
      <c r="I1396">
        <v>141</v>
      </c>
    </row>
    <row r="1397" spans="1:9" x14ac:dyDescent="0.25">
      <c r="A1397">
        <v>2024</v>
      </c>
      <c r="B1397" s="4" t="s">
        <v>14</v>
      </c>
      <c r="C1397" s="1">
        <v>1</v>
      </c>
      <c r="D1397" t="s">
        <v>175</v>
      </c>
      <c r="E1397">
        <v>120</v>
      </c>
      <c r="F1397">
        <v>1</v>
      </c>
      <c r="G1397">
        <v>48</v>
      </c>
      <c r="H1397">
        <v>137</v>
      </c>
      <c r="I1397">
        <v>93</v>
      </c>
    </row>
    <row r="1398" spans="1:9" x14ac:dyDescent="0.25">
      <c r="A1398">
        <v>2024</v>
      </c>
      <c r="B1398" s="4" t="s">
        <v>14</v>
      </c>
      <c r="C1398" s="1">
        <v>1</v>
      </c>
      <c r="D1398" t="s">
        <v>175</v>
      </c>
      <c r="E1398">
        <v>120</v>
      </c>
      <c r="F1398">
        <v>2</v>
      </c>
      <c r="G1398">
        <v>64</v>
      </c>
      <c r="H1398">
        <v>125</v>
      </c>
      <c r="I1398">
        <v>87</v>
      </c>
    </row>
    <row r="1399" spans="1:9" x14ac:dyDescent="0.25">
      <c r="A1399">
        <v>2024</v>
      </c>
      <c r="B1399" s="4" t="s">
        <v>14</v>
      </c>
      <c r="C1399" s="1">
        <v>1</v>
      </c>
      <c r="D1399" t="s">
        <v>175</v>
      </c>
      <c r="E1399">
        <v>120</v>
      </c>
      <c r="F1399">
        <v>3</v>
      </c>
      <c r="G1399" t="s">
        <v>20</v>
      </c>
      <c r="H1399">
        <v>125</v>
      </c>
      <c r="I1399">
        <v>92</v>
      </c>
    </row>
    <row r="1400" spans="1:9" x14ac:dyDescent="0.25">
      <c r="A1400">
        <v>2024</v>
      </c>
      <c r="B1400" s="4" t="s">
        <v>14</v>
      </c>
      <c r="C1400" s="1">
        <v>1</v>
      </c>
      <c r="D1400" t="s">
        <v>176</v>
      </c>
      <c r="E1400">
        <v>120</v>
      </c>
      <c r="F1400">
        <v>1</v>
      </c>
      <c r="G1400">
        <v>84</v>
      </c>
      <c r="H1400">
        <v>106</v>
      </c>
      <c r="I1400">
        <v>109</v>
      </c>
    </row>
    <row r="1401" spans="1:9" x14ac:dyDescent="0.25">
      <c r="A1401">
        <v>2024</v>
      </c>
      <c r="B1401" s="4" t="s">
        <v>14</v>
      </c>
      <c r="C1401" s="1">
        <v>1</v>
      </c>
      <c r="D1401" t="s">
        <v>176</v>
      </c>
      <c r="E1401">
        <v>120</v>
      </c>
      <c r="F1401">
        <v>2</v>
      </c>
      <c r="G1401" t="s">
        <v>20</v>
      </c>
      <c r="H1401">
        <v>115</v>
      </c>
      <c r="I1401">
        <v>104</v>
      </c>
    </row>
    <row r="1402" spans="1:9" x14ac:dyDescent="0.25">
      <c r="A1402">
        <v>2024</v>
      </c>
      <c r="B1402" s="4" t="s">
        <v>14</v>
      </c>
      <c r="C1402" s="1">
        <v>1</v>
      </c>
      <c r="D1402" t="s">
        <v>176</v>
      </c>
      <c r="E1402">
        <v>120</v>
      </c>
      <c r="F1402">
        <v>3</v>
      </c>
      <c r="G1402" t="s">
        <v>20</v>
      </c>
      <c r="H1402">
        <v>116</v>
      </c>
      <c r="I1402">
        <v>90</v>
      </c>
    </row>
    <row r="1403" spans="1:9" x14ac:dyDescent="0.25">
      <c r="A1403">
        <v>2024</v>
      </c>
      <c r="B1403" s="4" t="s">
        <v>49</v>
      </c>
      <c r="C1403" s="1">
        <v>4</v>
      </c>
      <c r="D1403" t="s">
        <v>177</v>
      </c>
      <c r="E1403">
        <v>120</v>
      </c>
      <c r="F1403">
        <v>1</v>
      </c>
      <c r="G1403">
        <v>28</v>
      </c>
      <c r="H1403">
        <v>113</v>
      </c>
      <c r="I1403">
        <v>85</v>
      </c>
    </row>
    <row r="1404" spans="1:9" x14ac:dyDescent="0.25">
      <c r="A1404">
        <v>2024</v>
      </c>
      <c r="B1404" s="4" t="s">
        <v>49</v>
      </c>
      <c r="C1404" s="1">
        <v>4</v>
      </c>
      <c r="D1404" t="s">
        <v>177</v>
      </c>
      <c r="E1404">
        <v>120</v>
      </c>
      <c r="F1404">
        <v>2</v>
      </c>
      <c r="G1404">
        <v>24</v>
      </c>
      <c r="H1404">
        <v>100</v>
      </c>
      <c r="I1404">
        <v>91</v>
      </c>
    </row>
    <row r="1405" spans="1:9" x14ac:dyDescent="0.25">
      <c r="A1405">
        <v>2024</v>
      </c>
      <c r="B1405" s="4" t="s">
        <v>49</v>
      </c>
      <c r="C1405" s="1">
        <v>4</v>
      </c>
      <c r="D1405" t="s">
        <v>177</v>
      </c>
      <c r="E1405">
        <v>120</v>
      </c>
      <c r="F1405">
        <v>3</v>
      </c>
      <c r="G1405" t="s">
        <v>20</v>
      </c>
      <c r="H1405">
        <v>106</v>
      </c>
      <c r="I1405">
        <v>85</v>
      </c>
    </row>
    <row r="1406" spans="1:9" x14ac:dyDescent="0.25">
      <c r="A1406">
        <v>2024</v>
      </c>
      <c r="B1406" s="4" t="s">
        <v>49</v>
      </c>
      <c r="C1406" s="1">
        <v>5</v>
      </c>
      <c r="D1406" t="s">
        <v>178</v>
      </c>
      <c r="E1406">
        <v>120</v>
      </c>
      <c r="F1406">
        <v>1</v>
      </c>
      <c r="G1406" t="s">
        <v>20</v>
      </c>
      <c r="H1406">
        <v>101</v>
      </c>
      <c r="I1406">
        <v>100</v>
      </c>
    </row>
    <row r="1407" spans="1:9" x14ac:dyDescent="0.25">
      <c r="A1407">
        <v>2024</v>
      </c>
      <c r="B1407" s="4" t="s">
        <v>49</v>
      </c>
      <c r="C1407" s="1">
        <v>5</v>
      </c>
      <c r="D1407" t="s">
        <v>178</v>
      </c>
      <c r="E1407">
        <v>120</v>
      </c>
      <c r="F1407">
        <v>2</v>
      </c>
      <c r="G1407" t="s">
        <v>20</v>
      </c>
      <c r="H1407">
        <v>101</v>
      </c>
      <c r="I1407">
        <v>104</v>
      </c>
    </row>
    <row r="1408" spans="1:9" x14ac:dyDescent="0.25">
      <c r="A1408">
        <v>2024</v>
      </c>
      <c r="B1408" s="4" t="s">
        <v>49</v>
      </c>
      <c r="C1408" s="1">
        <v>5</v>
      </c>
      <c r="D1408" t="s">
        <v>178</v>
      </c>
      <c r="E1408">
        <v>120</v>
      </c>
      <c r="F1408">
        <v>3</v>
      </c>
      <c r="G1408" t="s">
        <v>20</v>
      </c>
      <c r="H1408">
        <v>106</v>
      </c>
      <c r="I1408">
        <v>85</v>
      </c>
    </row>
    <row r="1409" spans="1:9" x14ac:dyDescent="0.25">
      <c r="A1409">
        <v>2024</v>
      </c>
      <c r="B1409" s="4" t="s">
        <v>49</v>
      </c>
      <c r="C1409" s="1">
        <v>5</v>
      </c>
      <c r="D1409" t="s">
        <v>179</v>
      </c>
      <c r="E1409">
        <v>120</v>
      </c>
      <c r="F1409">
        <v>1</v>
      </c>
      <c r="G1409">
        <v>56</v>
      </c>
      <c r="H1409">
        <v>109</v>
      </c>
      <c r="I1409">
        <v>94</v>
      </c>
    </row>
    <row r="1410" spans="1:9" x14ac:dyDescent="0.25">
      <c r="A1410">
        <v>2024</v>
      </c>
      <c r="B1410" s="4" t="s">
        <v>49</v>
      </c>
      <c r="C1410" s="1">
        <v>5</v>
      </c>
      <c r="D1410" t="s">
        <v>179</v>
      </c>
      <c r="E1410">
        <v>120</v>
      </c>
      <c r="F1410">
        <v>2</v>
      </c>
      <c r="G1410">
        <v>54</v>
      </c>
      <c r="H1410">
        <v>116</v>
      </c>
      <c r="I1410">
        <v>86</v>
      </c>
    </row>
    <row r="1411" spans="1:9" x14ac:dyDescent="0.25">
      <c r="A1411">
        <v>2024</v>
      </c>
      <c r="B1411" s="4" t="s">
        <v>49</v>
      </c>
      <c r="C1411" s="1">
        <v>5</v>
      </c>
      <c r="D1411" t="s">
        <v>179</v>
      </c>
      <c r="E1411">
        <v>120</v>
      </c>
      <c r="F1411">
        <v>3</v>
      </c>
      <c r="G1411" t="s">
        <v>20</v>
      </c>
      <c r="H1411">
        <v>116</v>
      </c>
      <c r="I1411">
        <v>107</v>
      </c>
    </row>
    <row r="1412" spans="1:9" x14ac:dyDescent="0.25">
      <c r="A1412">
        <v>2024</v>
      </c>
      <c r="B1412" s="4" t="s">
        <v>49</v>
      </c>
      <c r="C1412" s="1">
        <v>4</v>
      </c>
      <c r="D1412" t="s">
        <v>180</v>
      </c>
      <c r="E1412">
        <v>120</v>
      </c>
      <c r="F1412">
        <v>1</v>
      </c>
      <c r="G1412">
        <v>30</v>
      </c>
      <c r="H1412">
        <v>104</v>
      </c>
      <c r="I1412">
        <v>118</v>
      </c>
    </row>
    <row r="1413" spans="1:9" x14ac:dyDescent="0.25">
      <c r="A1413">
        <v>2024</v>
      </c>
      <c r="B1413" s="4" t="s">
        <v>49</v>
      </c>
      <c r="C1413" s="1">
        <v>4</v>
      </c>
      <c r="D1413" t="s">
        <v>180</v>
      </c>
      <c r="E1413">
        <v>120</v>
      </c>
      <c r="F1413">
        <v>2</v>
      </c>
      <c r="G1413">
        <v>42</v>
      </c>
      <c r="H1413">
        <v>109</v>
      </c>
      <c r="I1413">
        <v>105</v>
      </c>
    </row>
    <row r="1414" spans="1:9" x14ac:dyDescent="0.25">
      <c r="A1414">
        <v>2024</v>
      </c>
      <c r="B1414" s="4" t="s">
        <v>49</v>
      </c>
      <c r="C1414" s="1">
        <v>4</v>
      </c>
      <c r="D1414" t="s">
        <v>180</v>
      </c>
      <c r="E1414">
        <v>120</v>
      </c>
      <c r="F1414">
        <v>3</v>
      </c>
      <c r="G1414" t="s">
        <v>20</v>
      </c>
      <c r="H1414">
        <v>116</v>
      </c>
      <c r="I1414">
        <v>113</v>
      </c>
    </row>
    <row r="1415" spans="1:9" x14ac:dyDescent="0.25">
      <c r="A1415">
        <v>2024</v>
      </c>
      <c r="B1415" s="4" t="s">
        <v>182</v>
      </c>
      <c r="C1415" s="1">
        <v>2</v>
      </c>
      <c r="D1415" t="s">
        <v>183</v>
      </c>
      <c r="E1415">
        <v>120</v>
      </c>
      <c r="F1415">
        <v>1</v>
      </c>
      <c r="G1415">
        <v>56</v>
      </c>
      <c r="H1415">
        <v>140</v>
      </c>
      <c r="I1415">
        <v>122</v>
      </c>
    </row>
    <row r="1416" spans="1:9" x14ac:dyDescent="0.25">
      <c r="A1416">
        <v>2024</v>
      </c>
      <c r="B1416" s="4" t="s">
        <v>182</v>
      </c>
      <c r="C1416" s="1">
        <v>2</v>
      </c>
      <c r="D1416" t="s">
        <v>183</v>
      </c>
      <c r="E1416">
        <v>120</v>
      </c>
      <c r="F1416">
        <v>2</v>
      </c>
      <c r="G1416">
        <v>58</v>
      </c>
      <c r="H1416">
        <v>139</v>
      </c>
      <c r="I1416">
        <v>130</v>
      </c>
    </row>
    <row r="1417" spans="1:9" x14ac:dyDescent="0.25">
      <c r="A1417">
        <v>2024</v>
      </c>
      <c r="B1417" s="4" t="s">
        <v>182</v>
      </c>
      <c r="C1417" s="1">
        <v>2</v>
      </c>
      <c r="D1417" t="s">
        <v>183</v>
      </c>
      <c r="E1417">
        <v>120</v>
      </c>
      <c r="F1417">
        <v>3</v>
      </c>
      <c r="G1417" t="s">
        <v>20</v>
      </c>
      <c r="H1417">
        <v>146</v>
      </c>
      <c r="I1417">
        <v>125</v>
      </c>
    </row>
    <row r="1418" spans="1:9" x14ac:dyDescent="0.25">
      <c r="A1418">
        <v>2024</v>
      </c>
      <c r="B1418" s="4" t="s">
        <v>182</v>
      </c>
      <c r="C1418" s="1">
        <v>4</v>
      </c>
      <c r="D1418" t="s">
        <v>187</v>
      </c>
      <c r="E1418">
        <v>120</v>
      </c>
      <c r="F1418">
        <v>1</v>
      </c>
      <c r="G1418">
        <v>50</v>
      </c>
      <c r="H1418">
        <v>117</v>
      </c>
      <c r="I1418">
        <v>100</v>
      </c>
    </row>
    <row r="1419" spans="1:9" x14ac:dyDescent="0.25">
      <c r="A1419">
        <v>2024</v>
      </c>
      <c r="B1419" s="4" t="s">
        <v>182</v>
      </c>
      <c r="C1419" s="1">
        <v>4</v>
      </c>
      <c r="D1419" t="s">
        <v>187</v>
      </c>
      <c r="E1419">
        <v>120</v>
      </c>
      <c r="F1419">
        <v>2</v>
      </c>
      <c r="G1419">
        <v>82</v>
      </c>
      <c r="H1419">
        <v>121</v>
      </c>
      <c r="I1419">
        <v>101</v>
      </c>
    </row>
    <row r="1420" spans="1:9" x14ac:dyDescent="0.25">
      <c r="A1420">
        <v>2024</v>
      </c>
      <c r="B1420" s="4" t="s">
        <v>182</v>
      </c>
      <c r="C1420" s="1">
        <v>4</v>
      </c>
      <c r="D1420" t="s">
        <v>187</v>
      </c>
      <c r="E1420">
        <v>120</v>
      </c>
      <c r="F1420">
        <v>3</v>
      </c>
      <c r="G1420" t="s">
        <v>20</v>
      </c>
      <c r="H1420">
        <v>113</v>
      </c>
      <c r="I1420">
        <v>107</v>
      </c>
    </row>
    <row r="1421" spans="1:9" x14ac:dyDescent="0.25">
      <c r="A1421">
        <v>2024</v>
      </c>
      <c r="B1421" s="4" t="s">
        <v>189</v>
      </c>
      <c r="C1421" s="1">
        <v>4</v>
      </c>
      <c r="D1421" t="s">
        <v>190</v>
      </c>
      <c r="E1421">
        <v>120</v>
      </c>
      <c r="F1421">
        <v>1</v>
      </c>
      <c r="G1421" t="s">
        <v>20</v>
      </c>
      <c r="H1421">
        <v>135</v>
      </c>
      <c r="I1421">
        <v>110</v>
      </c>
    </row>
    <row r="1422" spans="1:9" x14ac:dyDescent="0.25">
      <c r="A1422">
        <v>2024</v>
      </c>
      <c r="B1422" s="4" t="s">
        <v>189</v>
      </c>
      <c r="C1422" s="1">
        <v>4</v>
      </c>
      <c r="D1422" t="s">
        <v>190</v>
      </c>
      <c r="E1422">
        <v>120</v>
      </c>
      <c r="F1422">
        <v>2</v>
      </c>
      <c r="G1422">
        <v>10</v>
      </c>
      <c r="H1422">
        <v>100</v>
      </c>
      <c r="I1422">
        <v>108</v>
      </c>
    </row>
    <row r="1423" spans="1:9" x14ac:dyDescent="0.25">
      <c r="A1423">
        <v>2024</v>
      </c>
      <c r="B1423" s="4" t="s">
        <v>189</v>
      </c>
      <c r="C1423" s="1">
        <v>4</v>
      </c>
      <c r="D1423" t="s">
        <v>190</v>
      </c>
      <c r="E1423">
        <v>120</v>
      </c>
      <c r="F1423">
        <v>3</v>
      </c>
      <c r="G1423">
        <v>110</v>
      </c>
      <c r="H1423">
        <v>100</v>
      </c>
      <c r="I1423">
        <v>90</v>
      </c>
    </row>
    <row r="1424" spans="1:9" x14ac:dyDescent="0.25">
      <c r="A1424">
        <v>2024</v>
      </c>
      <c r="B1424" s="4" t="s">
        <v>189</v>
      </c>
      <c r="C1424" s="1">
        <v>4</v>
      </c>
      <c r="D1424" t="s">
        <v>191</v>
      </c>
      <c r="E1424">
        <v>120</v>
      </c>
      <c r="F1424">
        <v>1</v>
      </c>
      <c r="G1424">
        <v>46</v>
      </c>
      <c r="H1424">
        <v>99</v>
      </c>
      <c r="I1424" t="s">
        <v>20</v>
      </c>
    </row>
    <row r="1425" spans="1:9" x14ac:dyDescent="0.25">
      <c r="A1425">
        <v>2024</v>
      </c>
      <c r="B1425" s="4" t="s">
        <v>189</v>
      </c>
      <c r="C1425" s="1">
        <v>4</v>
      </c>
      <c r="D1425" t="s">
        <v>191</v>
      </c>
      <c r="E1425">
        <v>120</v>
      </c>
      <c r="F1425">
        <v>2</v>
      </c>
      <c r="G1425" t="s">
        <v>20</v>
      </c>
      <c r="H1425">
        <v>101</v>
      </c>
      <c r="I1425">
        <v>108</v>
      </c>
    </row>
    <row r="1426" spans="1:9" x14ac:dyDescent="0.25">
      <c r="A1426">
        <v>2024</v>
      </c>
      <c r="B1426" s="4" t="s">
        <v>189</v>
      </c>
      <c r="C1426" s="1">
        <v>4</v>
      </c>
      <c r="D1426" t="s">
        <v>191</v>
      </c>
      <c r="E1426">
        <v>120</v>
      </c>
      <c r="F1426">
        <v>3</v>
      </c>
      <c r="G1426" t="s">
        <v>20</v>
      </c>
      <c r="H1426">
        <v>101</v>
      </c>
      <c r="I1426">
        <v>101</v>
      </c>
    </row>
    <row r="1427" spans="1:9" x14ac:dyDescent="0.25">
      <c r="A1427">
        <v>2024</v>
      </c>
      <c r="B1427" s="4" t="s">
        <v>189</v>
      </c>
      <c r="C1427" s="1">
        <v>5</v>
      </c>
      <c r="D1427" t="s">
        <v>193</v>
      </c>
      <c r="E1427">
        <v>120</v>
      </c>
      <c r="F1427">
        <v>1</v>
      </c>
      <c r="G1427">
        <v>12</v>
      </c>
      <c r="H1427">
        <v>112</v>
      </c>
      <c r="I1427">
        <v>110</v>
      </c>
    </row>
    <row r="1428" spans="1:9" x14ac:dyDescent="0.25">
      <c r="A1428">
        <v>2024</v>
      </c>
      <c r="B1428" s="4" t="s">
        <v>189</v>
      </c>
      <c r="C1428" s="1">
        <v>5</v>
      </c>
      <c r="D1428" t="s">
        <v>193</v>
      </c>
      <c r="E1428">
        <v>120</v>
      </c>
      <c r="F1428">
        <v>2</v>
      </c>
      <c r="G1428">
        <v>14</v>
      </c>
      <c r="H1428">
        <v>116</v>
      </c>
      <c r="I1428">
        <v>112</v>
      </c>
    </row>
    <row r="1429" spans="1:9" x14ac:dyDescent="0.25">
      <c r="A1429">
        <v>2024</v>
      </c>
      <c r="B1429" s="4" t="s">
        <v>189</v>
      </c>
      <c r="C1429" s="1">
        <v>5</v>
      </c>
      <c r="D1429" t="s">
        <v>193</v>
      </c>
      <c r="E1429">
        <v>120</v>
      </c>
      <c r="F1429">
        <v>3</v>
      </c>
      <c r="G1429" t="s">
        <v>20</v>
      </c>
      <c r="H1429">
        <v>109</v>
      </c>
      <c r="I1429">
        <v>113</v>
      </c>
    </row>
    <row r="1430" spans="1:9" x14ac:dyDescent="0.25">
      <c r="A1430">
        <v>2024</v>
      </c>
      <c r="B1430" s="4" t="s">
        <v>49</v>
      </c>
      <c r="C1430" s="1">
        <v>5</v>
      </c>
      <c r="D1430" t="s">
        <v>194</v>
      </c>
      <c r="E1430">
        <v>120</v>
      </c>
      <c r="F1430">
        <v>1</v>
      </c>
      <c r="G1430">
        <v>42</v>
      </c>
      <c r="H1430">
        <v>113</v>
      </c>
      <c r="I1430">
        <v>116</v>
      </c>
    </row>
    <row r="1431" spans="1:9" x14ac:dyDescent="0.25">
      <c r="A1431">
        <v>2024</v>
      </c>
      <c r="B1431" s="4" t="s">
        <v>49</v>
      </c>
      <c r="C1431" s="1">
        <v>5</v>
      </c>
      <c r="D1431" t="s">
        <v>194</v>
      </c>
      <c r="E1431">
        <v>120</v>
      </c>
      <c r="F1431">
        <v>2</v>
      </c>
      <c r="G1431" t="s">
        <v>20</v>
      </c>
      <c r="H1431">
        <v>113</v>
      </c>
      <c r="I1431">
        <v>118</v>
      </c>
    </row>
    <row r="1432" spans="1:9" x14ac:dyDescent="0.25">
      <c r="A1432">
        <v>2024</v>
      </c>
      <c r="B1432" s="4" t="s">
        <v>49</v>
      </c>
      <c r="C1432" s="1">
        <v>5</v>
      </c>
      <c r="D1432" t="s">
        <v>194</v>
      </c>
      <c r="E1432">
        <v>120</v>
      </c>
      <c r="F1432">
        <v>3</v>
      </c>
      <c r="G1432" t="s">
        <v>20</v>
      </c>
      <c r="H1432">
        <v>112</v>
      </c>
      <c r="I1432">
        <v>120</v>
      </c>
    </row>
    <row r="1433" spans="1:9" x14ac:dyDescent="0.25">
      <c r="A1433">
        <v>2024</v>
      </c>
      <c r="B1433" s="4" t="s">
        <v>49</v>
      </c>
      <c r="C1433" s="1">
        <v>5</v>
      </c>
      <c r="D1433" t="s">
        <v>195</v>
      </c>
      <c r="E1433">
        <v>120</v>
      </c>
      <c r="F1433">
        <v>1</v>
      </c>
      <c r="G1433" t="s">
        <v>20</v>
      </c>
      <c r="H1433">
        <v>116</v>
      </c>
      <c r="I1433">
        <v>119</v>
      </c>
    </row>
    <row r="1434" spans="1:9" x14ac:dyDescent="0.25">
      <c r="A1434">
        <v>2024</v>
      </c>
      <c r="B1434" s="4" t="s">
        <v>49</v>
      </c>
      <c r="C1434" s="1">
        <v>5</v>
      </c>
      <c r="D1434" t="s">
        <v>195</v>
      </c>
      <c r="E1434">
        <v>120</v>
      </c>
      <c r="F1434">
        <v>2</v>
      </c>
      <c r="G1434" t="s">
        <v>20</v>
      </c>
      <c r="H1434">
        <v>115</v>
      </c>
      <c r="I1434">
        <v>112</v>
      </c>
    </row>
    <row r="1435" spans="1:9" x14ac:dyDescent="0.25">
      <c r="A1435">
        <v>2024</v>
      </c>
      <c r="B1435" s="4" t="s">
        <v>49</v>
      </c>
      <c r="C1435" s="1">
        <v>5</v>
      </c>
      <c r="D1435" t="s">
        <v>195</v>
      </c>
      <c r="E1435">
        <v>120</v>
      </c>
      <c r="F1435">
        <v>3</v>
      </c>
      <c r="G1435" t="s">
        <v>20</v>
      </c>
      <c r="H1435">
        <v>116</v>
      </c>
      <c r="I1435">
        <v>113</v>
      </c>
    </row>
    <row r="1436" spans="1:9" x14ac:dyDescent="0.25">
      <c r="A1436">
        <v>2024</v>
      </c>
      <c r="B1436" s="4" t="s">
        <v>49</v>
      </c>
      <c r="C1436" s="1">
        <v>5</v>
      </c>
      <c r="D1436" t="s">
        <v>196</v>
      </c>
      <c r="E1436">
        <v>120</v>
      </c>
      <c r="F1436">
        <v>1</v>
      </c>
      <c r="G1436">
        <v>44</v>
      </c>
      <c r="H1436">
        <v>109</v>
      </c>
      <c r="I1436">
        <v>108</v>
      </c>
    </row>
    <row r="1437" spans="1:9" x14ac:dyDescent="0.25">
      <c r="A1437">
        <v>2024</v>
      </c>
      <c r="B1437" s="4" t="s">
        <v>49</v>
      </c>
      <c r="C1437" s="1">
        <v>5</v>
      </c>
      <c r="D1437" t="s">
        <v>196</v>
      </c>
      <c r="E1437">
        <v>120</v>
      </c>
      <c r="F1437">
        <v>2</v>
      </c>
      <c r="G1437">
        <v>42</v>
      </c>
      <c r="H1437">
        <v>112</v>
      </c>
      <c r="I1437">
        <v>115</v>
      </c>
    </row>
    <row r="1438" spans="1:9" x14ac:dyDescent="0.25">
      <c r="A1438">
        <v>2024</v>
      </c>
      <c r="B1438" s="4" t="s">
        <v>49</v>
      </c>
      <c r="C1438" s="1">
        <v>5</v>
      </c>
      <c r="D1438" t="s">
        <v>196</v>
      </c>
      <c r="E1438">
        <v>120</v>
      </c>
      <c r="F1438">
        <v>3</v>
      </c>
      <c r="G1438">
        <v>52</v>
      </c>
      <c r="H1438">
        <v>146</v>
      </c>
      <c r="I1438">
        <v>119</v>
      </c>
    </row>
    <row r="1439" spans="1:9" x14ac:dyDescent="0.25">
      <c r="A1439">
        <v>2024</v>
      </c>
      <c r="B1439" s="4" t="s">
        <v>189</v>
      </c>
      <c r="C1439" s="1">
        <v>4</v>
      </c>
      <c r="D1439" t="s">
        <v>197</v>
      </c>
      <c r="E1439">
        <v>120</v>
      </c>
      <c r="F1439">
        <v>1</v>
      </c>
      <c r="G1439">
        <v>32</v>
      </c>
      <c r="H1439">
        <v>101</v>
      </c>
      <c r="I1439">
        <v>99</v>
      </c>
    </row>
    <row r="1440" spans="1:9" x14ac:dyDescent="0.25">
      <c r="A1440">
        <v>2024</v>
      </c>
      <c r="B1440" s="4" t="s">
        <v>189</v>
      </c>
      <c r="C1440" s="1">
        <v>4</v>
      </c>
      <c r="D1440" t="s">
        <v>197</v>
      </c>
      <c r="E1440">
        <v>120</v>
      </c>
      <c r="F1440">
        <v>2</v>
      </c>
      <c r="G1440" t="s">
        <v>20</v>
      </c>
      <c r="H1440">
        <v>106</v>
      </c>
      <c r="I1440">
        <v>105</v>
      </c>
    </row>
    <row r="1441" spans="1:9" x14ac:dyDescent="0.25">
      <c r="A1441">
        <v>2024</v>
      </c>
      <c r="B1441" s="4" t="s">
        <v>189</v>
      </c>
      <c r="C1441" s="1">
        <v>4</v>
      </c>
      <c r="D1441" t="s">
        <v>197</v>
      </c>
      <c r="E1441">
        <v>120</v>
      </c>
      <c r="F1441">
        <v>3</v>
      </c>
      <c r="G1441" t="s">
        <v>20</v>
      </c>
      <c r="H1441">
        <v>110</v>
      </c>
      <c r="I1441">
        <v>110</v>
      </c>
    </row>
    <row r="1442" spans="1:9" x14ac:dyDescent="0.25">
      <c r="A1442">
        <v>2024</v>
      </c>
      <c r="B1442" s="4" t="s">
        <v>189</v>
      </c>
      <c r="C1442" s="1">
        <v>3</v>
      </c>
      <c r="D1442" t="s">
        <v>198</v>
      </c>
      <c r="E1442">
        <v>120</v>
      </c>
      <c r="F1442">
        <v>1</v>
      </c>
      <c r="G1442">
        <v>12</v>
      </c>
      <c r="H1442">
        <v>99</v>
      </c>
      <c r="I1442">
        <v>125</v>
      </c>
    </row>
    <row r="1443" spans="1:9" x14ac:dyDescent="0.25">
      <c r="A1443">
        <v>2024</v>
      </c>
      <c r="B1443" s="4" t="s">
        <v>189</v>
      </c>
      <c r="C1443" s="1">
        <v>3</v>
      </c>
      <c r="D1443" t="s">
        <v>198</v>
      </c>
      <c r="E1443">
        <v>120</v>
      </c>
      <c r="F1443">
        <v>2</v>
      </c>
      <c r="G1443">
        <v>24</v>
      </c>
      <c r="H1443">
        <v>116</v>
      </c>
      <c r="I1443">
        <v>92</v>
      </c>
    </row>
    <row r="1444" spans="1:9" x14ac:dyDescent="0.25">
      <c r="A1444">
        <v>2024</v>
      </c>
      <c r="B1444" s="4" t="s">
        <v>189</v>
      </c>
      <c r="C1444" s="1">
        <v>3</v>
      </c>
      <c r="D1444" t="s">
        <v>198</v>
      </c>
      <c r="E1444">
        <v>120</v>
      </c>
      <c r="F1444">
        <v>3</v>
      </c>
      <c r="G1444">
        <v>32</v>
      </c>
      <c r="H1444">
        <v>95</v>
      </c>
      <c r="I1444">
        <v>129</v>
      </c>
    </row>
    <row r="1445" spans="1:9" x14ac:dyDescent="0.25">
      <c r="A1445">
        <v>2024</v>
      </c>
      <c r="B1445" s="4" t="s">
        <v>49</v>
      </c>
      <c r="C1445" s="1">
        <v>4</v>
      </c>
      <c r="D1445" t="s">
        <v>199</v>
      </c>
      <c r="E1445">
        <v>120</v>
      </c>
      <c r="F1445">
        <v>1</v>
      </c>
      <c r="G1445">
        <v>10</v>
      </c>
      <c r="H1445">
        <v>105</v>
      </c>
      <c r="I1445">
        <v>82</v>
      </c>
    </row>
    <row r="1446" spans="1:9" x14ac:dyDescent="0.25">
      <c r="A1446">
        <v>2024</v>
      </c>
      <c r="B1446" s="4" t="s">
        <v>49</v>
      </c>
      <c r="C1446" s="1">
        <v>4</v>
      </c>
      <c r="D1446" t="s">
        <v>199</v>
      </c>
      <c r="E1446">
        <v>120</v>
      </c>
      <c r="F1446">
        <v>2</v>
      </c>
      <c r="G1446">
        <v>22</v>
      </c>
      <c r="H1446">
        <v>106</v>
      </c>
      <c r="I1446">
        <v>98</v>
      </c>
    </row>
    <row r="1447" spans="1:9" x14ac:dyDescent="0.25">
      <c r="A1447">
        <v>2024</v>
      </c>
      <c r="B1447" s="4" t="s">
        <v>49</v>
      </c>
      <c r="C1447" s="1">
        <v>4</v>
      </c>
      <c r="D1447" t="s">
        <v>199</v>
      </c>
      <c r="E1447">
        <v>120</v>
      </c>
      <c r="F1447">
        <v>3</v>
      </c>
      <c r="G1447" t="s">
        <v>20</v>
      </c>
      <c r="H1447">
        <v>112</v>
      </c>
      <c r="I1447">
        <v>100</v>
      </c>
    </row>
    <row r="1448" spans="1:9" x14ac:dyDescent="0.25">
      <c r="A1448">
        <v>2024</v>
      </c>
      <c r="B1448" s="4" t="s">
        <v>49</v>
      </c>
      <c r="C1448" s="1">
        <v>4</v>
      </c>
      <c r="D1448" t="s">
        <v>200</v>
      </c>
      <c r="E1448">
        <v>120</v>
      </c>
      <c r="F1448">
        <v>1</v>
      </c>
      <c r="G1448">
        <v>38</v>
      </c>
      <c r="H1448">
        <v>104</v>
      </c>
      <c r="I1448">
        <v>122</v>
      </c>
    </row>
    <row r="1449" spans="1:9" x14ac:dyDescent="0.25">
      <c r="A1449">
        <v>2024</v>
      </c>
      <c r="B1449" s="4" t="s">
        <v>49</v>
      </c>
      <c r="C1449" s="1">
        <v>4</v>
      </c>
      <c r="D1449" t="s">
        <v>200</v>
      </c>
      <c r="E1449">
        <v>120</v>
      </c>
      <c r="F1449">
        <v>2</v>
      </c>
      <c r="G1449">
        <v>70</v>
      </c>
      <c r="H1449">
        <v>103</v>
      </c>
      <c r="I1449"/>
    </row>
    <row r="1450" spans="1:9" x14ac:dyDescent="0.25">
      <c r="A1450">
        <v>2024</v>
      </c>
      <c r="B1450" s="4" t="s">
        <v>49</v>
      </c>
      <c r="C1450" s="1">
        <v>4</v>
      </c>
      <c r="D1450" t="s">
        <v>200</v>
      </c>
      <c r="E1450">
        <v>120</v>
      </c>
      <c r="F1450">
        <v>3</v>
      </c>
      <c r="G1450" t="s">
        <v>20</v>
      </c>
      <c r="H1450">
        <v>106</v>
      </c>
      <c r="I1450">
        <v>125</v>
      </c>
    </row>
    <row r="1451" spans="1:9" x14ac:dyDescent="0.25">
      <c r="A1451">
        <v>2024</v>
      </c>
      <c r="B1451" s="4" t="s">
        <v>189</v>
      </c>
      <c r="C1451" s="1">
        <v>3</v>
      </c>
      <c r="D1451" t="s">
        <v>201</v>
      </c>
      <c r="E1451">
        <v>120</v>
      </c>
      <c r="F1451">
        <v>1</v>
      </c>
      <c r="G1451">
        <v>22</v>
      </c>
      <c r="H1451">
        <v>93</v>
      </c>
      <c r="I1451">
        <v>121</v>
      </c>
    </row>
    <row r="1452" spans="1:9" x14ac:dyDescent="0.25">
      <c r="A1452">
        <v>2024</v>
      </c>
      <c r="B1452" s="4" t="s">
        <v>189</v>
      </c>
      <c r="C1452" s="1">
        <v>3</v>
      </c>
      <c r="D1452" t="s">
        <v>201</v>
      </c>
      <c r="E1452">
        <v>120</v>
      </c>
      <c r="F1452">
        <v>2</v>
      </c>
      <c r="G1452" t="s">
        <v>20</v>
      </c>
      <c r="H1452">
        <v>95</v>
      </c>
      <c r="I1452">
        <v>123</v>
      </c>
    </row>
    <row r="1453" spans="1:9" x14ac:dyDescent="0.25">
      <c r="A1453">
        <v>2024</v>
      </c>
      <c r="B1453" s="4" t="s">
        <v>189</v>
      </c>
      <c r="C1453" s="1">
        <v>3</v>
      </c>
      <c r="D1453" t="s">
        <v>201</v>
      </c>
      <c r="E1453">
        <v>120</v>
      </c>
      <c r="F1453">
        <v>3</v>
      </c>
      <c r="G1453" t="s">
        <v>20</v>
      </c>
      <c r="H1453">
        <v>95</v>
      </c>
      <c r="I1453">
        <v>133</v>
      </c>
    </row>
    <row r="1454" spans="1:9" x14ac:dyDescent="0.25">
      <c r="A1454">
        <v>2024</v>
      </c>
      <c r="B1454" s="4" t="s">
        <v>189</v>
      </c>
      <c r="C1454" s="1">
        <v>4</v>
      </c>
      <c r="D1454" t="s">
        <v>202</v>
      </c>
      <c r="E1454">
        <v>120</v>
      </c>
      <c r="F1454">
        <v>1</v>
      </c>
      <c r="G1454">
        <v>64</v>
      </c>
      <c r="H1454">
        <v>119</v>
      </c>
      <c r="I1454">
        <v>99</v>
      </c>
    </row>
    <row r="1455" spans="1:9" x14ac:dyDescent="0.25">
      <c r="A1455">
        <v>2024</v>
      </c>
      <c r="B1455" s="4" t="s">
        <v>189</v>
      </c>
      <c r="C1455" s="1">
        <v>4</v>
      </c>
      <c r="D1455" t="s">
        <v>202</v>
      </c>
      <c r="E1455">
        <v>120</v>
      </c>
      <c r="F1455">
        <v>2</v>
      </c>
      <c r="G1455">
        <v>40</v>
      </c>
      <c r="H1455">
        <v>121</v>
      </c>
      <c r="I1455">
        <v>95</v>
      </c>
    </row>
    <row r="1456" spans="1:9" x14ac:dyDescent="0.25">
      <c r="A1456">
        <v>2024</v>
      </c>
      <c r="B1456" s="4" t="s">
        <v>189</v>
      </c>
      <c r="C1456" s="1">
        <v>4</v>
      </c>
      <c r="D1456" t="s">
        <v>202</v>
      </c>
      <c r="E1456">
        <v>120</v>
      </c>
      <c r="F1456">
        <v>3</v>
      </c>
      <c r="G1456" t="s">
        <v>20</v>
      </c>
      <c r="H1456">
        <v>122</v>
      </c>
      <c r="I1456">
        <v>101</v>
      </c>
    </row>
    <row r="1457" spans="1:9" x14ac:dyDescent="0.25">
      <c r="A1457">
        <v>2024</v>
      </c>
      <c r="B1457" s="4" t="s">
        <v>172</v>
      </c>
      <c r="C1457" s="1">
        <v>3</v>
      </c>
      <c r="D1457" t="s">
        <v>203</v>
      </c>
      <c r="E1457">
        <v>120</v>
      </c>
      <c r="F1457">
        <v>1</v>
      </c>
      <c r="G1457">
        <v>26</v>
      </c>
      <c r="H1457">
        <v>116</v>
      </c>
      <c r="I1457">
        <v>40</v>
      </c>
    </row>
    <row r="1458" spans="1:9" x14ac:dyDescent="0.25">
      <c r="A1458">
        <v>2024</v>
      </c>
      <c r="B1458" s="4" t="s">
        <v>172</v>
      </c>
      <c r="C1458" s="1">
        <v>3</v>
      </c>
      <c r="D1458" t="s">
        <v>203</v>
      </c>
      <c r="E1458">
        <v>120</v>
      </c>
      <c r="F1458">
        <v>2</v>
      </c>
      <c r="G1458">
        <v>22</v>
      </c>
      <c r="H1458">
        <v>108</v>
      </c>
      <c r="I1458">
        <v>60</v>
      </c>
    </row>
    <row r="1459" spans="1:9" x14ac:dyDescent="0.25">
      <c r="A1459">
        <v>2024</v>
      </c>
      <c r="B1459" s="4" t="s">
        <v>172</v>
      </c>
      <c r="C1459" s="1">
        <v>3</v>
      </c>
      <c r="D1459" t="s">
        <v>203</v>
      </c>
      <c r="E1459">
        <v>120</v>
      </c>
      <c r="F1459">
        <v>3</v>
      </c>
      <c r="G1459" t="s">
        <v>20</v>
      </c>
      <c r="H1459">
        <v>115</v>
      </c>
      <c r="I1459">
        <v>62</v>
      </c>
    </row>
    <row r="1460" spans="1:9" x14ac:dyDescent="0.25">
      <c r="A1460">
        <v>2024</v>
      </c>
      <c r="B1460" s="4" t="s">
        <v>49</v>
      </c>
      <c r="C1460" s="1">
        <v>4</v>
      </c>
      <c r="D1460" t="s">
        <v>204</v>
      </c>
      <c r="E1460">
        <v>120</v>
      </c>
      <c r="F1460">
        <v>1</v>
      </c>
      <c r="G1460">
        <v>26</v>
      </c>
      <c r="H1460">
        <v>137</v>
      </c>
      <c r="I1460">
        <v>108</v>
      </c>
    </row>
    <row r="1461" spans="1:9" x14ac:dyDescent="0.25">
      <c r="A1461">
        <v>2024</v>
      </c>
      <c r="B1461" s="4" t="s">
        <v>49</v>
      </c>
      <c r="C1461" s="1">
        <v>4</v>
      </c>
      <c r="D1461" t="s">
        <v>204</v>
      </c>
      <c r="E1461">
        <v>120</v>
      </c>
      <c r="F1461">
        <v>2</v>
      </c>
      <c r="G1461" t="s">
        <v>20</v>
      </c>
      <c r="H1461">
        <v>138</v>
      </c>
      <c r="I1461">
        <v>131</v>
      </c>
    </row>
    <row r="1462" spans="1:9" x14ac:dyDescent="0.25">
      <c r="A1462">
        <v>2024</v>
      </c>
      <c r="B1462" s="4" t="s">
        <v>49</v>
      </c>
      <c r="C1462" s="1">
        <v>4</v>
      </c>
      <c r="D1462" t="s">
        <v>204</v>
      </c>
      <c r="E1462">
        <v>120</v>
      </c>
      <c r="F1462">
        <v>3</v>
      </c>
      <c r="G1462" t="s">
        <v>20</v>
      </c>
      <c r="H1462">
        <v>129</v>
      </c>
      <c r="I1462">
        <v>122</v>
      </c>
    </row>
    <row r="1463" spans="1:9" x14ac:dyDescent="0.25">
      <c r="A1463">
        <v>2024</v>
      </c>
      <c r="B1463" s="4" t="s">
        <v>49</v>
      </c>
      <c r="C1463" s="1">
        <v>5</v>
      </c>
      <c r="D1463" t="s">
        <v>205</v>
      </c>
      <c r="E1463">
        <v>120</v>
      </c>
      <c r="F1463">
        <v>1</v>
      </c>
      <c r="G1463">
        <v>64</v>
      </c>
      <c r="H1463">
        <v>100</v>
      </c>
      <c r="I1463">
        <v>102</v>
      </c>
    </row>
    <row r="1464" spans="1:9" x14ac:dyDescent="0.25">
      <c r="A1464">
        <v>2024</v>
      </c>
      <c r="B1464" s="4" t="s">
        <v>49</v>
      </c>
      <c r="C1464" s="1">
        <v>5</v>
      </c>
      <c r="D1464" t="s">
        <v>205</v>
      </c>
      <c r="E1464">
        <v>120</v>
      </c>
      <c r="F1464">
        <v>2</v>
      </c>
      <c r="G1464">
        <v>80</v>
      </c>
      <c r="H1464">
        <v>103</v>
      </c>
      <c r="I1464">
        <v>100</v>
      </c>
    </row>
    <row r="1465" spans="1:9" x14ac:dyDescent="0.25">
      <c r="A1465">
        <v>2024</v>
      </c>
      <c r="B1465" s="4" t="s">
        <v>49</v>
      </c>
      <c r="C1465" s="1">
        <v>5</v>
      </c>
      <c r="D1465" t="s">
        <v>205</v>
      </c>
      <c r="E1465">
        <v>120</v>
      </c>
      <c r="F1465">
        <v>3</v>
      </c>
      <c r="G1465">
        <v>50</v>
      </c>
      <c r="H1465">
        <v>101</v>
      </c>
      <c r="I1465">
        <v>105</v>
      </c>
    </row>
    <row r="1466" spans="1:9" x14ac:dyDescent="0.25">
      <c r="A1466">
        <v>2024</v>
      </c>
      <c r="B1466" s="4" t="s">
        <v>49</v>
      </c>
      <c r="C1466" s="1">
        <v>5</v>
      </c>
      <c r="D1466" t="s">
        <v>206</v>
      </c>
      <c r="E1466">
        <v>120</v>
      </c>
      <c r="F1466">
        <v>1</v>
      </c>
      <c r="G1466">
        <v>30</v>
      </c>
      <c r="H1466">
        <v>113</v>
      </c>
      <c r="I1466">
        <v>100</v>
      </c>
    </row>
    <row r="1467" spans="1:9" x14ac:dyDescent="0.25">
      <c r="A1467">
        <v>2024</v>
      </c>
      <c r="B1467" s="4" t="s">
        <v>49</v>
      </c>
      <c r="C1467" s="1">
        <v>5</v>
      </c>
      <c r="D1467" t="s">
        <v>206</v>
      </c>
      <c r="E1467">
        <v>120</v>
      </c>
      <c r="F1467">
        <v>2</v>
      </c>
      <c r="G1467" t="s">
        <v>20</v>
      </c>
      <c r="H1467">
        <v>114</v>
      </c>
      <c r="I1467">
        <v>101</v>
      </c>
    </row>
    <row r="1468" spans="1:9" x14ac:dyDescent="0.25">
      <c r="A1468">
        <v>2024</v>
      </c>
      <c r="B1468" s="4" t="s">
        <v>49</v>
      </c>
      <c r="C1468" s="1">
        <v>5</v>
      </c>
      <c r="D1468" t="s">
        <v>206</v>
      </c>
      <c r="E1468">
        <v>120</v>
      </c>
      <c r="F1468">
        <v>3</v>
      </c>
      <c r="G1468" t="s">
        <v>20</v>
      </c>
      <c r="H1468">
        <v>112</v>
      </c>
      <c r="I1468">
        <v>111</v>
      </c>
    </row>
    <row r="1469" spans="1:9" x14ac:dyDescent="0.25">
      <c r="A1469">
        <v>2024</v>
      </c>
      <c r="B1469" s="4" t="s">
        <v>189</v>
      </c>
      <c r="C1469" s="1">
        <v>5</v>
      </c>
      <c r="D1469" t="s">
        <v>207</v>
      </c>
      <c r="E1469">
        <v>120</v>
      </c>
      <c r="F1469">
        <v>1</v>
      </c>
      <c r="G1469">
        <v>26</v>
      </c>
      <c r="H1469">
        <v>118</v>
      </c>
      <c r="I1469">
        <v>110</v>
      </c>
    </row>
    <row r="1470" spans="1:9" x14ac:dyDescent="0.25">
      <c r="A1470">
        <v>2024</v>
      </c>
      <c r="B1470" s="4" t="s">
        <v>189</v>
      </c>
      <c r="C1470" s="1">
        <v>5</v>
      </c>
      <c r="D1470" t="s">
        <v>207</v>
      </c>
      <c r="E1470">
        <v>120</v>
      </c>
      <c r="F1470">
        <v>2</v>
      </c>
      <c r="G1470" t="s">
        <v>20</v>
      </c>
      <c r="H1470">
        <v>119</v>
      </c>
      <c r="I1470">
        <v>106</v>
      </c>
    </row>
    <row r="1471" spans="1:9" x14ac:dyDescent="0.25">
      <c r="A1471">
        <v>2024</v>
      </c>
      <c r="B1471" s="4" t="s">
        <v>189</v>
      </c>
      <c r="C1471" s="1">
        <v>5</v>
      </c>
      <c r="D1471" t="s">
        <v>207</v>
      </c>
      <c r="E1471">
        <v>120</v>
      </c>
      <c r="F1471">
        <v>3</v>
      </c>
      <c r="G1471" t="s">
        <v>20</v>
      </c>
      <c r="H1471">
        <v>85</v>
      </c>
      <c r="I1471">
        <v>95</v>
      </c>
    </row>
    <row r="1472" spans="1:9" x14ac:dyDescent="0.25">
      <c r="A1472">
        <v>2024</v>
      </c>
      <c r="B1472" s="4" t="s">
        <v>189</v>
      </c>
      <c r="C1472" s="1">
        <v>3</v>
      </c>
      <c r="D1472" t="s">
        <v>208</v>
      </c>
      <c r="E1472">
        <v>120</v>
      </c>
      <c r="F1472">
        <v>1</v>
      </c>
      <c r="G1472">
        <v>42</v>
      </c>
      <c r="H1472">
        <v>99</v>
      </c>
      <c r="I1472">
        <v>120</v>
      </c>
    </row>
    <row r="1473" spans="1:9" x14ac:dyDescent="0.25">
      <c r="A1473">
        <v>2024</v>
      </c>
      <c r="B1473" s="4" t="s">
        <v>189</v>
      </c>
      <c r="C1473" s="1">
        <v>3</v>
      </c>
      <c r="D1473" t="s">
        <v>208</v>
      </c>
      <c r="E1473">
        <v>120</v>
      </c>
      <c r="F1473">
        <v>2</v>
      </c>
      <c r="G1473" t="s">
        <v>20</v>
      </c>
      <c r="H1473">
        <v>95</v>
      </c>
      <c r="I1473">
        <v>136</v>
      </c>
    </row>
    <row r="1474" spans="1:9" x14ac:dyDescent="0.25">
      <c r="A1474">
        <v>2024</v>
      </c>
      <c r="B1474" s="4" t="s">
        <v>189</v>
      </c>
      <c r="C1474" s="1">
        <v>3</v>
      </c>
      <c r="D1474" t="s">
        <v>208</v>
      </c>
      <c r="E1474">
        <v>120</v>
      </c>
      <c r="F1474">
        <v>3</v>
      </c>
      <c r="G1474" t="s">
        <v>20</v>
      </c>
      <c r="H1474">
        <v>93</v>
      </c>
      <c r="I1474">
        <v>140</v>
      </c>
    </row>
    <row r="1475" spans="1:9" x14ac:dyDescent="0.25">
      <c r="A1475">
        <v>2024</v>
      </c>
      <c r="B1475" s="4" t="s">
        <v>209</v>
      </c>
      <c r="C1475" s="1">
        <v>4</v>
      </c>
      <c r="D1475" t="s">
        <v>210</v>
      </c>
      <c r="E1475">
        <v>120</v>
      </c>
      <c r="F1475">
        <v>1</v>
      </c>
      <c r="G1475">
        <v>70</v>
      </c>
      <c r="H1475">
        <v>99</v>
      </c>
      <c r="I1475">
        <v>99</v>
      </c>
    </row>
    <row r="1476" spans="1:9" x14ac:dyDescent="0.25">
      <c r="A1476">
        <v>2024</v>
      </c>
      <c r="B1476" s="4" t="s">
        <v>209</v>
      </c>
      <c r="C1476" s="1">
        <v>4</v>
      </c>
      <c r="D1476" t="s">
        <v>210</v>
      </c>
      <c r="E1476">
        <v>120</v>
      </c>
      <c r="F1476">
        <v>2</v>
      </c>
      <c r="G1476">
        <v>90</v>
      </c>
      <c r="H1476">
        <v>99</v>
      </c>
      <c r="I1476">
        <v>107</v>
      </c>
    </row>
    <row r="1477" spans="1:9" x14ac:dyDescent="0.25">
      <c r="A1477">
        <v>2024</v>
      </c>
      <c r="B1477" s="4" t="s">
        <v>209</v>
      </c>
      <c r="C1477" s="1">
        <v>4</v>
      </c>
      <c r="D1477" t="s">
        <v>210</v>
      </c>
      <c r="E1477">
        <v>120</v>
      </c>
      <c r="F1477">
        <v>3</v>
      </c>
      <c r="G1477" t="s">
        <v>20</v>
      </c>
      <c r="H1477">
        <v>99</v>
      </c>
      <c r="I1477">
        <v>98</v>
      </c>
    </row>
    <row r="1478" spans="1:9" x14ac:dyDescent="0.25">
      <c r="A1478">
        <v>2024</v>
      </c>
      <c r="B1478" s="4" t="s">
        <v>172</v>
      </c>
      <c r="C1478" s="1">
        <v>5</v>
      </c>
      <c r="D1478" t="s">
        <v>211</v>
      </c>
      <c r="E1478">
        <v>120</v>
      </c>
      <c r="F1478">
        <v>1</v>
      </c>
      <c r="G1478">
        <v>88</v>
      </c>
      <c r="H1478">
        <v>104</v>
      </c>
      <c r="I1478">
        <v>114</v>
      </c>
    </row>
    <row r="1479" spans="1:9" x14ac:dyDescent="0.25">
      <c r="A1479">
        <v>2024</v>
      </c>
      <c r="B1479" s="4" t="s">
        <v>172</v>
      </c>
      <c r="C1479" s="1">
        <v>5</v>
      </c>
      <c r="D1479" t="s">
        <v>211</v>
      </c>
      <c r="E1479">
        <v>120</v>
      </c>
      <c r="F1479">
        <v>2</v>
      </c>
      <c r="G1479">
        <v>90</v>
      </c>
      <c r="H1479">
        <v>104</v>
      </c>
      <c r="I1479">
        <v>116</v>
      </c>
    </row>
    <row r="1480" spans="1:9" x14ac:dyDescent="0.25">
      <c r="A1480">
        <v>2024</v>
      </c>
      <c r="B1480" s="4" t="s">
        <v>172</v>
      </c>
      <c r="C1480" s="1">
        <v>5</v>
      </c>
      <c r="D1480" t="s">
        <v>211</v>
      </c>
      <c r="E1480">
        <v>120</v>
      </c>
      <c r="F1480">
        <v>3</v>
      </c>
      <c r="G1480" t="s">
        <v>20</v>
      </c>
      <c r="H1480">
        <v>104</v>
      </c>
      <c r="I1480">
        <v>108</v>
      </c>
    </row>
    <row r="1481" spans="1:9" x14ac:dyDescent="0.25">
      <c r="A1481">
        <v>2024</v>
      </c>
      <c r="B1481" s="4" t="s">
        <v>214</v>
      </c>
      <c r="C1481" s="1">
        <v>2</v>
      </c>
      <c r="D1481" t="s">
        <v>215</v>
      </c>
      <c r="E1481">
        <v>120</v>
      </c>
      <c r="F1481">
        <v>1</v>
      </c>
      <c r="G1481">
        <v>22</v>
      </c>
      <c r="H1481">
        <v>100</v>
      </c>
      <c r="I1481">
        <v>84</v>
      </c>
    </row>
    <row r="1482" spans="1:9" x14ac:dyDescent="0.25">
      <c r="A1482">
        <v>2024</v>
      </c>
      <c r="B1482" s="4" t="s">
        <v>214</v>
      </c>
      <c r="C1482" s="1">
        <v>2</v>
      </c>
      <c r="D1482" t="s">
        <v>215</v>
      </c>
      <c r="E1482">
        <v>120</v>
      </c>
      <c r="F1482">
        <v>2</v>
      </c>
      <c r="G1482">
        <v>22</v>
      </c>
      <c r="H1482">
        <v>100</v>
      </c>
      <c r="I1482">
        <v>104</v>
      </c>
    </row>
    <row r="1483" spans="1:9" x14ac:dyDescent="0.25">
      <c r="A1483">
        <v>2024</v>
      </c>
      <c r="B1483" s="4" t="s">
        <v>214</v>
      </c>
      <c r="C1483" s="1">
        <v>2</v>
      </c>
      <c r="D1483" t="s">
        <v>215</v>
      </c>
      <c r="E1483">
        <v>120</v>
      </c>
      <c r="F1483">
        <v>3</v>
      </c>
      <c r="G1483" t="s">
        <v>20</v>
      </c>
      <c r="H1483">
        <v>101</v>
      </c>
      <c r="I1483">
        <v>96</v>
      </c>
    </row>
    <row r="1484" spans="1:9" x14ac:dyDescent="0.25">
      <c r="A1484">
        <v>2024</v>
      </c>
      <c r="B1484" s="4" t="s">
        <v>14</v>
      </c>
      <c r="C1484" s="1">
        <v>1</v>
      </c>
      <c r="D1484" t="s">
        <v>218</v>
      </c>
      <c r="E1484">
        <v>120</v>
      </c>
      <c r="F1484">
        <v>1</v>
      </c>
      <c r="G1484">
        <v>88</v>
      </c>
      <c r="H1484">
        <v>140</v>
      </c>
      <c r="I1484">
        <v>115</v>
      </c>
    </row>
    <row r="1485" spans="1:9" x14ac:dyDescent="0.25">
      <c r="A1485">
        <v>2024</v>
      </c>
      <c r="B1485" s="4" t="s">
        <v>14</v>
      </c>
      <c r="C1485" s="1">
        <v>1</v>
      </c>
      <c r="D1485" t="s">
        <v>218</v>
      </c>
      <c r="E1485">
        <v>120</v>
      </c>
      <c r="F1485">
        <v>2</v>
      </c>
      <c r="G1485" t="s">
        <v>20</v>
      </c>
      <c r="H1485">
        <v>136</v>
      </c>
      <c r="I1485">
        <v>113</v>
      </c>
    </row>
    <row r="1486" spans="1:9" x14ac:dyDescent="0.25">
      <c r="A1486">
        <v>2024</v>
      </c>
      <c r="B1486" s="4" t="s">
        <v>14</v>
      </c>
      <c r="C1486" s="1">
        <v>1</v>
      </c>
      <c r="D1486" t="s">
        <v>218</v>
      </c>
      <c r="E1486">
        <v>120</v>
      </c>
      <c r="F1486">
        <v>3</v>
      </c>
      <c r="G1486" t="s">
        <v>20</v>
      </c>
      <c r="H1486">
        <v>140</v>
      </c>
      <c r="I1486">
        <v>110</v>
      </c>
    </row>
    <row r="1487" spans="1:9" x14ac:dyDescent="0.25">
      <c r="A1487">
        <v>2024</v>
      </c>
      <c r="B1487" s="4" t="s">
        <v>219</v>
      </c>
      <c r="C1487" s="1">
        <v>2</v>
      </c>
      <c r="D1487" t="s">
        <v>220</v>
      </c>
      <c r="E1487">
        <v>120</v>
      </c>
      <c r="F1487">
        <v>1</v>
      </c>
      <c r="G1487">
        <v>10</v>
      </c>
      <c r="H1487">
        <v>80</v>
      </c>
      <c r="I1487">
        <v>60</v>
      </c>
    </row>
    <row r="1488" spans="1:9" x14ac:dyDescent="0.25">
      <c r="A1488">
        <v>2024</v>
      </c>
      <c r="B1488" s="4" t="s">
        <v>219</v>
      </c>
      <c r="C1488" s="1">
        <v>2</v>
      </c>
      <c r="D1488" t="s">
        <v>220</v>
      </c>
      <c r="E1488">
        <v>120</v>
      </c>
      <c r="F1488">
        <v>2</v>
      </c>
      <c r="G1488">
        <v>28</v>
      </c>
      <c r="H1488">
        <v>82</v>
      </c>
      <c r="I1488">
        <v>63</v>
      </c>
    </row>
    <row r="1489" spans="1:9" x14ac:dyDescent="0.25">
      <c r="A1489">
        <v>2024</v>
      </c>
      <c r="B1489" s="4" t="s">
        <v>219</v>
      </c>
      <c r="C1489" s="1">
        <v>2</v>
      </c>
      <c r="D1489" t="s">
        <v>220</v>
      </c>
      <c r="E1489">
        <v>120</v>
      </c>
      <c r="F1489">
        <v>3</v>
      </c>
      <c r="G1489" t="s">
        <v>20</v>
      </c>
      <c r="H1489">
        <v>84</v>
      </c>
      <c r="I1489">
        <v>68</v>
      </c>
    </row>
    <row r="1490" spans="1:9" x14ac:dyDescent="0.25">
      <c r="A1490">
        <v>2024</v>
      </c>
      <c r="B1490" s="4" t="s">
        <v>219</v>
      </c>
      <c r="C1490" s="1">
        <v>1</v>
      </c>
      <c r="D1490" t="s">
        <v>221</v>
      </c>
      <c r="E1490">
        <v>120</v>
      </c>
      <c r="F1490">
        <v>1</v>
      </c>
      <c r="G1490">
        <v>74</v>
      </c>
      <c r="H1490">
        <v>99</v>
      </c>
      <c r="I1490">
        <v>90</v>
      </c>
    </row>
    <row r="1491" spans="1:9" x14ac:dyDescent="0.25">
      <c r="A1491">
        <v>2024</v>
      </c>
      <c r="B1491" s="4" t="s">
        <v>219</v>
      </c>
      <c r="C1491" s="1">
        <v>1</v>
      </c>
      <c r="D1491" t="s">
        <v>221</v>
      </c>
      <c r="E1491">
        <v>120</v>
      </c>
      <c r="F1491">
        <v>2</v>
      </c>
      <c r="G1491">
        <v>104</v>
      </c>
      <c r="H1491">
        <v>101</v>
      </c>
      <c r="I1491">
        <v>98</v>
      </c>
    </row>
    <row r="1492" spans="1:9" x14ac:dyDescent="0.25">
      <c r="A1492">
        <v>2024</v>
      </c>
      <c r="B1492" s="4" t="s">
        <v>219</v>
      </c>
      <c r="C1492" s="1">
        <v>1</v>
      </c>
      <c r="D1492" t="s">
        <v>221</v>
      </c>
      <c r="E1492">
        <v>120</v>
      </c>
      <c r="F1492">
        <v>3</v>
      </c>
      <c r="G1492">
        <v>100</v>
      </c>
      <c r="H1492">
        <v>103</v>
      </c>
      <c r="I1492">
        <v>91</v>
      </c>
    </row>
    <row r="1493" spans="1:9" x14ac:dyDescent="0.25">
      <c r="A1493">
        <v>2024</v>
      </c>
      <c r="B1493" s="4" t="s">
        <v>219</v>
      </c>
      <c r="C1493" s="1">
        <v>2</v>
      </c>
      <c r="D1493" t="s">
        <v>222</v>
      </c>
      <c r="E1493">
        <v>120</v>
      </c>
      <c r="F1493">
        <v>1</v>
      </c>
      <c r="G1493">
        <v>68</v>
      </c>
      <c r="H1493">
        <v>82</v>
      </c>
      <c r="I1493">
        <v>95</v>
      </c>
    </row>
    <row r="1494" spans="1:9" x14ac:dyDescent="0.25">
      <c r="A1494">
        <v>2024</v>
      </c>
      <c r="B1494" s="4" t="s">
        <v>219</v>
      </c>
      <c r="C1494" s="1">
        <v>2</v>
      </c>
      <c r="D1494" t="s">
        <v>222</v>
      </c>
      <c r="E1494">
        <v>120</v>
      </c>
      <c r="F1494">
        <v>2</v>
      </c>
      <c r="G1494" t="s">
        <v>20</v>
      </c>
      <c r="H1494">
        <v>82</v>
      </c>
      <c r="I1494">
        <v>75</v>
      </c>
    </row>
    <row r="1495" spans="1:9" x14ac:dyDescent="0.25">
      <c r="A1495">
        <v>2024</v>
      </c>
      <c r="B1495" s="4" t="s">
        <v>219</v>
      </c>
      <c r="C1495" s="1">
        <v>2</v>
      </c>
      <c r="D1495" t="s">
        <v>222</v>
      </c>
      <c r="E1495">
        <v>120</v>
      </c>
      <c r="F1495">
        <v>3</v>
      </c>
      <c r="G1495" t="s">
        <v>20</v>
      </c>
      <c r="H1495">
        <v>82</v>
      </c>
      <c r="I1495">
        <v>81</v>
      </c>
    </row>
    <row r="1496" spans="1:9" x14ac:dyDescent="0.25">
      <c r="A1496">
        <v>2024</v>
      </c>
      <c r="B1496" s="4" t="s">
        <v>226</v>
      </c>
      <c r="C1496" s="1">
        <v>2</v>
      </c>
      <c r="D1496" t="s">
        <v>227</v>
      </c>
      <c r="E1496">
        <v>120</v>
      </c>
      <c r="F1496">
        <v>1</v>
      </c>
      <c r="G1496">
        <v>36</v>
      </c>
      <c r="H1496" t="s">
        <v>20</v>
      </c>
      <c r="I1496" t="s">
        <v>20</v>
      </c>
    </row>
    <row r="1497" spans="1:9" x14ac:dyDescent="0.25">
      <c r="A1497">
        <v>2024</v>
      </c>
      <c r="B1497" s="4" t="s">
        <v>226</v>
      </c>
      <c r="C1497" s="1">
        <v>2</v>
      </c>
      <c r="D1497" t="s">
        <v>227</v>
      </c>
      <c r="E1497">
        <v>120</v>
      </c>
      <c r="F1497">
        <v>2</v>
      </c>
      <c r="G1497">
        <v>0</v>
      </c>
      <c r="H1497">
        <v>103</v>
      </c>
      <c r="I1497">
        <v>120</v>
      </c>
    </row>
    <row r="1498" spans="1:9" x14ac:dyDescent="0.25">
      <c r="A1498">
        <v>2024</v>
      </c>
      <c r="B1498" s="4" t="s">
        <v>226</v>
      </c>
      <c r="C1498" s="1">
        <v>2</v>
      </c>
      <c r="D1498" t="s">
        <v>227</v>
      </c>
      <c r="E1498">
        <v>120</v>
      </c>
      <c r="F1498">
        <v>3</v>
      </c>
      <c r="G1498">
        <v>4</v>
      </c>
      <c r="H1498" t="s">
        <v>20</v>
      </c>
      <c r="I1498" t="s">
        <v>20</v>
      </c>
    </row>
    <row r="1499" spans="1:9" x14ac:dyDescent="0.25">
      <c r="A1499">
        <v>2024</v>
      </c>
      <c r="B1499" s="4" t="s">
        <v>228</v>
      </c>
      <c r="C1499" s="1">
        <v>2</v>
      </c>
      <c r="D1499" t="s">
        <v>229</v>
      </c>
      <c r="E1499">
        <v>120</v>
      </c>
      <c r="F1499">
        <v>1</v>
      </c>
      <c r="G1499">
        <v>36</v>
      </c>
      <c r="H1499">
        <v>74</v>
      </c>
      <c r="I1499">
        <v>107</v>
      </c>
    </row>
    <row r="1500" spans="1:9" x14ac:dyDescent="0.25">
      <c r="A1500">
        <v>2024</v>
      </c>
      <c r="B1500" s="4" t="s">
        <v>228</v>
      </c>
      <c r="C1500" s="1">
        <v>2</v>
      </c>
      <c r="D1500" t="s">
        <v>229</v>
      </c>
      <c r="E1500">
        <v>120</v>
      </c>
      <c r="F1500">
        <v>2</v>
      </c>
      <c r="G1500">
        <v>24</v>
      </c>
      <c r="H1500">
        <v>74</v>
      </c>
      <c r="I1500">
        <v>97</v>
      </c>
    </row>
    <row r="1501" spans="1:9" x14ac:dyDescent="0.25">
      <c r="A1501">
        <v>2024</v>
      </c>
      <c r="B1501" s="4" t="s">
        <v>228</v>
      </c>
      <c r="C1501" s="1">
        <v>2</v>
      </c>
      <c r="D1501" t="s">
        <v>229</v>
      </c>
      <c r="E1501">
        <v>120</v>
      </c>
      <c r="F1501">
        <v>3</v>
      </c>
      <c r="G1501" t="s">
        <v>20</v>
      </c>
      <c r="H1501">
        <v>78</v>
      </c>
      <c r="I1501">
        <v>107</v>
      </c>
    </row>
    <row r="1502" spans="1:9" x14ac:dyDescent="0.25">
      <c r="A1502">
        <v>2024</v>
      </c>
      <c r="B1502" s="4" t="s">
        <v>230</v>
      </c>
      <c r="C1502" s="1">
        <v>2</v>
      </c>
      <c r="D1502" t="s">
        <v>231</v>
      </c>
      <c r="E1502">
        <v>120</v>
      </c>
      <c r="F1502">
        <v>1</v>
      </c>
      <c r="G1502">
        <v>102</v>
      </c>
      <c r="H1502">
        <v>85</v>
      </c>
      <c r="I1502">
        <v>66</v>
      </c>
    </row>
    <row r="1503" spans="1:9" x14ac:dyDescent="0.25">
      <c r="A1503">
        <v>2024</v>
      </c>
      <c r="B1503" s="4" t="s">
        <v>230</v>
      </c>
      <c r="C1503" s="1">
        <v>2</v>
      </c>
      <c r="D1503" t="s">
        <v>231</v>
      </c>
      <c r="E1503">
        <v>120</v>
      </c>
      <c r="F1503">
        <v>2</v>
      </c>
      <c r="G1503" t="s">
        <v>20</v>
      </c>
      <c r="H1503">
        <v>84</v>
      </c>
      <c r="I1503">
        <v>82</v>
      </c>
    </row>
    <row r="1504" spans="1:9" x14ac:dyDescent="0.25">
      <c r="A1504">
        <v>2024</v>
      </c>
      <c r="B1504" s="4" t="s">
        <v>230</v>
      </c>
      <c r="C1504" s="1">
        <v>2</v>
      </c>
      <c r="D1504" t="s">
        <v>231</v>
      </c>
      <c r="E1504">
        <v>120</v>
      </c>
      <c r="F1504">
        <v>3</v>
      </c>
      <c r="G1504" t="s">
        <v>20</v>
      </c>
      <c r="H1504">
        <v>84</v>
      </c>
      <c r="I1504">
        <v>69</v>
      </c>
    </row>
    <row r="1505" spans="1:9" x14ac:dyDescent="0.25">
      <c r="A1505">
        <v>2024</v>
      </c>
      <c r="B1505" s="4" t="s">
        <v>230</v>
      </c>
      <c r="C1505" s="1">
        <v>2</v>
      </c>
      <c r="D1505" t="s">
        <v>232</v>
      </c>
      <c r="E1505">
        <v>120</v>
      </c>
      <c r="F1505">
        <v>1</v>
      </c>
      <c r="G1505">
        <v>52</v>
      </c>
      <c r="H1505">
        <v>82</v>
      </c>
      <c r="I1505">
        <v>72</v>
      </c>
    </row>
    <row r="1506" spans="1:9" x14ac:dyDescent="0.25">
      <c r="A1506">
        <v>2024</v>
      </c>
      <c r="B1506" s="4" t="s">
        <v>230</v>
      </c>
      <c r="C1506" s="1">
        <v>2</v>
      </c>
      <c r="D1506" t="s">
        <v>232</v>
      </c>
      <c r="E1506">
        <v>120</v>
      </c>
      <c r="F1506">
        <v>2</v>
      </c>
      <c r="G1506" t="s">
        <v>20</v>
      </c>
      <c r="H1506">
        <v>84</v>
      </c>
      <c r="I1506">
        <v>80</v>
      </c>
    </row>
    <row r="1507" spans="1:9" x14ac:dyDescent="0.25">
      <c r="A1507">
        <v>2024</v>
      </c>
      <c r="B1507" s="4" t="s">
        <v>230</v>
      </c>
      <c r="C1507" s="1">
        <v>2</v>
      </c>
      <c r="D1507" t="s">
        <v>232</v>
      </c>
      <c r="E1507">
        <v>120</v>
      </c>
      <c r="F1507">
        <v>3</v>
      </c>
      <c r="G1507" t="s">
        <v>20</v>
      </c>
      <c r="H1507">
        <v>84</v>
      </c>
      <c r="I1507">
        <v>75</v>
      </c>
    </row>
    <row r="1508" spans="1:9" x14ac:dyDescent="0.25">
      <c r="A1508">
        <v>2024</v>
      </c>
      <c r="B1508" s="4" t="s">
        <v>224</v>
      </c>
      <c r="C1508" s="1">
        <v>1</v>
      </c>
      <c r="D1508" t="s">
        <v>238</v>
      </c>
      <c r="E1508">
        <v>120</v>
      </c>
      <c r="F1508">
        <v>1</v>
      </c>
      <c r="G1508">
        <v>42</v>
      </c>
      <c r="H1508">
        <v>117</v>
      </c>
      <c r="I1508">
        <v>99</v>
      </c>
    </row>
    <row r="1509" spans="1:9" x14ac:dyDescent="0.25">
      <c r="A1509">
        <v>2024</v>
      </c>
      <c r="B1509" s="4" t="s">
        <v>224</v>
      </c>
      <c r="C1509" s="1">
        <v>1</v>
      </c>
      <c r="D1509" t="s">
        <v>238</v>
      </c>
      <c r="E1509">
        <v>120</v>
      </c>
      <c r="F1509">
        <v>2</v>
      </c>
      <c r="G1509" t="s">
        <v>20</v>
      </c>
      <c r="H1509">
        <v>117</v>
      </c>
      <c r="I1509">
        <v>91</v>
      </c>
    </row>
    <row r="1510" spans="1:9" x14ac:dyDescent="0.25">
      <c r="A1510">
        <v>2024</v>
      </c>
      <c r="B1510" s="4" t="s">
        <v>224</v>
      </c>
      <c r="C1510" s="1">
        <v>1</v>
      </c>
      <c r="D1510" t="s">
        <v>238</v>
      </c>
      <c r="E1510">
        <v>120</v>
      </c>
      <c r="F1510">
        <v>3</v>
      </c>
      <c r="G1510" t="s">
        <v>20</v>
      </c>
      <c r="H1510">
        <v>116</v>
      </c>
      <c r="I1510">
        <v>100</v>
      </c>
    </row>
    <row r="1511" spans="1:9" x14ac:dyDescent="0.25">
      <c r="A1511">
        <v>2024</v>
      </c>
      <c r="B1511" s="4" t="s">
        <v>224</v>
      </c>
      <c r="C1511" s="1">
        <v>1</v>
      </c>
      <c r="D1511" t="s">
        <v>239</v>
      </c>
      <c r="E1511">
        <v>120</v>
      </c>
      <c r="F1511">
        <v>1</v>
      </c>
      <c r="G1511">
        <v>34</v>
      </c>
      <c r="H1511">
        <v>130</v>
      </c>
      <c r="I1511">
        <v>90</v>
      </c>
    </row>
    <row r="1512" spans="1:9" x14ac:dyDescent="0.25">
      <c r="A1512">
        <v>2024</v>
      </c>
      <c r="B1512" s="4" t="s">
        <v>224</v>
      </c>
      <c r="C1512" s="1">
        <v>1</v>
      </c>
      <c r="D1512" t="s">
        <v>239</v>
      </c>
      <c r="E1512">
        <v>120</v>
      </c>
      <c r="F1512">
        <v>2</v>
      </c>
      <c r="G1512">
        <v>68</v>
      </c>
      <c r="H1512">
        <v>125</v>
      </c>
      <c r="I1512">
        <v>111</v>
      </c>
    </row>
    <row r="1513" spans="1:9" x14ac:dyDescent="0.25">
      <c r="A1513">
        <v>2024</v>
      </c>
      <c r="B1513" s="4" t="s">
        <v>224</v>
      </c>
      <c r="C1513" s="1">
        <v>1</v>
      </c>
      <c r="D1513" t="s">
        <v>239</v>
      </c>
      <c r="E1513">
        <v>120</v>
      </c>
      <c r="F1513">
        <v>3</v>
      </c>
      <c r="G1513">
        <v>36</v>
      </c>
      <c r="H1513">
        <v>125</v>
      </c>
      <c r="I1513">
        <v>103</v>
      </c>
    </row>
    <row r="1514" spans="1:9" x14ac:dyDescent="0.25">
      <c r="A1514">
        <v>2024</v>
      </c>
      <c r="B1514" s="4" t="s">
        <v>230</v>
      </c>
      <c r="C1514" s="1">
        <v>1</v>
      </c>
      <c r="D1514" t="s">
        <v>242</v>
      </c>
      <c r="E1514">
        <v>120</v>
      </c>
      <c r="F1514">
        <v>1</v>
      </c>
      <c r="G1514">
        <v>80</v>
      </c>
      <c r="H1514">
        <v>107</v>
      </c>
      <c r="I1514">
        <v>92</v>
      </c>
    </row>
    <row r="1515" spans="1:9" x14ac:dyDescent="0.25">
      <c r="A1515">
        <v>2024</v>
      </c>
      <c r="B1515" s="4" t="s">
        <v>230</v>
      </c>
      <c r="C1515" s="1">
        <v>1</v>
      </c>
      <c r="D1515" t="s">
        <v>242</v>
      </c>
      <c r="E1515">
        <v>120</v>
      </c>
      <c r="F1515">
        <v>2</v>
      </c>
      <c r="G1515" t="s">
        <v>20</v>
      </c>
      <c r="H1515">
        <v>106</v>
      </c>
      <c r="I1515">
        <v>93</v>
      </c>
    </row>
    <row r="1516" spans="1:9" x14ac:dyDescent="0.25">
      <c r="A1516">
        <v>2024</v>
      </c>
      <c r="B1516" s="4" t="s">
        <v>230</v>
      </c>
      <c r="C1516" s="1">
        <v>1</v>
      </c>
      <c r="D1516" t="s">
        <v>242</v>
      </c>
      <c r="E1516">
        <v>120</v>
      </c>
      <c r="F1516">
        <v>3</v>
      </c>
      <c r="G1516" t="s">
        <v>20</v>
      </c>
      <c r="H1516">
        <v>103</v>
      </c>
      <c r="I1516">
        <v>102</v>
      </c>
    </row>
    <row r="1517" spans="1:9" x14ac:dyDescent="0.25">
      <c r="A1517">
        <v>2024</v>
      </c>
      <c r="B1517" s="4" t="s">
        <v>230</v>
      </c>
      <c r="C1517" s="1">
        <v>1</v>
      </c>
      <c r="D1517" t="s">
        <v>243</v>
      </c>
      <c r="E1517">
        <v>120</v>
      </c>
      <c r="F1517">
        <v>1</v>
      </c>
      <c r="G1517">
        <v>118</v>
      </c>
      <c r="H1517">
        <v>102</v>
      </c>
      <c r="I1517">
        <v>90</v>
      </c>
    </row>
    <row r="1518" spans="1:9" x14ac:dyDescent="0.25">
      <c r="A1518">
        <v>2024</v>
      </c>
      <c r="B1518" s="4" t="s">
        <v>230</v>
      </c>
      <c r="C1518" s="1">
        <v>1</v>
      </c>
      <c r="D1518" t="s">
        <v>243</v>
      </c>
      <c r="E1518">
        <v>120</v>
      </c>
      <c r="F1518">
        <v>2</v>
      </c>
      <c r="G1518" t="s">
        <v>20</v>
      </c>
      <c r="H1518">
        <v>100</v>
      </c>
      <c r="I1518">
        <v>92</v>
      </c>
    </row>
    <row r="1519" spans="1:9" x14ac:dyDescent="0.25">
      <c r="A1519">
        <v>2024</v>
      </c>
      <c r="B1519" s="4" t="s">
        <v>230</v>
      </c>
      <c r="C1519" s="1">
        <v>1</v>
      </c>
      <c r="D1519" t="s">
        <v>243</v>
      </c>
      <c r="E1519">
        <v>120</v>
      </c>
      <c r="F1519">
        <v>3</v>
      </c>
      <c r="G1519" t="s">
        <v>20</v>
      </c>
      <c r="H1519">
        <v>100</v>
      </c>
      <c r="I1519">
        <v>90</v>
      </c>
    </row>
    <row r="1520" spans="1:9" x14ac:dyDescent="0.25">
      <c r="A1520">
        <v>2024</v>
      </c>
      <c r="B1520" s="4" t="s">
        <v>230</v>
      </c>
      <c r="C1520" s="1">
        <v>1</v>
      </c>
      <c r="D1520" t="s">
        <v>244</v>
      </c>
      <c r="E1520">
        <v>120</v>
      </c>
      <c r="F1520">
        <v>1</v>
      </c>
      <c r="G1520">
        <v>106</v>
      </c>
      <c r="H1520">
        <v>103</v>
      </c>
      <c r="I1520">
        <v>95</v>
      </c>
    </row>
    <row r="1521" spans="1:9" x14ac:dyDescent="0.25">
      <c r="A1521">
        <v>2024</v>
      </c>
      <c r="B1521" s="4" t="s">
        <v>230</v>
      </c>
      <c r="C1521" s="1">
        <v>1</v>
      </c>
      <c r="D1521" t="s">
        <v>244</v>
      </c>
      <c r="E1521">
        <v>120</v>
      </c>
      <c r="F1521">
        <v>2</v>
      </c>
      <c r="G1521">
        <v>42</v>
      </c>
      <c r="H1521">
        <v>103</v>
      </c>
      <c r="I1521">
        <v>92</v>
      </c>
    </row>
    <row r="1522" spans="1:9" x14ac:dyDescent="0.25">
      <c r="A1522">
        <v>2024</v>
      </c>
      <c r="B1522" s="4" t="s">
        <v>230</v>
      </c>
      <c r="C1522" s="1">
        <v>1</v>
      </c>
      <c r="D1522" t="s">
        <v>244</v>
      </c>
      <c r="E1522">
        <v>120</v>
      </c>
      <c r="F1522">
        <v>3</v>
      </c>
      <c r="G1522" t="s">
        <v>20</v>
      </c>
      <c r="H1522">
        <v>103</v>
      </c>
      <c r="I1522">
        <v>97</v>
      </c>
    </row>
    <row r="1523" spans="1:9" x14ac:dyDescent="0.25">
      <c r="A1523">
        <v>2024</v>
      </c>
      <c r="B1523" s="4" t="s">
        <v>245</v>
      </c>
      <c r="C1523" s="1">
        <v>5</v>
      </c>
      <c r="D1523" t="s">
        <v>246</v>
      </c>
      <c r="E1523">
        <v>120</v>
      </c>
      <c r="F1523">
        <v>1</v>
      </c>
      <c r="G1523">
        <v>40</v>
      </c>
      <c r="H1523">
        <v>114</v>
      </c>
      <c r="I1523">
        <v>108</v>
      </c>
    </row>
    <row r="1524" spans="1:9" x14ac:dyDescent="0.25">
      <c r="A1524">
        <v>2024</v>
      </c>
      <c r="B1524" s="4" t="s">
        <v>245</v>
      </c>
      <c r="C1524" s="1">
        <v>5</v>
      </c>
      <c r="D1524" t="s">
        <v>246</v>
      </c>
      <c r="E1524">
        <v>120</v>
      </c>
      <c r="F1524">
        <v>2</v>
      </c>
      <c r="G1524" t="s">
        <v>20</v>
      </c>
      <c r="H1524">
        <v>120</v>
      </c>
      <c r="I1524">
        <v>105</v>
      </c>
    </row>
    <row r="1525" spans="1:9" x14ac:dyDescent="0.25">
      <c r="A1525">
        <v>2024</v>
      </c>
      <c r="B1525" s="4" t="s">
        <v>245</v>
      </c>
      <c r="C1525" s="1">
        <v>5</v>
      </c>
      <c r="D1525" t="s">
        <v>246</v>
      </c>
      <c r="E1525">
        <v>120</v>
      </c>
      <c r="F1525">
        <v>3</v>
      </c>
      <c r="G1525" t="s">
        <v>20</v>
      </c>
      <c r="H1525">
        <v>121</v>
      </c>
      <c r="I1525">
        <v>122</v>
      </c>
    </row>
    <row r="1526" spans="1:9" x14ac:dyDescent="0.25">
      <c r="A1526">
        <v>2024</v>
      </c>
      <c r="B1526" s="4" t="s">
        <v>247</v>
      </c>
      <c r="C1526" s="1">
        <v>2</v>
      </c>
      <c r="D1526" t="s">
        <v>248</v>
      </c>
      <c r="E1526">
        <v>120</v>
      </c>
      <c r="F1526">
        <v>1</v>
      </c>
      <c r="G1526" t="s">
        <v>20</v>
      </c>
      <c r="H1526">
        <v>113</v>
      </c>
      <c r="I1526">
        <v>125</v>
      </c>
    </row>
    <row r="1527" spans="1:9" x14ac:dyDescent="0.25">
      <c r="A1527">
        <v>2024</v>
      </c>
      <c r="B1527" s="4" t="s">
        <v>247</v>
      </c>
      <c r="C1527" s="1">
        <v>2</v>
      </c>
      <c r="D1527" t="s">
        <v>248</v>
      </c>
      <c r="E1527">
        <v>120</v>
      </c>
      <c r="F1527">
        <v>2</v>
      </c>
      <c r="G1527" t="s">
        <v>20</v>
      </c>
      <c r="H1527">
        <v>109</v>
      </c>
      <c r="I1527">
        <v>138</v>
      </c>
    </row>
    <row r="1528" spans="1:9" x14ac:dyDescent="0.25">
      <c r="A1528">
        <v>2024</v>
      </c>
      <c r="B1528" s="4" t="s">
        <v>247</v>
      </c>
      <c r="C1528" s="1">
        <v>2</v>
      </c>
      <c r="D1528" t="s">
        <v>248</v>
      </c>
      <c r="E1528">
        <v>120</v>
      </c>
      <c r="F1528">
        <v>3</v>
      </c>
      <c r="G1528" t="s">
        <v>20</v>
      </c>
      <c r="H1528">
        <v>106</v>
      </c>
      <c r="I1528">
        <v>150</v>
      </c>
    </row>
    <row r="1529" spans="1:9" x14ac:dyDescent="0.25">
      <c r="A1529">
        <v>2024</v>
      </c>
      <c r="B1529" s="4" t="s">
        <v>219</v>
      </c>
      <c r="C1529" s="1">
        <v>2</v>
      </c>
      <c r="D1529" t="s">
        <v>249</v>
      </c>
      <c r="E1529">
        <v>120</v>
      </c>
      <c r="F1529">
        <v>1</v>
      </c>
      <c r="G1529">
        <v>50</v>
      </c>
      <c r="H1529">
        <v>76</v>
      </c>
      <c r="I1529">
        <v>78</v>
      </c>
    </row>
    <row r="1530" spans="1:9" x14ac:dyDescent="0.25">
      <c r="A1530">
        <v>2024</v>
      </c>
      <c r="B1530" s="4" t="s">
        <v>219</v>
      </c>
      <c r="C1530" s="1">
        <v>2</v>
      </c>
      <c r="D1530" t="s">
        <v>249</v>
      </c>
      <c r="E1530">
        <v>120</v>
      </c>
      <c r="F1530">
        <v>2</v>
      </c>
      <c r="G1530">
        <v>36</v>
      </c>
      <c r="H1530">
        <v>73</v>
      </c>
      <c r="I1530">
        <v>91</v>
      </c>
    </row>
    <row r="1531" spans="1:9" x14ac:dyDescent="0.25">
      <c r="A1531">
        <v>2024</v>
      </c>
      <c r="B1531" s="4" t="s">
        <v>219</v>
      </c>
      <c r="C1531" s="1">
        <v>2</v>
      </c>
      <c r="D1531" t="s">
        <v>249</v>
      </c>
      <c r="E1531">
        <v>120</v>
      </c>
      <c r="F1531">
        <v>3</v>
      </c>
      <c r="G1531" t="s">
        <v>20</v>
      </c>
      <c r="H1531">
        <v>78</v>
      </c>
      <c r="I1531">
        <v>89</v>
      </c>
    </row>
    <row r="1532" spans="1:9" x14ac:dyDescent="0.25">
      <c r="A1532">
        <v>2024</v>
      </c>
      <c r="B1532" s="4" t="s">
        <v>245</v>
      </c>
      <c r="C1532" s="1">
        <v>2</v>
      </c>
      <c r="D1532" t="s">
        <v>250</v>
      </c>
      <c r="E1532">
        <v>120</v>
      </c>
      <c r="F1532">
        <v>1</v>
      </c>
      <c r="G1532">
        <v>40</v>
      </c>
      <c r="H1532">
        <v>84</v>
      </c>
      <c r="I1532">
        <v>95</v>
      </c>
    </row>
    <row r="1533" spans="1:9" x14ac:dyDescent="0.25">
      <c r="A1533">
        <v>2024</v>
      </c>
      <c r="B1533" s="4" t="s">
        <v>245</v>
      </c>
      <c r="C1533" s="1">
        <v>2</v>
      </c>
      <c r="D1533" t="s">
        <v>250</v>
      </c>
      <c r="E1533">
        <v>120</v>
      </c>
      <c r="F1533">
        <v>2</v>
      </c>
      <c r="G1533">
        <v>36</v>
      </c>
      <c r="H1533">
        <v>87</v>
      </c>
      <c r="I1533">
        <v>99</v>
      </c>
    </row>
    <row r="1534" spans="1:9" x14ac:dyDescent="0.25">
      <c r="A1534">
        <v>2024</v>
      </c>
      <c r="B1534" s="4" t="s">
        <v>245</v>
      </c>
      <c r="C1534" s="1">
        <v>2</v>
      </c>
      <c r="D1534" t="s">
        <v>250</v>
      </c>
      <c r="E1534">
        <v>120</v>
      </c>
      <c r="F1534">
        <v>3</v>
      </c>
      <c r="G1534">
        <v>56</v>
      </c>
      <c r="H1534">
        <v>85</v>
      </c>
      <c r="I1534">
        <v>90</v>
      </c>
    </row>
    <row r="1535" spans="1:9" x14ac:dyDescent="0.25">
      <c r="A1535">
        <v>2024</v>
      </c>
      <c r="B1535" s="4" t="s">
        <v>172</v>
      </c>
      <c r="C1535" s="1">
        <v>4</v>
      </c>
      <c r="D1535" t="s">
        <v>251</v>
      </c>
      <c r="E1535">
        <v>120</v>
      </c>
      <c r="F1535">
        <v>1</v>
      </c>
      <c r="G1535" t="s">
        <v>20</v>
      </c>
      <c r="H1535">
        <v>110</v>
      </c>
      <c r="I1535">
        <v>115</v>
      </c>
    </row>
    <row r="1536" spans="1:9" x14ac:dyDescent="0.25">
      <c r="A1536">
        <v>2024</v>
      </c>
      <c r="B1536" s="4" t="s">
        <v>172</v>
      </c>
      <c r="C1536" s="1">
        <v>4</v>
      </c>
      <c r="D1536" t="s">
        <v>251</v>
      </c>
      <c r="E1536">
        <v>120</v>
      </c>
      <c r="F1536">
        <v>2</v>
      </c>
      <c r="G1536" t="s">
        <v>20</v>
      </c>
      <c r="H1536">
        <v>104</v>
      </c>
      <c r="I1536">
        <v>102</v>
      </c>
    </row>
    <row r="1537" spans="1:9" x14ac:dyDescent="0.25">
      <c r="A1537">
        <v>2024</v>
      </c>
      <c r="B1537" s="4" t="s">
        <v>172</v>
      </c>
      <c r="C1537" s="1">
        <v>4</v>
      </c>
      <c r="D1537" t="s">
        <v>251</v>
      </c>
      <c r="E1537">
        <v>120</v>
      </c>
      <c r="F1537">
        <v>3</v>
      </c>
      <c r="G1537" t="s">
        <v>20</v>
      </c>
      <c r="H1537">
        <v>106</v>
      </c>
      <c r="I1537">
        <v>115</v>
      </c>
    </row>
    <row r="1538" spans="1:9" x14ac:dyDescent="0.25">
      <c r="A1538">
        <v>2024</v>
      </c>
      <c r="B1538" s="4" t="s">
        <v>14</v>
      </c>
      <c r="C1538" s="1">
        <v>1</v>
      </c>
      <c r="D1538" t="s">
        <v>253</v>
      </c>
      <c r="E1538">
        <v>120</v>
      </c>
      <c r="F1538">
        <v>1</v>
      </c>
      <c r="G1538">
        <v>38</v>
      </c>
      <c r="H1538">
        <v>113</v>
      </c>
      <c r="I1538">
        <v>122</v>
      </c>
    </row>
    <row r="1539" spans="1:9" x14ac:dyDescent="0.25">
      <c r="A1539">
        <v>2024</v>
      </c>
      <c r="B1539" s="4" t="s">
        <v>14</v>
      </c>
      <c r="C1539" s="1">
        <v>1</v>
      </c>
      <c r="D1539" t="s">
        <v>253</v>
      </c>
      <c r="E1539">
        <v>120</v>
      </c>
      <c r="F1539">
        <v>2</v>
      </c>
      <c r="G1539">
        <v>62</v>
      </c>
      <c r="H1539">
        <v>116</v>
      </c>
      <c r="I1539">
        <v>119</v>
      </c>
    </row>
    <row r="1540" spans="1:9" x14ac:dyDescent="0.25">
      <c r="A1540">
        <v>2024</v>
      </c>
      <c r="B1540" s="4" t="s">
        <v>14</v>
      </c>
      <c r="C1540" s="1">
        <v>1</v>
      </c>
      <c r="D1540" t="s">
        <v>253</v>
      </c>
      <c r="E1540">
        <v>120</v>
      </c>
      <c r="F1540">
        <v>3</v>
      </c>
      <c r="G1540" t="s">
        <v>20</v>
      </c>
      <c r="H1540">
        <v>117</v>
      </c>
      <c r="I1540">
        <v>123</v>
      </c>
    </row>
    <row r="1541" spans="1:9" x14ac:dyDescent="0.25">
      <c r="A1541">
        <v>2024</v>
      </c>
      <c r="B1541" s="4" t="s">
        <v>14</v>
      </c>
      <c r="C1541" s="1">
        <v>1</v>
      </c>
      <c r="D1541" t="s">
        <v>255</v>
      </c>
      <c r="E1541">
        <v>120</v>
      </c>
      <c r="F1541">
        <v>1</v>
      </c>
      <c r="G1541">
        <v>0</v>
      </c>
      <c r="H1541">
        <v>116</v>
      </c>
      <c r="I1541">
        <v>107</v>
      </c>
    </row>
    <row r="1542" spans="1:9" x14ac:dyDescent="0.25">
      <c r="A1542">
        <v>2024</v>
      </c>
      <c r="B1542" s="4" t="s">
        <v>14</v>
      </c>
      <c r="C1542" s="1">
        <v>1</v>
      </c>
      <c r="D1542" t="s">
        <v>255</v>
      </c>
      <c r="E1542">
        <v>120</v>
      </c>
      <c r="F1542">
        <v>2</v>
      </c>
      <c r="G1542">
        <v>6</v>
      </c>
      <c r="H1542">
        <v>120</v>
      </c>
      <c r="I1542">
        <v>125</v>
      </c>
    </row>
    <row r="1543" spans="1:9" x14ac:dyDescent="0.25">
      <c r="A1543">
        <v>2024</v>
      </c>
      <c r="B1543" s="4" t="s">
        <v>14</v>
      </c>
      <c r="C1543" s="1">
        <v>1</v>
      </c>
      <c r="D1543" t="s">
        <v>255</v>
      </c>
      <c r="E1543">
        <v>120</v>
      </c>
      <c r="F1543">
        <v>3</v>
      </c>
      <c r="G1543" t="s">
        <v>20</v>
      </c>
      <c r="H1543">
        <v>117</v>
      </c>
      <c r="I1543">
        <v>112</v>
      </c>
    </row>
    <row r="1544" spans="1:9" x14ac:dyDescent="0.25">
      <c r="A1544">
        <v>2024</v>
      </c>
      <c r="B1544" s="4" t="s">
        <v>14</v>
      </c>
      <c r="C1544" s="1" t="s">
        <v>20</v>
      </c>
      <c r="D1544" t="s">
        <v>256</v>
      </c>
      <c r="E1544">
        <v>120</v>
      </c>
      <c r="F1544">
        <v>1</v>
      </c>
      <c r="G1544">
        <v>6</v>
      </c>
      <c r="H1544">
        <v>147</v>
      </c>
      <c r="I1544">
        <v>100</v>
      </c>
    </row>
    <row r="1545" spans="1:9" x14ac:dyDescent="0.25">
      <c r="A1545">
        <v>2024</v>
      </c>
      <c r="B1545" s="4" t="s">
        <v>14</v>
      </c>
      <c r="C1545" s="1" t="s">
        <v>20</v>
      </c>
      <c r="D1545" t="s">
        <v>256</v>
      </c>
      <c r="E1545">
        <v>120</v>
      </c>
      <c r="F1545">
        <v>2</v>
      </c>
      <c r="G1545">
        <v>26</v>
      </c>
      <c r="H1545">
        <v>145</v>
      </c>
      <c r="I1545">
        <v>114</v>
      </c>
    </row>
    <row r="1546" spans="1:9" x14ac:dyDescent="0.25">
      <c r="A1546">
        <v>2024</v>
      </c>
      <c r="B1546" s="4" t="s">
        <v>14</v>
      </c>
      <c r="C1546" s="1" t="s">
        <v>20</v>
      </c>
      <c r="D1546" t="s">
        <v>256</v>
      </c>
      <c r="E1546">
        <v>120</v>
      </c>
      <c r="F1546">
        <v>3</v>
      </c>
      <c r="G1546" t="s">
        <v>20</v>
      </c>
      <c r="H1546">
        <v>147</v>
      </c>
      <c r="I1546">
        <v>90</v>
      </c>
    </row>
    <row r="1547" spans="1:9" x14ac:dyDescent="0.25">
      <c r="A1547">
        <v>2024</v>
      </c>
      <c r="B1547" s="4" t="s">
        <v>14</v>
      </c>
      <c r="C1547" s="1">
        <v>1</v>
      </c>
      <c r="D1547" t="s">
        <v>260</v>
      </c>
      <c r="E1547">
        <v>120</v>
      </c>
      <c r="F1547">
        <v>1</v>
      </c>
      <c r="G1547">
        <v>68</v>
      </c>
      <c r="H1547">
        <v>139</v>
      </c>
      <c r="I1547">
        <v>101</v>
      </c>
    </row>
    <row r="1548" spans="1:9" x14ac:dyDescent="0.25">
      <c r="A1548">
        <v>2024</v>
      </c>
      <c r="B1548" s="4" t="s">
        <v>14</v>
      </c>
      <c r="C1548" s="1">
        <v>1</v>
      </c>
      <c r="D1548" t="s">
        <v>260</v>
      </c>
      <c r="E1548">
        <v>120</v>
      </c>
      <c r="F1548">
        <v>2</v>
      </c>
      <c r="G1548" t="s">
        <v>20</v>
      </c>
      <c r="H1548">
        <v>143</v>
      </c>
      <c r="I1548">
        <v>106</v>
      </c>
    </row>
    <row r="1549" spans="1:9" x14ac:dyDescent="0.25">
      <c r="A1549">
        <v>2024</v>
      </c>
      <c r="B1549" s="4" t="s">
        <v>14</v>
      </c>
      <c r="C1549" s="1">
        <v>1</v>
      </c>
      <c r="D1549" t="s">
        <v>260</v>
      </c>
      <c r="E1549">
        <v>120</v>
      </c>
      <c r="F1549">
        <v>3</v>
      </c>
      <c r="G1549" t="s">
        <v>20</v>
      </c>
      <c r="H1549">
        <v>144</v>
      </c>
      <c r="I1549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5F06-F021-4D63-829B-C921223C76EC}">
  <dimension ref="C4:AV82"/>
  <sheetViews>
    <sheetView zoomScale="40" zoomScaleNormal="40" workbookViewId="0">
      <selection activeCell="AV77" sqref="AV77"/>
    </sheetView>
  </sheetViews>
  <sheetFormatPr defaultRowHeight="15" x14ac:dyDescent="0.25"/>
  <cols>
    <col min="3" max="48" width="7.42578125" customWidth="1"/>
  </cols>
  <sheetData>
    <row r="4" spans="3:48" ht="12" customHeight="1" x14ac:dyDescent="0.25"/>
    <row r="5" spans="3:48" ht="12" customHeight="1" x14ac:dyDescent="0.25"/>
    <row r="6" spans="3:48" s="16" customFormat="1" ht="33" customHeight="1" x14ac:dyDescent="0.25">
      <c r="C6" s="13" t="s">
        <v>131</v>
      </c>
      <c r="D6" s="13" t="s">
        <v>63</v>
      </c>
      <c r="E6" s="14"/>
      <c r="F6" s="13" t="s">
        <v>116</v>
      </c>
      <c r="G6" s="13" t="s">
        <v>217</v>
      </c>
      <c r="H6" s="14"/>
      <c r="I6" s="13" t="s">
        <v>476</v>
      </c>
      <c r="J6" s="15" t="s">
        <v>27</v>
      </c>
      <c r="K6" s="14"/>
      <c r="L6" s="15" t="s">
        <v>222</v>
      </c>
      <c r="M6" s="13" t="s">
        <v>477</v>
      </c>
      <c r="N6" s="14"/>
      <c r="O6" s="13" t="s">
        <v>107</v>
      </c>
      <c r="P6" s="13" t="s">
        <v>109</v>
      </c>
      <c r="Q6" s="14"/>
      <c r="R6" s="14"/>
      <c r="S6" s="13" t="s">
        <v>262</v>
      </c>
      <c r="T6" s="13" t="s">
        <v>30</v>
      </c>
      <c r="U6" s="14"/>
      <c r="V6" s="13" t="s">
        <v>107</v>
      </c>
      <c r="W6" s="13" t="s">
        <v>185</v>
      </c>
      <c r="X6" s="14"/>
      <c r="Y6" s="13" t="s">
        <v>248</v>
      </c>
      <c r="Z6" s="13" t="s">
        <v>478</v>
      </c>
      <c r="AA6" s="14"/>
      <c r="AB6" s="13" t="s">
        <v>106</v>
      </c>
      <c r="AC6" s="13" t="s">
        <v>192</v>
      </c>
      <c r="AD6" s="14"/>
      <c r="AE6" s="13" t="s">
        <v>251</v>
      </c>
      <c r="AF6" s="13" t="s">
        <v>211</v>
      </c>
      <c r="AG6" s="14"/>
      <c r="AH6" s="14"/>
      <c r="AI6" s="13" t="s">
        <v>151</v>
      </c>
      <c r="AJ6" s="13" t="s">
        <v>200</v>
      </c>
      <c r="AK6" s="14"/>
      <c r="AL6" s="13" t="s">
        <v>479</v>
      </c>
      <c r="AM6" s="13" t="s">
        <v>251</v>
      </c>
      <c r="AN6" s="14"/>
      <c r="AO6" s="13" t="s">
        <v>148</v>
      </c>
      <c r="AP6" s="13" t="s">
        <v>165</v>
      </c>
      <c r="AQ6" s="14"/>
      <c r="AR6" s="13" t="s">
        <v>29</v>
      </c>
      <c r="AS6" s="13" t="s">
        <v>130</v>
      </c>
      <c r="AT6" s="14"/>
      <c r="AU6" s="13" t="s">
        <v>60</v>
      </c>
      <c r="AV6" s="13" t="s">
        <v>150</v>
      </c>
    </row>
    <row r="7" spans="3:48" s="16" customFormat="1" ht="12" customHeight="1" x14ac:dyDescent="0.25">
      <c r="C7" s="17">
        <v>47</v>
      </c>
      <c r="D7" s="17">
        <v>48</v>
      </c>
      <c r="E7" s="14"/>
      <c r="F7" s="17">
        <v>95</v>
      </c>
      <c r="G7" s="17">
        <v>96</v>
      </c>
      <c r="H7" s="14"/>
      <c r="I7" s="17">
        <v>143</v>
      </c>
      <c r="J7" s="17">
        <v>144</v>
      </c>
      <c r="K7" s="14"/>
      <c r="L7" s="17">
        <v>191</v>
      </c>
      <c r="M7" s="17">
        <v>192</v>
      </c>
      <c r="N7" s="14"/>
      <c r="O7" s="17">
        <v>239</v>
      </c>
      <c r="P7" s="17">
        <v>240</v>
      </c>
      <c r="Q7" s="14"/>
      <c r="R7" s="14"/>
      <c r="S7" s="17">
        <v>287</v>
      </c>
      <c r="T7" s="17">
        <v>288</v>
      </c>
      <c r="U7" s="14"/>
      <c r="V7" s="17">
        <v>335</v>
      </c>
      <c r="W7" s="17">
        <v>336</v>
      </c>
      <c r="X7" s="14"/>
      <c r="Y7" s="17">
        <v>383</v>
      </c>
      <c r="Z7" s="17">
        <v>384</v>
      </c>
      <c r="AA7" s="14"/>
      <c r="AB7" s="17">
        <v>431</v>
      </c>
      <c r="AC7" s="17">
        <v>432</v>
      </c>
      <c r="AD7" s="14"/>
      <c r="AE7" s="17">
        <v>479</v>
      </c>
      <c r="AF7" s="17">
        <v>480</v>
      </c>
      <c r="AG7" s="14"/>
      <c r="AH7" s="14"/>
      <c r="AI7" s="17">
        <v>527</v>
      </c>
      <c r="AJ7" s="17">
        <v>528</v>
      </c>
      <c r="AK7" s="14"/>
      <c r="AL7" s="17">
        <v>575</v>
      </c>
      <c r="AM7" s="17">
        <v>576</v>
      </c>
      <c r="AN7" s="14"/>
      <c r="AO7" s="17">
        <v>623</v>
      </c>
      <c r="AP7" s="17">
        <v>624</v>
      </c>
      <c r="AQ7" s="14"/>
      <c r="AR7" s="17">
        <v>671</v>
      </c>
      <c r="AS7" s="17">
        <v>672</v>
      </c>
      <c r="AT7" s="14"/>
      <c r="AU7" s="17">
        <v>719</v>
      </c>
      <c r="AV7" s="17">
        <v>720</v>
      </c>
    </row>
    <row r="8" spans="3:48" s="16" customFormat="1" ht="12" customHeight="1" x14ac:dyDescent="0.25">
      <c r="C8" s="14"/>
      <c r="D8" s="18"/>
      <c r="E8" s="14"/>
      <c r="F8" s="18"/>
      <c r="G8" s="18"/>
      <c r="H8" s="14"/>
      <c r="I8" s="18"/>
      <c r="J8" s="18"/>
      <c r="K8" s="14"/>
      <c r="L8" s="18"/>
      <c r="M8" s="18"/>
      <c r="N8" s="14"/>
      <c r="O8" s="18"/>
      <c r="P8" s="18"/>
      <c r="Q8" s="14"/>
      <c r="R8" s="14"/>
      <c r="S8" s="18"/>
      <c r="T8" s="18"/>
      <c r="U8" s="14"/>
      <c r="V8" s="18"/>
      <c r="W8" s="18"/>
      <c r="X8" s="14"/>
      <c r="Y8" s="18"/>
      <c r="Z8" s="18"/>
      <c r="AA8" s="14"/>
      <c r="AB8" s="18"/>
      <c r="AC8" s="18"/>
      <c r="AD8" s="14"/>
      <c r="AE8" s="18"/>
      <c r="AF8" s="18"/>
      <c r="AG8" s="14"/>
      <c r="AH8" s="14"/>
      <c r="AI8" s="18"/>
      <c r="AJ8" s="18"/>
      <c r="AK8" s="14"/>
      <c r="AL8" s="18"/>
      <c r="AM8" s="18"/>
      <c r="AN8" s="14"/>
      <c r="AO8" s="18"/>
      <c r="AP8" s="18"/>
      <c r="AQ8" s="14"/>
      <c r="AR8" s="18"/>
      <c r="AS8" s="18"/>
      <c r="AT8" s="14"/>
      <c r="AU8" s="18"/>
      <c r="AV8" s="18"/>
    </row>
    <row r="9" spans="3:48" s="16" customFormat="1" ht="33" customHeight="1" x14ac:dyDescent="0.25">
      <c r="C9" s="13" t="s">
        <v>95</v>
      </c>
      <c r="D9" s="13" t="s">
        <v>242</v>
      </c>
      <c r="E9" s="14"/>
      <c r="F9" s="13" t="s">
        <v>253</v>
      </c>
      <c r="G9" s="13" t="s">
        <v>48</v>
      </c>
      <c r="H9" s="14"/>
      <c r="I9" s="13" t="s">
        <v>184</v>
      </c>
      <c r="J9" s="13" t="s">
        <v>87</v>
      </c>
      <c r="K9" s="14"/>
      <c r="L9" s="13" t="s">
        <v>480</v>
      </c>
      <c r="M9" s="13" t="s">
        <v>42</v>
      </c>
      <c r="N9" s="14"/>
      <c r="O9" s="13" t="s">
        <v>45</v>
      </c>
      <c r="P9" s="13" t="s">
        <v>232</v>
      </c>
      <c r="Q9" s="14"/>
      <c r="R9" s="14"/>
      <c r="S9" s="13" t="s">
        <v>210</v>
      </c>
      <c r="T9" s="13" t="s">
        <v>48</v>
      </c>
      <c r="U9" s="14"/>
      <c r="V9" s="13" t="s">
        <v>157</v>
      </c>
      <c r="W9" s="13" t="s">
        <v>109</v>
      </c>
      <c r="X9" s="14"/>
      <c r="Y9" s="13" t="s">
        <v>108</v>
      </c>
      <c r="Z9" s="13" t="s">
        <v>26</v>
      </c>
      <c r="AA9" s="14"/>
      <c r="AB9" s="13" t="s">
        <v>67</v>
      </c>
      <c r="AC9" s="13" t="s">
        <v>241</v>
      </c>
      <c r="AD9" s="14"/>
      <c r="AE9" s="13" t="s">
        <v>481</v>
      </c>
      <c r="AF9" s="13" t="s">
        <v>482</v>
      </c>
      <c r="AG9" s="14"/>
      <c r="AH9" s="14"/>
      <c r="AI9" s="13" t="s">
        <v>33</v>
      </c>
      <c r="AJ9" s="13" t="s">
        <v>207</v>
      </c>
      <c r="AK9" s="14"/>
      <c r="AL9" s="13" t="s">
        <v>67</v>
      </c>
      <c r="AM9" s="13" t="s">
        <v>16</v>
      </c>
      <c r="AN9" s="14"/>
      <c r="AO9" s="19" t="s">
        <v>78</v>
      </c>
      <c r="AP9" s="13" t="s">
        <v>119</v>
      </c>
      <c r="AQ9" s="14"/>
      <c r="AR9" s="13" t="s">
        <v>174</v>
      </c>
      <c r="AS9" s="13" t="s">
        <v>483</v>
      </c>
      <c r="AT9" s="14"/>
      <c r="AU9" s="13" t="s">
        <v>181</v>
      </c>
      <c r="AV9" s="13" t="s">
        <v>107</v>
      </c>
    </row>
    <row r="10" spans="3:48" s="16" customFormat="1" ht="12" customHeight="1" x14ac:dyDescent="0.25">
      <c r="C10" s="17">
        <v>45</v>
      </c>
      <c r="D10" s="17">
        <v>46</v>
      </c>
      <c r="E10" s="14"/>
      <c r="F10" s="17">
        <v>93</v>
      </c>
      <c r="G10" s="17">
        <v>94</v>
      </c>
      <c r="H10" s="14"/>
      <c r="I10" s="17">
        <v>141</v>
      </c>
      <c r="J10" s="17">
        <v>142</v>
      </c>
      <c r="K10" s="14"/>
      <c r="L10" s="17">
        <v>189</v>
      </c>
      <c r="M10" s="17">
        <v>190</v>
      </c>
      <c r="N10" s="14"/>
      <c r="O10" s="17">
        <v>237</v>
      </c>
      <c r="P10" s="17">
        <v>238</v>
      </c>
      <c r="Q10" s="14"/>
      <c r="R10" s="14"/>
      <c r="S10" s="17">
        <v>285</v>
      </c>
      <c r="T10" s="17">
        <v>286</v>
      </c>
      <c r="U10" s="14"/>
      <c r="V10" s="17">
        <v>333</v>
      </c>
      <c r="W10" s="17">
        <v>334</v>
      </c>
      <c r="X10" s="14"/>
      <c r="Y10" s="17">
        <v>381</v>
      </c>
      <c r="Z10" s="17">
        <v>382</v>
      </c>
      <c r="AA10" s="14"/>
      <c r="AB10" s="17">
        <v>429</v>
      </c>
      <c r="AC10" s="17">
        <v>430</v>
      </c>
      <c r="AD10" s="14"/>
      <c r="AE10" s="17">
        <v>477</v>
      </c>
      <c r="AF10" s="17">
        <v>478</v>
      </c>
      <c r="AG10" s="14"/>
      <c r="AH10" s="14"/>
      <c r="AI10" s="17">
        <v>525</v>
      </c>
      <c r="AJ10" s="17">
        <v>526</v>
      </c>
      <c r="AK10" s="14"/>
      <c r="AL10" s="17">
        <v>573</v>
      </c>
      <c r="AM10" s="17">
        <v>574</v>
      </c>
      <c r="AN10" s="14"/>
      <c r="AO10" s="17">
        <v>621</v>
      </c>
      <c r="AP10" s="17">
        <v>622</v>
      </c>
      <c r="AQ10" s="14"/>
      <c r="AR10" s="17">
        <v>669</v>
      </c>
      <c r="AS10" s="17">
        <v>670</v>
      </c>
      <c r="AT10" s="14"/>
      <c r="AU10" s="17">
        <v>717</v>
      </c>
      <c r="AV10" s="17">
        <v>718</v>
      </c>
    </row>
    <row r="11" spans="3:48" s="16" customFormat="1" ht="12" customHeight="1" x14ac:dyDescent="0.25">
      <c r="C11" s="14"/>
      <c r="D11" s="18"/>
      <c r="E11" s="14"/>
      <c r="F11" s="18"/>
      <c r="G11" s="18"/>
      <c r="H11" s="14"/>
      <c r="I11" s="18"/>
      <c r="J11" s="18"/>
      <c r="K11" s="14"/>
      <c r="L11" s="18"/>
      <c r="M11" s="18"/>
      <c r="N11" s="14"/>
      <c r="O11" s="18"/>
      <c r="P11" s="18"/>
      <c r="Q11" s="14"/>
      <c r="R11" s="14"/>
      <c r="S11" s="18"/>
      <c r="T11" s="18"/>
      <c r="U11" s="14"/>
      <c r="V11" s="18"/>
      <c r="W11" s="18"/>
      <c r="X11" s="14"/>
      <c r="Y11" s="18"/>
      <c r="Z11" s="18"/>
      <c r="AA11" s="14"/>
      <c r="AB11" s="18"/>
      <c r="AC11" s="18"/>
      <c r="AD11" s="14"/>
      <c r="AE11" s="18"/>
      <c r="AF11" s="18"/>
      <c r="AG11" s="14"/>
      <c r="AH11" s="14"/>
      <c r="AI11" s="18"/>
      <c r="AJ11" s="18"/>
      <c r="AK11" s="14"/>
      <c r="AL11" s="18"/>
      <c r="AM11" s="18"/>
      <c r="AN11" s="14"/>
      <c r="AO11" s="18"/>
      <c r="AP11" s="18"/>
      <c r="AQ11" s="14"/>
      <c r="AR11" s="18"/>
      <c r="AS11" s="18"/>
      <c r="AT11" s="14"/>
      <c r="AU11" s="18"/>
      <c r="AV11" s="18"/>
    </row>
    <row r="12" spans="3:48" s="16" customFormat="1" ht="33" customHeight="1" x14ac:dyDescent="0.25">
      <c r="C12" s="13" t="s">
        <v>484</v>
      </c>
      <c r="D12" s="13" t="s">
        <v>256</v>
      </c>
      <c r="E12" s="14"/>
      <c r="F12" s="13" t="s">
        <v>485</v>
      </c>
      <c r="G12" s="13" t="s">
        <v>165</v>
      </c>
      <c r="H12" s="14"/>
      <c r="I12" s="13" t="s">
        <v>486</v>
      </c>
      <c r="J12" s="13" t="s">
        <v>151</v>
      </c>
      <c r="K12" s="14"/>
      <c r="L12" s="13" t="s">
        <v>96</v>
      </c>
      <c r="M12" s="13" t="s">
        <v>97</v>
      </c>
      <c r="N12" s="14"/>
      <c r="O12" s="13" t="s">
        <v>60</v>
      </c>
      <c r="P12" s="13" t="s">
        <v>120</v>
      </c>
      <c r="Q12" s="14"/>
      <c r="R12" s="14"/>
      <c r="S12" s="13" t="s">
        <v>46</v>
      </c>
      <c r="T12" s="13" t="s">
        <v>215</v>
      </c>
      <c r="U12" s="14"/>
      <c r="V12" s="13" t="s">
        <v>180</v>
      </c>
      <c r="W12" s="13" t="s">
        <v>223</v>
      </c>
      <c r="X12" s="14"/>
      <c r="Y12" s="13" t="s">
        <v>63</v>
      </c>
      <c r="Z12" s="13" t="s">
        <v>243</v>
      </c>
      <c r="AA12" s="14"/>
      <c r="AB12" s="13" t="s">
        <v>487</v>
      </c>
      <c r="AC12" s="13" t="s">
        <v>18</v>
      </c>
      <c r="AD12" s="14"/>
      <c r="AE12" s="13" t="s">
        <v>183</v>
      </c>
      <c r="AF12" s="13" t="s">
        <v>205</v>
      </c>
      <c r="AG12" s="14"/>
      <c r="AH12" s="14"/>
      <c r="AI12" s="13" t="s">
        <v>249</v>
      </c>
      <c r="AJ12" s="13" t="s">
        <v>175</v>
      </c>
      <c r="AK12" s="14"/>
      <c r="AL12" s="13" t="s">
        <v>187</v>
      </c>
      <c r="AM12" s="13" t="s">
        <v>76</v>
      </c>
      <c r="AN12" s="14"/>
      <c r="AO12" s="13" t="s">
        <v>17</v>
      </c>
      <c r="AP12" s="13" t="s">
        <v>131</v>
      </c>
      <c r="AQ12" s="14"/>
      <c r="AR12" s="13" t="s">
        <v>142</v>
      </c>
      <c r="AS12" s="13" t="s">
        <v>123</v>
      </c>
      <c r="AT12" s="14"/>
      <c r="AU12" s="13" t="s">
        <v>70</v>
      </c>
      <c r="AV12" s="13" t="s">
        <v>36</v>
      </c>
    </row>
    <row r="13" spans="3:48" s="16" customFormat="1" ht="12" customHeight="1" x14ac:dyDescent="0.25">
      <c r="C13" s="17">
        <v>43</v>
      </c>
      <c r="D13" s="17">
        <v>44</v>
      </c>
      <c r="E13" s="14"/>
      <c r="F13" s="17">
        <v>91</v>
      </c>
      <c r="G13" s="17">
        <v>92</v>
      </c>
      <c r="H13" s="14"/>
      <c r="I13" s="17">
        <v>139</v>
      </c>
      <c r="J13" s="17">
        <v>140</v>
      </c>
      <c r="K13" s="14"/>
      <c r="L13" s="17">
        <v>187</v>
      </c>
      <c r="M13" s="17">
        <v>188</v>
      </c>
      <c r="N13" s="14"/>
      <c r="O13" s="17">
        <v>235</v>
      </c>
      <c r="P13" s="17">
        <v>236</v>
      </c>
      <c r="Q13" s="14"/>
      <c r="R13" s="14"/>
      <c r="S13" s="17">
        <v>283</v>
      </c>
      <c r="T13" s="17">
        <v>284</v>
      </c>
      <c r="U13" s="14"/>
      <c r="V13" s="17">
        <v>331</v>
      </c>
      <c r="W13" s="17">
        <v>332</v>
      </c>
      <c r="X13" s="14"/>
      <c r="Y13" s="17">
        <v>379</v>
      </c>
      <c r="Z13" s="17">
        <v>380</v>
      </c>
      <c r="AA13" s="14"/>
      <c r="AB13" s="17">
        <v>427</v>
      </c>
      <c r="AC13" s="17">
        <v>428</v>
      </c>
      <c r="AD13" s="14"/>
      <c r="AE13" s="17">
        <v>475</v>
      </c>
      <c r="AF13" s="17">
        <v>476</v>
      </c>
      <c r="AG13" s="14"/>
      <c r="AH13" s="14"/>
      <c r="AI13" s="17">
        <v>523</v>
      </c>
      <c r="AJ13" s="17">
        <v>524</v>
      </c>
      <c r="AK13" s="14"/>
      <c r="AL13" s="17">
        <v>571</v>
      </c>
      <c r="AM13" s="17">
        <v>572</v>
      </c>
      <c r="AN13" s="14"/>
      <c r="AO13" s="17">
        <v>619</v>
      </c>
      <c r="AP13" s="17">
        <v>620</v>
      </c>
      <c r="AQ13" s="14"/>
      <c r="AR13" s="17">
        <v>667</v>
      </c>
      <c r="AS13" s="17">
        <v>668</v>
      </c>
      <c r="AT13" s="14"/>
      <c r="AU13" s="17">
        <v>715</v>
      </c>
      <c r="AV13" s="17">
        <v>716</v>
      </c>
    </row>
    <row r="14" spans="3:48" s="16" customFormat="1" ht="12" customHeight="1" x14ac:dyDescent="0.25">
      <c r="C14" s="14"/>
      <c r="D14" s="18"/>
      <c r="E14" s="14"/>
      <c r="F14" s="18"/>
      <c r="G14" s="18"/>
      <c r="H14" s="14"/>
      <c r="I14" s="18"/>
      <c r="J14" s="18"/>
      <c r="K14" s="14"/>
      <c r="L14" s="18"/>
      <c r="M14" s="18"/>
      <c r="N14" s="14"/>
      <c r="O14" s="18"/>
      <c r="P14" s="18"/>
      <c r="Q14" s="14"/>
      <c r="R14" s="14"/>
      <c r="S14" s="18"/>
      <c r="T14" s="18"/>
      <c r="U14" s="14"/>
      <c r="V14" s="18"/>
      <c r="W14" s="18"/>
      <c r="X14" s="14"/>
      <c r="Y14" s="18"/>
      <c r="Z14" s="18"/>
      <c r="AA14" s="14"/>
      <c r="AB14" s="18"/>
      <c r="AC14" s="18"/>
      <c r="AD14" s="14"/>
      <c r="AE14" s="18"/>
      <c r="AF14" s="18"/>
      <c r="AG14" s="14"/>
      <c r="AH14" s="14"/>
      <c r="AI14" s="18"/>
      <c r="AJ14" s="18"/>
      <c r="AK14" s="14"/>
      <c r="AL14" s="18"/>
      <c r="AM14" s="18"/>
      <c r="AN14" s="14"/>
      <c r="AO14" s="18"/>
      <c r="AP14" s="18"/>
      <c r="AQ14" s="14"/>
      <c r="AR14" s="18"/>
      <c r="AS14" s="18"/>
      <c r="AT14" s="14"/>
      <c r="AU14" s="18"/>
      <c r="AV14" s="18"/>
    </row>
    <row r="15" spans="3:48" s="16" customFormat="1" ht="33" customHeight="1" x14ac:dyDescent="0.25">
      <c r="C15" s="13" t="s">
        <v>123</v>
      </c>
      <c r="D15" s="13" t="s">
        <v>102</v>
      </c>
      <c r="E15" s="14"/>
      <c r="F15" s="13" t="s">
        <v>54</v>
      </c>
      <c r="G15" s="13" t="s">
        <v>126</v>
      </c>
      <c r="H15" s="14"/>
      <c r="I15" s="13" t="s">
        <v>84</v>
      </c>
      <c r="J15" s="13" t="s">
        <v>187</v>
      </c>
      <c r="K15" s="14"/>
      <c r="L15" s="13" t="s">
        <v>185</v>
      </c>
      <c r="M15" s="13" t="s">
        <v>192</v>
      </c>
      <c r="N15" s="14"/>
      <c r="O15" s="13" t="s">
        <v>183</v>
      </c>
      <c r="P15" s="13" t="s">
        <v>227</v>
      </c>
      <c r="Q15" s="14"/>
      <c r="R15" s="14"/>
      <c r="S15" s="13" t="s">
        <v>111</v>
      </c>
      <c r="T15" s="13" t="s">
        <v>168</v>
      </c>
      <c r="U15" s="14"/>
      <c r="V15" s="13" t="s">
        <v>220</v>
      </c>
      <c r="W15" s="13" t="s">
        <v>99</v>
      </c>
      <c r="X15" s="14"/>
      <c r="Y15" s="13" t="s">
        <v>103</v>
      </c>
      <c r="Z15" s="13" t="s">
        <v>166</v>
      </c>
      <c r="AA15" s="14"/>
      <c r="AB15" s="13" t="s">
        <v>159</v>
      </c>
      <c r="AC15" s="13" t="s">
        <v>488</v>
      </c>
      <c r="AD15" s="14"/>
      <c r="AE15" s="13" t="s">
        <v>161</v>
      </c>
      <c r="AF15" s="13" t="s">
        <v>96</v>
      </c>
      <c r="AG15" s="14"/>
      <c r="AH15" s="14"/>
      <c r="AI15" s="13" t="s">
        <v>220</v>
      </c>
      <c r="AJ15" s="13" t="s">
        <v>92</v>
      </c>
      <c r="AK15" s="14"/>
      <c r="AL15" s="13" t="s">
        <v>105</v>
      </c>
      <c r="AM15" s="13" t="s">
        <v>489</v>
      </c>
      <c r="AN15" s="14"/>
      <c r="AO15" s="13" t="s">
        <v>124</v>
      </c>
      <c r="AP15" s="13" t="s">
        <v>248</v>
      </c>
      <c r="AQ15" s="14"/>
      <c r="AR15" s="13" t="s">
        <v>164</v>
      </c>
      <c r="AS15" s="13" t="s">
        <v>90</v>
      </c>
      <c r="AT15" s="14"/>
      <c r="AU15" s="13" t="s">
        <v>211</v>
      </c>
      <c r="AV15" s="13" t="s">
        <v>57</v>
      </c>
    </row>
    <row r="16" spans="3:48" s="16" customFormat="1" ht="12" customHeight="1" x14ac:dyDescent="0.25">
      <c r="C16" s="17">
        <v>41</v>
      </c>
      <c r="D16" s="17">
        <v>42</v>
      </c>
      <c r="E16" s="14"/>
      <c r="F16" s="17">
        <v>89</v>
      </c>
      <c r="G16" s="17">
        <v>90</v>
      </c>
      <c r="H16" s="14"/>
      <c r="I16" s="17">
        <v>137</v>
      </c>
      <c r="J16" s="17">
        <v>138</v>
      </c>
      <c r="K16" s="14"/>
      <c r="L16" s="17">
        <v>185</v>
      </c>
      <c r="M16" s="17">
        <v>186</v>
      </c>
      <c r="N16" s="14"/>
      <c r="O16" s="17">
        <v>233</v>
      </c>
      <c r="P16" s="17">
        <v>234</v>
      </c>
      <c r="Q16" s="14"/>
      <c r="R16" s="14"/>
      <c r="S16" s="17">
        <v>281</v>
      </c>
      <c r="T16" s="17">
        <v>282</v>
      </c>
      <c r="U16" s="14"/>
      <c r="V16" s="17">
        <v>329</v>
      </c>
      <c r="W16" s="17">
        <v>330</v>
      </c>
      <c r="X16" s="14"/>
      <c r="Y16" s="17">
        <v>377</v>
      </c>
      <c r="Z16" s="17">
        <v>378</v>
      </c>
      <c r="AA16" s="14"/>
      <c r="AB16" s="17">
        <v>425</v>
      </c>
      <c r="AC16" s="17">
        <v>426</v>
      </c>
      <c r="AD16" s="14"/>
      <c r="AE16" s="17">
        <v>473</v>
      </c>
      <c r="AF16" s="17">
        <v>474</v>
      </c>
      <c r="AG16" s="14"/>
      <c r="AH16" s="14"/>
      <c r="AI16" s="17">
        <v>521</v>
      </c>
      <c r="AJ16" s="17">
        <v>522</v>
      </c>
      <c r="AK16" s="14"/>
      <c r="AL16" s="17">
        <v>569</v>
      </c>
      <c r="AM16" s="17">
        <v>570</v>
      </c>
      <c r="AN16" s="14"/>
      <c r="AO16" s="17">
        <v>617</v>
      </c>
      <c r="AP16" s="17">
        <v>618</v>
      </c>
      <c r="AQ16" s="14"/>
      <c r="AR16" s="17">
        <v>665</v>
      </c>
      <c r="AS16" s="17">
        <v>666</v>
      </c>
      <c r="AT16" s="14"/>
      <c r="AU16" s="17">
        <v>713</v>
      </c>
      <c r="AV16" s="17">
        <v>714</v>
      </c>
    </row>
    <row r="17" spans="3:48" s="16" customFormat="1" ht="33.75" customHeight="1" x14ac:dyDescent="0.25">
      <c r="C17" s="14"/>
      <c r="D17" s="18"/>
      <c r="E17" s="14"/>
      <c r="F17" s="18"/>
      <c r="G17" s="18"/>
      <c r="H17" s="14"/>
      <c r="I17" s="18"/>
      <c r="J17" s="18"/>
      <c r="K17" s="14"/>
      <c r="L17" s="18"/>
      <c r="M17" s="18"/>
      <c r="N17" s="14"/>
      <c r="O17" s="18"/>
      <c r="P17" s="18"/>
      <c r="Q17" s="14"/>
      <c r="R17" s="14"/>
      <c r="S17" s="18"/>
      <c r="T17" s="18"/>
      <c r="U17" s="14"/>
      <c r="V17" s="18"/>
      <c r="W17" s="18"/>
      <c r="X17" s="14"/>
      <c r="Y17" s="18"/>
      <c r="Z17" s="18"/>
      <c r="AA17" s="14"/>
      <c r="AB17" s="18"/>
      <c r="AC17" s="18"/>
      <c r="AD17" s="14"/>
      <c r="AE17" s="18"/>
      <c r="AF17" s="18"/>
      <c r="AG17" s="14"/>
      <c r="AH17" s="14"/>
      <c r="AI17" s="18"/>
      <c r="AJ17" s="18"/>
      <c r="AK17" s="14"/>
      <c r="AL17" s="18"/>
      <c r="AM17" s="18"/>
      <c r="AN17" s="14"/>
      <c r="AO17" s="18"/>
      <c r="AP17" s="18"/>
      <c r="AQ17" s="14"/>
      <c r="AR17" s="18"/>
      <c r="AS17" s="18"/>
      <c r="AT17" s="14"/>
      <c r="AU17" s="18"/>
      <c r="AV17" s="18"/>
    </row>
    <row r="18" spans="3:48" s="16" customFormat="1" ht="33" customHeight="1" x14ac:dyDescent="0.25">
      <c r="C18" s="13" t="s">
        <v>195</v>
      </c>
      <c r="D18" s="13" t="s">
        <v>263</v>
      </c>
      <c r="E18" s="14"/>
      <c r="F18" s="13" t="s">
        <v>129</v>
      </c>
      <c r="G18" s="13" t="s">
        <v>19</v>
      </c>
      <c r="H18" s="14"/>
      <c r="I18" s="13" t="s">
        <v>194</v>
      </c>
      <c r="J18" s="13" t="s">
        <v>26</v>
      </c>
      <c r="K18" s="14"/>
      <c r="L18" s="13" t="s">
        <v>77</v>
      </c>
      <c r="M18" s="13" t="s">
        <v>108</v>
      </c>
      <c r="N18" s="14"/>
      <c r="O18" s="13" t="s">
        <v>207</v>
      </c>
      <c r="P18" s="13" t="s">
        <v>175</v>
      </c>
      <c r="Q18" s="14"/>
      <c r="R18" s="14"/>
      <c r="S18" s="13" t="s">
        <v>156</v>
      </c>
      <c r="T18" s="13" t="s">
        <v>143</v>
      </c>
      <c r="U18" s="14"/>
      <c r="V18" s="13" t="s">
        <v>201</v>
      </c>
      <c r="W18" s="13" t="s">
        <v>118</v>
      </c>
      <c r="X18" s="14"/>
      <c r="Y18" s="13" t="s">
        <v>54</v>
      </c>
      <c r="Z18" s="13" t="s">
        <v>169</v>
      </c>
      <c r="AA18" s="14"/>
      <c r="AB18" s="13" t="s">
        <v>490</v>
      </c>
      <c r="AC18" s="13" t="s">
        <v>91</v>
      </c>
      <c r="AD18" s="14"/>
      <c r="AE18" s="13" t="s">
        <v>89</v>
      </c>
      <c r="AF18" s="13" t="s">
        <v>227</v>
      </c>
      <c r="AG18" s="14"/>
      <c r="AH18" s="14"/>
      <c r="AI18" s="13" t="s">
        <v>71</v>
      </c>
      <c r="AJ18" s="13" t="s">
        <v>476</v>
      </c>
      <c r="AK18" s="14"/>
      <c r="AL18" s="13" t="s">
        <v>487</v>
      </c>
      <c r="AM18" s="13" t="s">
        <v>135</v>
      </c>
      <c r="AN18" s="14"/>
      <c r="AO18" s="13" t="s">
        <v>79</v>
      </c>
      <c r="AP18" s="13" t="s">
        <v>169</v>
      </c>
      <c r="AQ18" s="14"/>
      <c r="AR18" s="13" t="s">
        <v>132</v>
      </c>
      <c r="AS18" s="13" t="s">
        <v>218</v>
      </c>
      <c r="AT18" s="14"/>
      <c r="AU18" s="13" t="s">
        <v>38</v>
      </c>
      <c r="AV18" s="13" t="s">
        <v>254</v>
      </c>
    </row>
    <row r="19" spans="3:48" s="16" customFormat="1" ht="12" customHeight="1" x14ac:dyDescent="0.25">
      <c r="C19" s="17">
        <v>39</v>
      </c>
      <c r="D19" s="17">
        <v>40</v>
      </c>
      <c r="E19" s="14"/>
      <c r="F19" s="17">
        <v>87</v>
      </c>
      <c r="G19" s="17">
        <v>88</v>
      </c>
      <c r="H19" s="14"/>
      <c r="I19" s="17">
        <v>135</v>
      </c>
      <c r="J19" s="17">
        <v>136</v>
      </c>
      <c r="K19" s="14"/>
      <c r="L19" s="17">
        <v>183</v>
      </c>
      <c r="M19" s="17">
        <v>184</v>
      </c>
      <c r="N19" s="14"/>
      <c r="O19" s="17">
        <v>231</v>
      </c>
      <c r="P19" s="17">
        <v>232</v>
      </c>
      <c r="Q19" s="14"/>
      <c r="R19" s="14"/>
      <c r="S19" s="17">
        <v>279</v>
      </c>
      <c r="T19" s="17">
        <v>280</v>
      </c>
      <c r="U19" s="14"/>
      <c r="V19" s="17">
        <v>327</v>
      </c>
      <c r="W19" s="17">
        <v>328</v>
      </c>
      <c r="X19" s="14"/>
      <c r="Y19" s="17">
        <v>375</v>
      </c>
      <c r="Z19" s="17">
        <v>376</v>
      </c>
      <c r="AA19" s="14"/>
      <c r="AB19" s="17">
        <v>423</v>
      </c>
      <c r="AC19" s="17">
        <v>424</v>
      </c>
      <c r="AD19" s="14"/>
      <c r="AE19" s="17">
        <v>471</v>
      </c>
      <c r="AF19" s="17">
        <v>472</v>
      </c>
      <c r="AG19" s="14"/>
      <c r="AH19" s="14"/>
      <c r="AI19" s="17">
        <v>519</v>
      </c>
      <c r="AJ19" s="17">
        <v>520</v>
      </c>
      <c r="AK19" s="14"/>
      <c r="AL19" s="17">
        <v>567</v>
      </c>
      <c r="AM19" s="17">
        <v>568</v>
      </c>
      <c r="AN19" s="14"/>
      <c r="AO19" s="17">
        <v>615</v>
      </c>
      <c r="AP19" s="17">
        <v>616</v>
      </c>
      <c r="AQ19" s="14"/>
      <c r="AR19" s="17">
        <v>663</v>
      </c>
      <c r="AS19" s="17">
        <v>664</v>
      </c>
      <c r="AT19" s="14"/>
      <c r="AU19" s="17">
        <v>711</v>
      </c>
      <c r="AV19" s="17">
        <v>712</v>
      </c>
    </row>
    <row r="20" spans="3:48" s="16" customFormat="1" ht="12" customHeight="1" x14ac:dyDescent="0.25">
      <c r="C20" s="14"/>
      <c r="D20" s="18"/>
      <c r="E20" s="14"/>
      <c r="F20" s="18"/>
      <c r="G20" s="18"/>
      <c r="H20" s="14"/>
      <c r="I20" s="18"/>
      <c r="J20" s="18"/>
      <c r="K20" s="14"/>
      <c r="L20" s="18"/>
      <c r="M20" s="18"/>
      <c r="N20" s="14"/>
      <c r="O20" s="18"/>
      <c r="P20" s="18"/>
      <c r="Q20" s="14"/>
      <c r="R20" s="14"/>
      <c r="S20" s="18"/>
      <c r="T20" s="18"/>
      <c r="U20" s="14"/>
      <c r="V20" s="18"/>
      <c r="W20" s="18"/>
      <c r="X20" s="14"/>
      <c r="Y20" s="18"/>
      <c r="Z20" s="18"/>
      <c r="AA20" s="14"/>
      <c r="AB20" s="18"/>
      <c r="AC20" s="18"/>
      <c r="AD20" s="14"/>
      <c r="AE20" s="18"/>
      <c r="AF20" s="18"/>
      <c r="AG20" s="14"/>
      <c r="AH20" s="14"/>
      <c r="AI20" s="18"/>
      <c r="AJ20" s="18"/>
      <c r="AK20" s="14"/>
      <c r="AL20" s="18"/>
      <c r="AM20" s="18"/>
      <c r="AN20" s="14"/>
      <c r="AO20" s="18"/>
      <c r="AP20" s="18"/>
      <c r="AQ20" s="14"/>
      <c r="AR20" s="18"/>
      <c r="AS20" s="18"/>
      <c r="AT20" s="14"/>
      <c r="AU20" s="18"/>
      <c r="AV20" s="18"/>
    </row>
    <row r="21" spans="3:48" s="16" customFormat="1" ht="33" customHeight="1" x14ac:dyDescent="0.25">
      <c r="C21" s="13" t="s">
        <v>139</v>
      </c>
      <c r="D21" s="13" t="s">
        <v>264</v>
      </c>
      <c r="E21" s="14"/>
      <c r="F21" s="13" t="s">
        <v>220</v>
      </c>
      <c r="G21" s="13" t="s">
        <v>152</v>
      </c>
      <c r="H21" s="14"/>
      <c r="I21" s="13" t="s">
        <v>99</v>
      </c>
      <c r="J21" s="13" t="s">
        <v>491</v>
      </c>
      <c r="K21" s="14"/>
      <c r="L21" s="13" t="s">
        <v>163</v>
      </c>
      <c r="M21" s="13" t="s">
        <v>79</v>
      </c>
      <c r="N21" s="14"/>
      <c r="O21" s="13" t="s">
        <v>179</v>
      </c>
      <c r="P21" s="13" t="s">
        <v>171</v>
      </c>
      <c r="Q21" s="14"/>
      <c r="R21" s="14"/>
      <c r="S21" s="13" t="s">
        <v>244</v>
      </c>
      <c r="T21" s="13" t="s">
        <v>47</v>
      </c>
      <c r="U21" s="14"/>
      <c r="V21" s="13" t="s">
        <v>483</v>
      </c>
      <c r="W21" s="13" t="s">
        <v>203</v>
      </c>
      <c r="X21" s="14"/>
      <c r="Y21" s="13" t="s">
        <v>11</v>
      </c>
      <c r="Z21" s="13" t="s">
        <v>196</v>
      </c>
      <c r="AA21" s="14"/>
      <c r="AB21" s="13" t="s">
        <v>19</v>
      </c>
      <c r="AC21" s="13" t="s">
        <v>123</v>
      </c>
      <c r="AD21" s="14"/>
      <c r="AE21" s="13" t="s">
        <v>155</v>
      </c>
      <c r="AF21" s="13" t="s">
        <v>144</v>
      </c>
      <c r="AG21" s="14"/>
      <c r="AH21" s="14"/>
      <c r="AI21" s="13" t="s">
        <v>89</v>
      </c>
      <c r="AJ21" s="13" t="s">
        <v>40</v>
      </c>
      <c r="AK21" s="14"/>
      <c r="AL21" s="13" t="s">
        <v>72</v>
      </c>
      <c r="AM21" s="13" t="s">
        <v>246</v>
      </c>
      <c r="AN21" s="14"/>
      <c r="AO21" s="13" t="s">
        <v>183</v>
      </c>
      <c r="AP21" s="13" t="s">
        <v>118</v>
      </c>
      <c r="AQ21" s="14"/>
      <c r="AR21" s="13" t="s">
        <v>492</v>
      </c>
      <c r="AS21" s="13" t="s">
        <v>180</v>
      </c>
      <c r="AT21" s="14"/>
      <c r="AU21" s="13" t="s">
        <v>18</v>
      </c>
      <c r="AV21" s="13" t="s">
        <v>493</v>
      </c>
    </row>
    <row r="22" spans="3:48" s="16" customFormat="1" ht="12" customHeight="1" x14ac:dyDescent="0.25">
      <c r="C22" s="17">
        <v>37</v>
      </c>
      <c r="D22" s="17">
        <v>38</v>
      </c>
      <c r="E22" s="14"/>
      <c r="F22" s="17">
        <v>85</v>
      </c>
      <c r="G22" s="17">
        <v>86</v>
      </c>
      <c r="H22" s="14"/>
      <c r="I22" s="17">
        <v>133</v>
      </c>
      <c r="J22" s="17">
        <v>134</v>
      </c>
      <c r="K22" s="14"/>
      <c r="L22" s="17">
        <v>181</v>
      </c>
      <c r="M22" s="17">
        <v>182</v>
      </c>
      <c r="N22" s="14"/>
      <c r="O22" s="17">
        <v>229</v>
      </c>
      <c r="P22" s="17">
        <v>230</v>
      </c>
      <c r="Q22" s="14"/>
      <c r="R22" s="14"/>
      <c r="S22" s="17">
        <v>277</v>
      </c>
      <c r="T22" s="17">
        <v>278</v>
      </c>
      <c r="U22" s="14"/>
      <c r="V22" s="17">
        <v>325</v>
      </c>
      <c r="W22" s="17">
        <v>326</v>
      </c>
      <c r="X22" s="14"/>
      <c r="Y22" s="17">
        <v>373</v>
      </c>
      <c r="Z22" s="17">
        <v>374</v>
      </c>
      <c r="AA22" s="14"/>
      <c r="AB22" s="17">
        <v>421</v>
      </c>
      <c r="AC22" s="17">
        <v>422</v>
      </c>
      <c r="AD22" s="14"/>
      <c r="AE22" s="17">
        <v>469</v>
      </c>
      <c r="AF22" s="17">
        <v>470</v>
      </c>
      <c r="AG22" s="14"/>
      <c r="AH22" s="14"/>
      <c r="AI22" s="17">
        <v>517</v>
      </c>
      <c r="AJ22" s="17">
        <v>518</v>
      </c>
      <c r="AK22" s="14"/>
      <c r="AL22" s="17">
        <v>565</v>
      </c>
      <c r="AM22" s="17">
        <v>566</v>
      </c>
      <c r="AN22" s="14"/>
      <c r="AO22" s="17">
        <v>613</v>
      </c>
      <c r="AP22" s="17">
        <v>614</v>
      </c>
      <c r="AQ22" s="14"/>
      <c r="AR22" s="17">
        <v>661</v>
      </c>
      <c r="AS22" s="17">
        <v>662</v>
      </c>
      <c r="AT22" s="14"/>
      <c r="AU22" s="17">
        <v>709</v>
      </c>
      <c r="AV22" s="17">
        <v>710</v>
      </c>
    </row>
    <row r="23" spans="3:48" s="16" customFormat="1" ht="12" customHeight="1" x14ac:dyDescent="0.25">
      <c r="C23" s="14"/>
      <c r="D23" s="18"/>
      <c r="E23" s="14"/>
      <c r="F23" s="18"/>
      <c r="G23" s="18"/>
      <c r="H23" s="14"/>
      <c r="I23" s="18"/>
      <c r="J23" s="18"/>
      <c r="K23" s="14"/>
      <c r="L23" s="18"/>
      <c r="M23" s="18"/>
      <c r="N23" s="14"/>
      <c r="O23" s="18"/>
      <c r="P23" s="18"/>
      <c r="Q23" s="14"/>
      <c r="R23" s="14"/>
      <c r="S23" s="18"/>
      <c r="T23" s="18"/>
      <c r="U23" s="14"/>
      <c r="V23" s="18"/>
      <c r="W23" s="18"/>
      <c r="X23" s="14"/>
      <c r="Y23" s="18"/>
      <c r="Z23" s="18"/>
      <c r="AA23" s="14"/>
      <c r="AB23" s="18"/>
      <c r="AC23" s="18"/>
      <c r="AD23" s="14"/>
      <c r="AE23" s="18"/>
      <c r="AF23" s="18"/>
      <c r="AG23" s="14"/>
      <c r="AH23" s="14"/>
      <c r="AI23" s="18"/>
      <c r="AJ23" s="18"/>
      <c r="AK23" s="14"/>
      <c r="AL23" s="18"/>
      <c r="AM23" s="18"/>
      <c r="AN23" s="14"/>
      <c r="AO23" s="18"/>
      <c r="AP23" s="18"/>
      <c r="AQ23" s="14"/>
      <c r="AR23" s="18"/>
      <c r="AS23" s="18"/>
      <c r="AT23" s="14"/>
      <c r="AU23" s="18"/>
      <c r="AV23" s="18"/>
    </row>
    <row r="24" spans="3:48" s="16" customFormat="1" ht="33" customHeight="1" x14ac:dyDescent="0.25">
      <c r="C24" s="13" t="s">
        <v>70</v>
      </c>
      <c r="D24" s="13" t="s">
        <v>137</v>
      </c>
      <c r="E24" s="14"/>
      <c r="F24" s="13" t="s">
        <v>122</v>
      </c>
      <c r="G24" s="13" t="s">
        <v>11</v>
      </c>
      <c r="H24" s="14"/>
      <c r="I24" s="13" t="s">
        <v>225</v>
      </c>
      <c r="J24" s="13" t="s">
        <v>157</v>
      </c>
      <c r="K24" s="14"/>
      <c r="L24" s="13" t="s">
        <v>487</v>
      </c>
      <c r="M24" s="13" t="s">
        <v>150</v>
      </c>
      <c r="N24" s="14"/>
      <c r="O24" s="13" t="s">
        <v>173</v>
      </c>
      <c r="P24" s="13" t="s">
        <v>57</v>
      </c>
      <c r="Q24" s="14"/>
      <c r="R24" s="14"/>
      <c r="S24" s="13" t="s">
        <v>188</v>
      </c>
      <c r="T24" s="13" t="s">
        <v>232</v>
      </c>
      <c r="U24" s="14"/>
      <c r="V24" s="13" t="s">
        <v>44</v>
      </c>
      <c r="W24" s="13" t="s">
        <v>186</v>
      </c>
      <c r="X24" s="14"/>
      <c r="Y24" s="13" t="s">
        <v>79</v>
      </c>
      <c r="Z24" s="13" t="s">
        <v>82</v>
      </c>
      <c r="AA24" s="14"/>
      <c r="AB24" s="13" t="s">
        <v>221</v>
      </c>
      <c r="AC24" s="13" t="s">
        <v>138</v>
      </c>
      <c r="AD24" s="14"/>
      <c r="AE24" s="13" t="s">
        <v>236</v>
      </c>
      <c r="AF24" s="13" t="s">
        <v>255</v>
      </c>
      <c r="AG24" s="14"/>
      <c r="AH24" s="14"/>
      <c r="AI24" s="13" t="s">
        <v>160</v>
      </c>
      <c r="AJ24" s="13" t="s">
        <v>112</v>
      </c>
      <c r="AK24" s="14"/>
      <c r="AL24" s="13" t="s">
        <v>145</v>
      </c>
      <c r="AM24" s="13" t="s">
        <v>236</v>
      </c>
      <c r="AN24" s="14"/>
      <c r="AO24" s="13" t="s">
        <v>101</v>
      </c>
      <c r="AP24" s="13" t="s">
        <v>126</v>
      </c>
      <c r="AQ24" s="14"/>
      <c r="AR24" s="13" t="s">
        <v>482</v>
      </c>
      <c r="AS24" s="13" t="s">
        <v>139</v>
      </c>
      <c r="AT24" s="14"/>
      <c r="AU24" s="13" t="s">
        <v>77</v>
      </c>
      <c r="AV24" s="13" t="s">
        <v>201</v>
      </c>
    </row>
    <row r="25" spans="3:48" s="16" customFormat="1" ht="12" customHeight="1" x14ac:dyDescent="0.25">
      <c r="C25" s="17">
        <v>35</v>
      </c>
      <c r="D25" s="17">
        <v>36</v>
      </c>
      <c r="E25" s="14"/>
      <c r="F25" s="17">
        <v>83</v>
      </c>
      <c r="G25" s="17">
        <v>84</v>
      </c>
      <c r="H25" s="14"/>
      <c r="I25" s="17">
        <v>131</v>
      </c>
      <c r="J25" s="17">
        <v>132</v>
      </c>
      <c r="K25" s="14"/>
      <c r="L25" s="17">
        <v>179</v>
      </c>
      <c r="M25" s="17">
        <v>180</v>
      </c>
      <c r="N25" s="14"/>
      <c r="O25" s="17">
        <v>227</v>
      </c>
      <c r="P25" s="17">
        <v>228</v>
      </c>
      <c r="Q25" s="14"/>
      <c r="R25" s="14"/>
      <c r="S25" s="17">
        <v>275</v>
      </c>
      <c r="T25" s="17">
        <v>276</v>
      </c>
      <c r="U25" s="14"/>
      <c r="V25" s="17">
        <v>323</v>
      </c>
      <c r="W25" s="17">
        <v>324</v>
      </c>
      <c r="X25" s="14"/>
      <c r="Y25" s="17">
        <v>371</v>
      </c>
      <c r="Z25" s="17">
        <v>372</v>
      </c>
      <c r="AA25" s="14"/>
      <c r="AB25" s="17">
        <v>419</v>
      </c>
      <c r="AC25" s="17">
        <v>420</v>
      </c>
      <c r="AD25" s="14"/>
      <c r="AE25" s="17">
        <v>467</v>
      </c>
      <c r="AF25" s="17">
        <v>468</v>
      </c>
      <c r="AG25" s="14"/>
      <c r="AH25" s="14"/>
      <c r="AI25" s="17">
        <v>515</v>
      </c>
      <c r="AJ25" s="17">
        <v>516</v>
      </c>
      <c r="AK25" s="14"/>
      <c r="AL25" s="17">
        <v>563</v>
      </c>
      <c r="AM25" s="17">
        <v>564</v>
      </c>
      <c r="AN25" s="14"/>
      <c r="AO25" s="17">
        <v>611</v>
      </c>
      <c r="AP25" s="17">
        <v>612</v>
      </c>
      <c r="AQ25" s="14"/>
      <c r="AR25" s="17">
        <v>659</v>
      </c>
      <c r="AS25" s="17">
        <v>660</v>
      </c>
      <c r="AT25" s="14"/>
      <c r="AU25" s="17">
        <v>707</v>
      </c>
      <c r="AV25" s="17">
        <v>708</v>
      </c>
    </row>
    <row r="26" spans="3:48" s="16" customFormat="1" ht="12" customHeight="1" x14ac:dyDescent="0.25">
      <c r="C26" s="14"/>
      <c r="D26" s="18"/>
      <c r="E26" s="14"/>
      <c r="F26" s="18"/>
      <c r="G26" s="18"/>
      <c r="H26" s="14"/>
      <c r="I26" s="18"/>
      <c r="J26" s="18"/>
      <c r="K26" s="14"/>
      <c r="L26" s="18"/>
      <c r="M26" s="18"/>
      <c r="N26" s="14"/>
      <c r="O26" s="18"/>
      <c r="P26" s="18"/>
      <c r="Q26" s="14"/>
      <c r="R26" s="14"/>
      <c r="S26" s="18"/>
      <c r="T26" s="18"/>
      <c r="U26" s="14"/>
      <c r="V26" s="18"/>
      <c r="W26" s="18"/>
      <c r="X26" s="14"/>
      <c r="Y26" s="18"/>
      <c r="Z26" s="18"/>
      <c r="AA26" s="14"/>
      <c r="AB26" s="18"/>
      <c r="AC26" s="18"/>
      <c r="AD26" s="14"/>
      <c r="AE26" s="18"/>
      <c r="AF26" s="18"/>
      <c r="AG26" s="14"/>
      <c r="AH26" s="14"/>
      <c r="AI26" s="18"/>
      <c r="AJ26" s="18"/>
      <c r="AK26" s="14"/>
      <c r="AL26" s="18"/>
      <c r="AM26" s="18"/>
      <c r="AN26" s="14"/>
      <c r="AO26" s="18"/>
      <c r="AP26" s="18"/>
      <c r="AQ26" s="14"/>
      <c r="AR26" s="18"/>
      <c r="AS26" s="18"/>
      <c r="AT26" s="14"/>
      <c r="AU26" s="18"/>
      <c r="AV26" s="18"/>
    </row>
    <row r="27" spans="3:48" s="16" customFormat="1" ht="33" customHeight="1" x14ac:dyDescent="0.25">
      <c r="C27" s="15" t="s">
        <v>250</v>
      </c>
      <c r="D27" s="13" t="s">
        <v>92</v>
      </c>
      <c r="E27" s="14"/>
      <c r="F27" s="13" t="s">
        <v>118</v>
      </c>
      <c r="G27" s="13" t="s">
        <v>212</v>
      </c>
      <c r="H27" s="14"/>
      <c r="I27" s="13" t="s">
        <v>121</v>
      </c>
      <c r="J27" s="13" t="s">
        <v>23</v>
      </c>
      <c r="K27" s="14"/>
      <c r="L27" s="13" t="s">
        <v>215</v>
      </c>
      <c r="M27" s="13" t="s">
        <v>494</v>
      </c>
      <c r="N27" s="14"/>
      <c r="O27" s="13" t="s">
        <v>170</v>
      </c>
      <c r="P27" s="13" t="s">
        <v>33</v>
      </c>
      <c r="Q27" s="14"/>
      <c r="R27" s="14"/>
      <c r="S27" s="13" t="s">
        <v>174</v>
      </c>
      <c r="T27" s="13" t="s">
        <v>147</v>
      </c>
      <c r="U27" s="14"/>
      <c r="V27" s="13" t="s">
        <v>16</v>
      </c>
      <c r="W27" s="13" t="s">
        <v>90</v>
      </c>
      <c r="X27" s="14"/>
      <c r="Y27" s="13" t="s">
        <v>179</v>
      </c>
      <c r="Z27" s="13" t="s">
        <v>222</v>
      </c>
      <c r="AA27" s="14"/>
      <c r="AB27" s="13" t="s">
        <v>32</v>
      </c>
      <c r="AC27" s="13" t="s">
        <v>242</v>
      </c>
      <c r="AD27" s="14"/>
      <c r="AE27" s="13" t="s">
        <v>264</v>
      </c>
      <c r="AF27" s="13" t="s">
        <v>78</v>
      </c>
      <c r="AG27" s="14"/>
      <c r="AH27" s="14"/>
      <c r="AI27" s="13" t="s">
        <v>188</v>
      </c>
      <c r="AJ27" s="13" t="s">
        <v>258</v>
      </c>
      <c r="AK27" s="14"/>
      <c r="AL27" s="13" t="s">
        <v>161</v>
      </c>
      <c r="AM27" s="13" t="s">
        <v>45</v>
      </c>
      <c r="AN27" s="14"/>
      <c r="AO27" s="13" t="s">
        <v>83</v>
      </c>
      <c r="AP27" s="13" t="s">
        <v>129</v>
      </c>
      <c r="AQ27" s="14"/>
      <c r="AR27" s="13" t="s">
        <v>111</v>
      </c>
      <c r="AS27" s="13" t="s">
        <v>495</v>
      </c>
      <c r="AT27" s="14"/>
      <c r="AU27" s="13" t="s">
        <v>30</v>
      </c>
      <c r="AV27" s="13" t="s">
        <v>223</v>
      </c>
    </row>
    <row r="28" spans="3:48" s="16" customFormat="1" ht="12" customHeight="1" x14ac:dyDescent="0.25">
      <c r="C28" s="17">
        <v>33</v>
      </c>
      <c r="D28" s="17">
        <v>34</v>
      </c>
      <c r="E28" s="14"/>
      <c r="F28" s="17">
        <v>81</v>
      </c>
      <c r="G28" s="17">
        <v>82</v>
      </c>
      <c r="H28" s="14"/>
      <c r="I28" s="17">
        <v>129</v>
      </c>
      <c r="J28" s="17">
        <v>130</v>
      </c>
      <c r="K28" s="14"/>
      <c r="L28" s="17">
        <v>177</v>
      </c>
      <c r="M28" s="17">
        <v>178</v>
      </c>
      <c r="N28" s="14"/>
      <c r="O28" s="17">
        <v>225</v>
      </c>
      <c r="P28" s="17">
        <v>226</v>
      </c>
      <c r="Q28" s="14"/>
      <c r="R28" s="14"/>
      <c r="S28" s="17">
        <v>273</v>
      </c>
      <c r="T28" s="17">
        <v>274</v>
      </c>
      <c r="U28" s="14"/>
      <c r="V28" s="17">
        <v>321</v>
      </c>
      <c r="W28" s="17">
        <v>322</v>
      </c>
      <c r="X28" s="14"/>
      <c r="Y28" s="17">
        <v>369</v>
      </c>
      <c r="Z28" s="17">
        <v>370</v>
      </c>
      <c r="AA28" s="14"/>
      <c r="AB28" s="17">
        <v>417</v>
      </c>
      <c r="AC28" s="17">
        <v>418</v>
      </c>
      <c r="AD28" s="14"/>
      <c r="AE28" s="17">
        <v>465</v>
      </c>
      <c r="AF28" s="17">
        <v>466</v>
      </c>
      <c r="AG28" s="14"/>
      <c r="AH28" s="14"/>
      <c r="AI28" s="17">
        <v>513</v>
      </c>
      <c r="AJ28" s="17">
        <v>514</v>
      </c>
      <c r="AK28" s="14"/>
      <c r="AL28" s="17">
        <v>561</v>
      </c>
      <c r="AM28" s="17">
        <v>562</v>
      </c>
      <c r="AN28" s="14"/>
      <c r="AO28" s="17">
        <v>609</v>
      </c>
      <c r="AP28" s="17">
        <v>610</v>
      </c>
      <c r="AQ28" s="14"/>
      <c r="AR28" s="17">
        <v>657</v>
      </c>
      <c r="AS28" s="17">
        <v>658</v>
      </c>
      <c r="AT28" s="14"/>
      <c r="AU28" s="17">
        <v>705</v>
      </c>
      <c r="AV28" s="17">
        <v>706</v>
      </c>
    </row>
    <row r="29" spans="3:48" s="16" customFormat="1" ht="12" customHeight="1" x14ac:dyDescent="0.25">
      <c r="C29" s="14"/>
      <c r="D29" s="18"/>
      <c r="E29" s="14"/>
      <c r="F29" s="18"/>
      <c r="G29" s="18"/>
      <c r="H29" s="14"/>
      <c r="I29" s="18"/>
      <c r="J29" s="18"/>
      <c r="K29" s="14"/>
      <c r="L29" s="18"/>
      <c r="M29" s="18"/>
      <c r="N29" s="14"/>
      <c r="O29" s="18"/>
      <c r="P29" s="18"/>
      <c r="Q29" s="14"/>
      <c r="R29" s="14"/>
      <c r="S29" s="18"/>
      <c r="T29" s="18"/>
      <c r="U29" s="14"/>
      <c r="V29" s="18"/>
      <c r="W29" s="18"/>
      <c r="X29" s="14"/>
      <c r="Y29" s="18"/>
      <c r="Z29" s="18"/>
      <c r="AA29" s="14"/>
      <c r="AB29" s="18"/>
      <c r="AC29" s="18"/>
      <c r="AD29" s="14"/>
      <c r="AE29" s="18"/>
      <c r="AF29" s="18"/>
      <c r="AG29" s="14"/>
      <c r="AH29" s="14"/>
      <c r="AI29" s="18"/>
      <c r="AJ29" s="18"/>
      <c r="AK29" s="14"/>
      <c r="AL29" s="18"/>
      <c r="AM29" s="18"/>
      <c r="AN29" s="14"/>
      <c r="AO29" s="18"/>
      <c r="AP29" s="18"/>
      <c r="AQ29" s="14"/>
      <c r="AR29" s="18"/>
      <c r="AS29" s="18"/>
      <c r="AT29" s="14"/>
      <c r="AU29" s="18"/>
      <c r="AV29" s="18"/>
    </row>
    <row r="30" spans="3:48" s="16" customFormat="1" ht="33" customHeight="1" x14ac:dyDescent="0.25">
      <c r="C30" s="13" t="s">
        <v>133</v>
      </c>
      <c r="D30" s="13" t="s">
        <v>241</v>
      </c>
      <c r="E30" s="14"/>
      <c r="F30" s="13" t="s">
        <v>197</v>
      </c>
      <c r="G30" s="13" t="s">
        <v>136</v>
      </c>
      <c r="H30" s="14"/>
      <c r="I30" s="13" t="s">
        <v>496</v>
      </c>
      <c r="J30" s="13" t="s">
        <v>181</v>
      </c>
      <c r="K30" s="14"/>
      <c r="L30" s="13" t="s">
        <v>53</v>
      </c>
      <c r="M30" s="13" t="s">
        <v>210</v>
      </c>
      <c r="N30" s="14"/>
      <c r="O30" s="13" t="s">
        <v>177</v>
      </c>
      <c r="P30" s="13" t="s">
        <v>86</v>
      </c>
      <c r="Q30" s="14"/>
      <c r="R30" s="14"/>
      <c r="S30" s="13" t="s">
        <v>165</v>
      </c>
      <c r="T30" s="13" t="s">
        <v>202</v>
      </c>
      <c r="U30" s="14"/>
      <c r="V30" s="13" t="s">
        <v>493</v>
      </c>
      <c r="W30" s="13" t="s">
        <v>246</v>
      </c>
      <c r="X30" s="14"/>
      <c r="Y30" s="13" t="s">
        <v>229</v>
      </c>
      <c r="Z30" s="13" t="s">
        <v>113</v>
      </c>
      <c r="AA30" s="14"/>
      <c r="AB30" s="13" t="s">
        <v>167</v>
      </c>
      <c r="AC30" s="13" t="s">
        <v>125</v>
      </c>
      <c r="AD30" s="14"/>
      <c r="AE30" s="13" t="s">
        <v>145</v>
      </c>
      <c r="AF30" s="13" t="s">
        <v>114</v>
      </c>
      <c r="AG30" s="14"/>
      <c r="AH30" s="14"/>
      <c r="AI30" s="13" t="s">
        <v>121</v>
      </c>
      <c r="AJ30" s="13" t="s">
        <v>95</v>
      </c>
      <c r="AK30" s="14"/>
      <c r="AL30" s="13" t="s">
        <v>32</v>
      </c>
      <c r="AM30" s="13" t="s">
        <v>48</v>
      </c>
      <c r="AN30" s="14"/>
      <c r="AO30" s="13" t="s">
        <v>171</v>
      </c>
      <c r="AP30" s="13" t="s">
        <v>497</v>
      </c>
      <c r="AQ30" s="14"/>
      <c r="AR30" s="13" t="s">
        <v>227</v>
      </c>
      <c r="AS30" s="13" t="s">
        <v>28</v>
      </c>
      <c r="AT30" s="14"/>
      <c r="AU30" s="13" t="s">
        <v>63</v>
      </c>
      <c r="AV30" s="13" t="s">
        <v>240</v>
      </c>
    </row>
    <row r="31" spans="3:48" s="16" customFormat="1" ht="12" customHeight="1" x14ac:dyDescent="0.25">
      <c r="C31" s="17">
        <v>31</v>
      </c>
      <c r="D31" s="17">
        <v>32</v>
      </c>
      <c r="E31" s="14"/>
      <c r="F31" s="17">
        <v>79</v>
      </c>
      <c r="G31" s="17">
        <v>80</v>
      </c>
      <c r="H31" s="14"/>
      <c r="I31" s="17">
        <v>127</v>
      </c>
      <c r="J31" s="17">
        <v>128</v>
      </c>
      <c r="K31" s="14"/>
      <c r="L31" s="17">
        <v>175</v>
      </c>
      <c r="M31" s="17">
        <v>176</v>
      </c>
      <c r="N31" s="14"/>
      <c r="O31" s="17">
        <v>223</v>
      </c>
      <c r="P31" s="17">
        <v>224</v>
      </c>
      <c r="Q31" s="14"/>
      <c r="R31" s="14"/>
      <c r="S31" s="17">
        <v>271</v>
      </c>
      <c r="T31" s="17">
        <v>272</v>
      </c>
      <c r="U31" s="14"/>
      <c r="V31" s="17">
        <v>319</v>
      </c>
      <c r="W31" s="17">
        <v>320</v>
      </c>
      <c r="X31" s="14"/>
      <c r="Y31" s="17">
        <v>367</v>
      </c>
      <c r="Z31" s="17">
        <v>368</v>
      </c>
      <c r="AA31" s="14"/>
      <c r="AB31" s="17">
        <v>415</v>
      </c>
      <c r="AC31" s="17">
        <v>416</v>
      </c>
      <c r="AD31" s="14"/>
      <c r="AE31" s="17">
        <v>463</v>
      </c>
      <c r="AF31" s="17">
        <v>464</v>
      </c>
      <c r="AG31" s="14"/>
      <c r="AH31" s="14"/>
      <c r="AI31" s="17">
        <v>511</v>
      </c>
      <c r="AJ31" s="17">
        <v>512</v>
      </c>
      <c r="AK31" s="14"/>
      <c r="AL31" s="17">
        <v>559</v>
      </c>
      <c r="AM31" s="17">
        <v>560</v>
      </c>
      <c r="AN31" s="14"/>
      <c r="AO31" s="17">
        <v>607</v>
      </c>
      <c r="AP31" s="17">
        <v>608</v>
      </c>
      <c r="AQ31" s="14"/>
      <c r="AR31" s="17">
        <v>655</v>
      </c>
      <c r="AS31" s="17">
        <v>656</v>
      </c>
      <c r="AT31" s="14"/>
      <c r="AU31" s="17">
        <v>703</v>
      </c>
      <c r="AV31" s="17">
        <v>704</v>
      </c>
    </row>
    <row r="32" spans="3:48" s="16" customFormat="1" ht="12" customHeight="1" x14ac:dyDescent="0.25">
      <c r="C32" s="14"/>
      <c r="D32" s="18"/>
      <c r="E32" s="14"/>
      <c r="F32" s="18"/>
      <c r="G32" s="18"/>
      <c r="H32" s="14"/>
      <c r="I32" s="18"/>
      <c r="J32" s="18"/>
      <c r="K32" s="14"/>
      <c r="L32" s="18"/>
      <c r="M32" s="18"/>
      <c r="N32" s="14"/>
      <c r="O32" s="18"/>
      <c r="P32" s="18"/>
      <c r="Q32" s="14"/>
      <c r="R32" s="14"/>
      <c r="S32" s="18"/>
      <c r="T32" s="18"/>
      <c r="U32" s="14"/>
      <c r="V32" s="18"/>
      <c r="W32" s="18"/>
      <c r="X32" s="14"/>
      <c r="Y32" s="18"/>
      <c r="Z32" s="18"/>
      <c r="AA32" s="14"/>
      <c r="AB32" s="18"/>
      <c r="AC32" s="18"/>
      <c r="AD32" s="14"/>
      <c r="AE32" s="18"/>
      <c r="AF32" s="18"/>
      <c r="AG32" s="14"/>
      <c r="AH32" s="14"/>
      <c r="AI32" s="18"/>
      <c r="AJ32" s="18"/>
      <c r="AK32" s="14"/>
      <c r="AL32" s="18"/>
      <c r="AM32" s="18"/>
      <c r="AN32" s="14"/>
      <c r="AO32" s="18"/>
      <c r="AP32" s="18"/>
      <c r="AQ32" s="14"/>
      <c r="AR32" s="18"/>
      <c r="AS32" s="18"/>
      <c r="AT32" s="14"/>
      <c r="AU32" s="18"/>
      <c r="AV32" s="18"/>
    </row>
    <row r="33" spans="3:48" s="16" customFormat="1" ht="33" customHeight="1" x14ac:dyDescent="0.25">
      <c r="C33" s="13" t="s">
        <v>174</v>
      </c>
      <c r="D33" s="13" t="s">
        <v>88</v>
      </c>
      <c r="E33" s="14"/>
      <c r="F33" s="13" t="s">
        <v>255</v>
      </c>
      <c r="G33" s="15" t="s">
        <v>50</v>
      </c>
      <c r="H33" s="14"/>
      <c r="I33" s="13" t="s">
        <v>132</v>
      </c>
      <c r="J33" s="13" t="s">
        <v>205</v>
      </c>
      <c r="K33" s="14"/>
      <c r="L33" s="13" t="s">
        <v>110</v>
      </c>
      <c r="M33" s="13" t="s">
        <v>127</v>
      </c>
      <c r="N33" s="14"/>
      <c r="O33" s="13" t="s">
        <v>65</v>
      </c>
      <c r="P33" s="13" t="s">
        <v>67</v>
      </c>
      <c r="Q33" s="14"/>
      <c r="R33" s="14"/>
      <c r="S33" s="13" t="s">
        <v>225</v>
      </c>
      <c r="T33" s="13" t="s">
        <v>50</v>
      </c>
      <c r="U33" s="14"/>
      <c r="V33" s="13" t="s">
        <v>198</v>
      </c>
      <c r="W33" s="13" t="s">
        <v>87</v>
      </c>
      <c r="X33" s="14"/>
      <c r="Y33" s="13" t="s">
        <v>492</v>
      </c>
      <c r="Z33" s="13" t="s">
        <v>71</v>
      </c>
      <c r="AA33" s="14"/>
      <c r="AB33" s="13" t="s">
        <v>212</v>
      </c>
      <c r="AC33" s="13" t="s">
        <v>239</v>
      </c>
      <c r="AD33" s="14"/>
      <c r="AE33" s="13" t="s">
        <v>100</v>
      </c>
      <c r="AF33" s="13" t="s">
        <v>252</v>
      </c>
      <c r="AG33" s="14"/>
      <c r="AH33" s="14"/>
      <c r="AI33" s="13" t="s">
        <v>225</v>
      </c>
      <c r="AJ33" s="13" t="s">
        <v>25</v>
      </c>
      <c r="AK33" s="14"/>
      <c r="AL33" s="13" t="s">
        <v>205</v>
      </c>
      <c r="AM33" s="13" t="s">
        <v>106</v>
      </c>
      <c r="AN33" s="14"/>
      <c r="AO33" s="13" t="s">
        <v>136</v>
      </c>
      <c r="AP33" s="13" t="s">
        <v>239</v>
      </c>
      <c r="AQ33" s="14"/>
      <c r="AR33" s="13" t="s">
        <v>137</v>
      </c>
      <c r="AS33" s="13" t="s">
        <v>143</v>
      </c>
      <c r="AT33" s="14"/>
      <c r="AU33" s="13" t="s">
        <v>178</v>
      </c>
      <c r="AV33" s="13" t="s">
        <v>43</v>
      </c>
    </row>
    <row r="34" spans="3:48" s="16" customFormat="1" ht="12" customHeight="1" x14ac:dyDescent="0.25">
      <c r="C34" s="17">
        <v>29</v>
      </c>
      <c r="D34" s="17">
        <v>30</v>
      </c>
      <c r="E34" s="14"/>
      <c r="F34" s="17">
        <v>77</v>
      </c>
      <c r="G34" s="17">
        <v>78</v>
      </c>
      <c r="H34" s="14"/>
      <c r="I34" s="17">
        <v>125</v>
      </c>
      <c r="J34" s="17">
        <v>126</v>
      </c>
      <c r="K34" s="14"/>
      <c r="L34" s="17">
        <v>173</v>
      </c>
      <c r="M34" s="17">
        <v>174</v>
      </c>
      <c r="N34" s="14"/>
      <c r="O34" s="17">
        <v>221</v>
      </c>
      <c r="P34" s="17">
        <v>222</v>
      </c>
      <c r="Q34" s="14"/>
      <c r="R34" s="14"/>
      <c r="S34" s="17">
        <v>269</v>
      </c>
      <c r="T34" s="17">
        <v>270</v>
      </c>
      <c r="U34" s="14"/>
      <c r="V34" s="17">
        <v>317</v>
      </c>
      <c r="W34" s="17">
        <v>318</v>
      </c>
      <c r="X34" s="14"/>
      <c r="Y34" s="17">
        <v>365</v>
      </c>
      <c r="Z34" s="17">
        <v>366</v>
      </c>
      <c r="AA34" s="14"/>
      <c r="AB34" s="17">
        <v>413</v>
      </c>
      <c r="AC34" s="17">
        <v>414</v>
      </c>
      <c r="AD34" s="14"/>
      <c r="AE34" s="17">
        <v>461</v>
      </c>
      <c r="AF34" s="17">
        <v>462</v>
      </c>
      <c r="AG34" s="14"/>
      <c r="AH34" s="14"/>
      <c r="AI34" s="17">
        <v>509</v>
      </c>
      <c r="AJ34" s="17">
        <v>510</v>
      </c>
      <c r="AK34" s="14"/>
      <c r="AL34" s="17">
        <v>557</v>
      </c>
      <c r="AM34" s="17">
        <v>558</v>
      </c>
      <c r="AN34" s="14"/>
      <c r="AO34" s="17">
        <v>605</v>
      </c>
      <c r="AP34" s="17">
        <v>606</v>
      </c>
      <c r="AQ34" s="14"/>
      <c r="AR34" s="17">
        <v>653</v>
      </c>
      <c r="AS34" s="17">
        <v>654</v>
      </c>
      <c r="AT34" s="14"/>
      <c r="AU34" s="17">
        <v>701</v>
      </c>
      <c r="AV34" s="17">
        <v>702</v>
      </c>
    </row>
    <row r="35" spans="3:48" s="16" customFormat="1" ht="12" customHeight="1" x14ac:dyDescent="0.25">
      <c r="C35" s="14"/>
      <c r="D35" s="18"/>
      <c r="E35" s="14"/>
      <c r="F35" s="18"/>
      <c r="G35" s="18"/>
      <c r="H35" s="14"/>
      <c r="I35" s="18"/>
      <c r="J35" s="18"/>
      <c r="K35" s="14"/>
      <c r="L35" s="18"/>
      <c r="M35" s="18"/>
      <c r="N35" s="14"/>
      <c r="O35" s="18"/>
      <c r="P35" s="18"/>
      <c r="Q35" s="14"/>
      <c r="R35" s="14"/>
      <c r="S35" s="18"/>
      <c r="T35" s="18"/>
      <c r="U35" s="14"/>
      <c r="V35" s="18"/>
      <c r="W35" s="18"/>
      <c r="X35" s="14"/>
      <c r="Y35" s="18"/>
      <c r="Z35" s="18"/>
      <c r="AA35" s="14"/>
      <c r="AB35" s="18"/>
      <c r="AC35" s="18"/>
      <c r="AD35" s="14"/>
      <c r="AE35" s="18"/>
      <c r="AF35" s="18"/>
      <c r="AG35" s="14"/>
      <c r="AH35" s="14"/>
      <c r="AI35" s="18"/>
      <c r="AJ35" s="18"/>
      <c r="AK35" s="14"/>
      <c r="AL35" s="18"/>
      <c r="AM35" s="18"/>
      <c r="AN35" s="14"/>
      <c r="AO35" s="18"/>
      <c r="AP35" s="18"/>
      <c r="AQ35" s="14"/>
      <c r="AR35" s="18"/>
      <c r="AS35" s="18"/>
      <c r="AT35" s="14"/>
      <c r="AU35" s="18"/>
      <c r="AV35" s="18"/>
    </row>
    <row r="36" spans="3:48" s="16" customFormat="1" ht="33" customHeight="1" x14ac:dyDescent="0.25">
      <c r="C36" s="13" t="s">
        <v>119</v>
      </c>
      <c r="D36" s="13" t="s">
        <v>98</v>
      </c>
      <c r="E36" s="14"/>
      <c r="F36" s="13" t="s">
        <v>236</v>
      </c>
      <c r="G36" s="13" t="s">
        <v>113</v>
      </c>
      <c r="H36" s="14"/>
      <c r="I36" s="13" t="s">
        <v>196</v>
      </c>
      <c r="J36" s="13" t="s">
        <v>85</v>
      </c>
      <c r="K36" s="14"/>
      <c r="L36" s="13" t="s">
        <v>111</v>
      </c>
      <c r="M36" s="13" t="s">
        <v>62</v>
      </c>
      <c r="N36" s="14"/>
      <c r="O36" s="13" t="s">
        <v>29</v>
      </c>
      <c r="P36" s="13" t="s">
        <v>90</v>
      </c>
      <c r="Q36" s="14"/>
      <c r="R36" s="14"/>
      <c r="S36" s="13" t="s">
        <v>476</v>
      </c>
      <c r="T36" s="13" t="s">
        <v>37</v>
      </c>
      <c r="U36" s="14"/>
      <c r="V36" s="13" t="s">
        <v>254</v>
      </c>
      <c r="W36" s="13" t="s">
        <v>249</v>
      </c>
      <c r="X36" s="14"/>
      <c r="Y36" s="13" t="s">
        <v>70</v>
      </c>
      <c r="Z36" s="13" t="s">
        <v>217</v>
      </c>
      <c r="AA36" s="14"/>
      <c r="AB36" s="13" t="s">
        <v>234</v>
      </c>
      <c r="AC36" s="13" t="s">
        <v>489</v>
      </c>
      <c r="AD36" s="14"/>
      <c r="AE36" s="13" t="s">
        <v>479</v>
      </c>
      <c r="AF36" s="13" t="s">
        <v>158</v>
      </c>
      <c r="AG36" s="14"/>
      <c r="AH36" s="14"/>
      <c r="AI36" s="13" t="s">
        <v>229</v>
      </c>
      <c r="AJ36" s="13" t="s">
        <v>37</v>
      </c>
      <c r="AK36" s="14"/>
      <c r="AL36" s="13" t="s">
        <v>51</v>
      </c>
      <c r="AM36" s="13" t="s">
        <v>235</v>
      </c>
      <c r="AN36" s="14"/>
      <c r="AO36" s="13" t="s">
        <v>56</v>
      </c>
      <c r="AP36" s="13" t="s">
        <v>196</v>
      </c>
      <c r="AQ36" s="14"/>
      <c r="AR36" s="13" t="s">
        <v>62</v>
      </c>
      <c r="AS36" s="13" t="s">
        <v>133</v>
      </c>
      <c r="AT36" s="14"/>
      <c r="AU36" s="13" t="s">
        <v>108</v>
      </c>
      <c r="AV36" s="13" t="s">
        <v>87</v>
      </c>
    </row>
    <row r="37" spans="3:48" s="16" customFormat="1" ht="12" customHeight="1" x14ac:dyDescent="0.25">
      <c r="C37" s="17">
        <v>27</v>
      </c>
      <c r="D37" s="17">
        <v>28</v>
      </c>
      <c r="E37" s="14"/>
      <c r="F37" s="17">
        <v>75</v>
      </c>
      <c r="G37" s="17">
        <v>76</v>
      </c>
      <c r="H37" s="14"/>
      <c r="I37" s="17">
        <v>123</v>
      </c>
      <c r="J37" s="17">
        <v>124</v>
      </c>
      <c r="K37" s="14"/>
      <c r="L37" s="17">
        <v>171</v>
      </c>
      <c r="M37" s="17">
        <v>172</v>
      </c>
      <c r="N37" s="14"/>
      <c r="O37" s="17">
        <v>219</v>
      </c>
      <c r="P37" s="17">
        <v>220</v>
      </c>
      <c r="Q37" s="14"/>
      <c r="R37" s="14"/>
      <c r="S37" s="17">
        <v>267</v>
      </c>
      <c r="T37" s="17">
        <v>268</v>
      </c>
      <c r="U37" s="14"/>
      <c r="V37" s="17">
        <v>315</v>
      </c>
      <c r="W37" s="17">
        <v>316</v>
      </c>
      <c r="X37" s="14"/>
      <c r="Y37" s="17">
        <v>363</v>
      </c>
      <c r="Z37" s="17">
        <v>364</v>
      </c>
      <c r="AA37" s="14"/>
      <c r="AB37" s="17">
        <v>411</v>
      </c>
      <c r="AC37" s="17">
        <v>412</v>
      </c>
      <c r="AD37" s="14"/>
      <c r="AE37" s="17">
        <v>459</v>
      </c>
      <c r="AF37" s="17">
        <v>460</v>
      </c>
      <c r="AG37" s="14"/>
      <c r="AH37" s="14"/>
      <c r="AI37" s="17">
        <v>507</v>
      </c>
      <c r="AJ37" s="17">
        <v>508</v>
      </c>
      <c r="AK37" s="14"/>
      <c r="AL37" s="17">
        <v>555</v>
      </c>
      <c r="AM37" s="17">
        <v>556</v>
      </c>
      <c r="AN37" s="14"/>
      <c r="AO37" s="17">
        <v>603</v>
      </c>
      <c r="AP37" s="17">
        <v>604</v>
      </c>
      <c r="AQ37" s="14"/>
      <c r="AR37" s="17">
        <v>651</v>
      </c>
      <c r="AS37" s="17">
        <v>652</v>
      </c>
      <c r="AT37" s="14"/>
      <c r="AU37" s="17">
        <v>699</v>
      </c>
      <c r="AV37" s="17">
        <v>700</v>
      </c>
    </row>
    <row r="38" spans="3:48" s="16" customFormat="1" ht="12" customHeight="1" x14ac:dyDescent="0.25">
      <c r="C38" s="14"/>
      <c r="D38" s="18"/>
      <c r="E38" s="14"/>
      <c r="F38" s="18"/>
      <c r="G38" s="18"/>
      <c r="H38" s="14"/>
      <c r="I38" s="18"/>
      <c r="J38" s="18"/>
      <c r="K38" s="14"/>
      <c r="L38" s="18"/>
      <c r="M38" s="18"/>
      <c r="N38" s="14"/>
      <c r="O38" s="18"/>
      <c r="P38" s="18"/>
      <c r="Q38" s="14"/>
      <c r="R38" s="14"/>
      <c r="S38" s="18"/>
      <c r="T38" s="18"/>
      <c r="U38" s="14"/>
      <c r="V38" s="18"/>
      <c r="W38" s="18"/>
      <c r="X38" s="14"/>
      <c r="Y38" s="18"/>
      <c r="Z38" s="18"/>
      <c r="AA38" s="14"/>
      <c r="AB38" s="18"/>
      <c r="AC38" s="18"/>
      <c r="AD38" s="14"/>
      <c r="AE38" s="18"/>
      <c r="AF38" s="18"/>
      <c r="AG38" s="14"/>
      <c r="AH38" s="14"/>
      <c r="AI38" s="18"/>
      <c r="AJ38" s="18"/>
      <c r="AK38" s="14"/>
      <c r="AL38" s="18"/>
      <c r="AM38" s="18"/>
      <c r="AN38" s="14"/>
      <c r="AO38" s="18"/>
      <c r="AP38" s="18"/>
      <c r="AQ38" s="14"/>
      <c r="AR38" s="18"/>
      <c r="AS38" s="18"/>
      <c r="AT38" s="14"/>
      <c r="AU38" s="18"/>
      <c r="AV38" s="18"/>
    </row>
    <row r="39" spans="3:48" s="16" customFormat="1" ht="33" customHeight="1" x14ac:dyDescent="0.25">
      <c r="C39" s="13" t="s">
        <v>235</v>
      </c>
      <c r="D39" s="13" t="s">
        <v>206</v>
      </c>
      <c r="E39" s="14"/>
      <c r="F39" s="13" t="s">
        <v>162</v>
      </c>
      <c r="G39" s="13" t="s">
        <v>169</v>
      </c>
      <c r="H39" s="14"/>
      <c r="I39" s="13" t="s">
        <v>244</v>
      </c>
      <c r="J39" s="13" t="s">
        <v>261</v>
      </c>
      <c r="K39" s="14"/>
      <c r="L39" s="13" t="s">
        <v>148</v>
      </c>
      <c r="M39" s="13" t="s">
        <v>28</v>
      </c>
      <c r="N39" s="14"/>
      <c r="O39" s="13" t="s">
        <v>145</v>
      </c>
      <c r="P39" s="13" t="s">
        <v>35</v>
      </c>
      <c r="Q39" s="14"/>
      <c r="R39" s="14"/>
      <c r="S39" s="13" t="s">
        <v>39</v>
      </c>
      <c r="T39" s="13" t="s">
        <v>193</v>
      </c>
      <c r="U39" s="14"/>
      <c r="V39" s="13" t="s">
        <v>176</v>
      </c>
      <c r="W39" s="13" t="s">
        <v>97</v>
      </c>
      <c r="X39" s="14"/>
      <c r="Y39" s="13" t="s">
        <v>131</v>
      </c>
      <c r="Z39" s="13" t="s">
        <v>199</v>
      </c>
      <c r="AA39" s="14"/>
      <c r="AB39" s="13" t="s">
        <v>25</v>
      </c>
      <c r="AC39" s="13" t="s">
        <v>181</v>
      </c>
      <c r="AD39" s="14"/>
      <c r="AE39" s="13" t="s">
        <v>152</v>
      </c>
      <c r="AF39" s="13" t="s">
        <v>235</v>
      </c>
      <c r="AG39" s="14"/>
      <c r="AH39" s="14"/>
      <c r="AI39" s="13" t="s">
        <v>194</v>
      </c>
      <c r="AJ39" s="13" t="s">
        <v>96</v>
      </c>
      <c r="AK39" s="14"/>
      <c r="AL39" s="13" t="s">
        <v>237</v>
      </c>
      <c r="AM39" s="13" t="s">
        <v>221</v>
      </c>
      <c r="AN39" s="14"/>
      <c r="AO39" s="13" t="s">
        <v>250</v>
      </c>
      <c r="AP39" s="13" t="s">
        <v>208</v>
      </c>
      <c r="AQ39" s="14"/>
      <c r="AR39" s="13" t="s">
        <v>238</v>
      </c>
      <c r="AS39" s="13" t="s">
        <v>54</v>
      </c>
      <c r="AT39" s="14"/>
      <c r="AU39" s="13" t="s">
        <v>99</v>
      </c>
      <c r="AV39" s="13" t="s">
        <v>195</v>
      </c>
    </row>
    <row r="40" spans="3:48" s="16" customFormat="1" ht="12" customHeight="1" x14ac:dyDescent="0.25">
      <c r="C40" s="17">
        <v>25</v>
      </c>
      <c r="D40" s="17">
        <v>26</v>
      </c>
      <c r="E40" s="14"/>
      <c r="F40" s="17">
        <v>73</v>
      </c>
      <c r="G40" s="17">
        <v>74</v>
      </c>
      <c r="H40" s="14"/>
      <c r="I40" s="17">
        <v>121</v>
      </c>
      <c r="J40" s="17">
        <v>122</v>
      </c>
      <c r="K40" s="14"/>
      <c r="L40" s="17">
        <v>169</v>
      </c>
      <c r="M40" s="17">
        <v>170</v>
      </c>
      <c r="N40" s="14"/>
      <c r="O40" s="17">
        <v>217</v>
      </c>
      <c r="P40" s="17">
        <v>218</v>
      </c>
      <c r="Q40" s="14"/>
      <c r="R40" s="14"/>
      <c r="S40" s="17">
        <v>265</v>
      </c>
      <c r="T40" s="17">
        <v>266</v>
      </c>
      <c r="U40" s="14"/>
      <c r="V40" s="17">
        <v>313</v>
      </c>
      <c r="W40" s="17">
        <v>314</v>
      </c>
      <c r="X40" s="14"/>
      <c r="Y40" s="17">
        <v>361</v>
      </c>
      <c r="Z40" s="17">
        <v>362</v>
      </c>
      <c r="AA40" s="14"/>
      <c r="AB40" s="17">
        <v>409</v>
      </c>
      <c r="AC40" s="17">
        <v>410</v>
      </c>
      <c r="AD40" s="14"/>
      <c r="AE40" s="17">
        <v>457</v>
      </c>
      <c r="AF40" s="17">
        <v>458</v>
      </c>
      <c r="AG40" s="14"/>
      <c r="AH40" s="14"/>
      <c r="AI40" s="17">
        <v>505</v>
      </c>
      <c r="AJ40" s="17">
        <v>506</v>
      </c>
      <c r="AK40" s="14"/>
      <c r="AL40" s="17">
        <v>553</v>
      </c>
      <c r="AM40" s="17">
        <v>554</v>
      </c>
      <c r="AN40" s="14"/>
      <c r="AO40" s="17">
        <v>601</v>
      </c>
      <c r="AP40" s="17">
        <v>602</v>
      </c>
      <c r="AQ40" s="14"/>
      <c r="AR40" s="17">
        <v>649</v>
      </c>
      <c r="AS40" s="17">
        <v>650</v>
      </c>
      <c r="AT40" s="14"/>
      <c r="AU40" s="17">
        <v>697</v>
      </c>
      <c r="AV40" s="17">
        <v>698</v>
      </c>
    </row>
    <row r="41" spans="3:48" s="16" customFormat="1" ht="12" customHeight="1" x14ac:dyDescent="0.25">
      <c r="C41" s="14"/>
      <c r="D41" s="18"/>
      <c r="E41" s="14"/>
      <c r="F41" s="18"/>
      <c r="G41" s="18"/>
      <c r="H41" s="14"/>
      <c r="I41" s="18"/>
      <c r="J41" s="18"/>
      <c r="K41" s="14"/>
      <c r="L41" s="18"/>
      <c r="M41" s="18"/>
      <c r="N41" s="14"/>
      <c r="O41" s="18"/>
      <c r="P41" s="18"/>
      <c r="Q41" s="14"/>
      <c r="R41" s="14"/>
      <c r="S41" s="18"/>
      <c r="T41" s="18"/>
      <c r="U41" s="14"/>
      <c r="V41" s="18"/>
      <c r="W41" s="18"/>
      <c r="X41" s="14"/>
      <c r="Y41" s="18"/>
      <c r="Z41" s="18"/>
      <c r="AA41" s="14"/>
      <c r="AB41" s="18"/>
      <c r="AC41" s="18"/>
      <c r="AD41" s="14"/>
      <c r="AE41" s="18"/>
      <c r="AF41" s="18"/>
      <c r="AG41" s="14"/>
      <c r="AH41" s="14"/>
      <c r="AI41" s="18"/>
      <c r="AJ41" s="18"/>
      <c r="AK41" s="14"/>
      <c r="AL41" s="18"/>
      <c r="AM41" s="18"/>
      <c r="AN41" s="14"/>
      <c r="AO41" s="18"/>
      <c r="AP41" s="18"/>
      <c r="AQ41" s="14"/>
      <c r="AR41" s="18"/>
      <c r="AS41" s="18"/>
      <c r="AT41" s="14"/>
      <c r="AU41" s="18"/>
      <c r="AV41" s="18"/>
    </row>
    <row r="42" spans="3:48" s="16" customFormat="1" ht="33" customHeight="1" x14ac:dyDescent="0.25">
      <c r="C42" s="13" t="s">
        <v>252</v>
      </c>
      <c r="D42" s="13" t="s">
        <v>168</v>
      </c>
      <c r="E42" s="14"/>
      <c r="F42" s="13" t="s">
        <v>125</v>
      </c>
      <c r="G42" s="13" t="s">
        <v>251</v>
      </c>
      <c r="H42" s="14"/>
      <c r="I42" s="13" t="s">
        <v>191</v>
      </c>
      <c r="J42" s="13" t="s">
        <v>30</v>
      </c>
      <c r="K42" s="14"/>
      <c r="L42" s="13" t="s">
        <v>72</v>
      </c>
      <c r="M42" s="13" t="s">
        <v>186</v>
      </c>
      <c r="N42" s="14"/>
      <c r="O42" s="13" t="s">
        <v>83</v>
      </c>
      <c r="P42" s="13" t="s">
        <v>47</v>
      </c>
      <c r="Q42" s="14"/>
      <c r="R42" s="14"/>
      <c r="S42" s="13" t="s">
        <v>80</v>
      </c>
      <c r="T42" s="13" t="s">
        <v>148</v>
      </c>
      <c r="U42" s="14"/>
      <c r="V42" s="13" t="s">
        <v>140</v>
      </c>
      <c r="W42" s="13" t="s">
        <v>260</v>
      </c>
      <c r="X42" s="14"/>
      <c r="Y42" s="13" t="s">
        <v>498</v>
      </c>
      <c r="Z42" s="13" t="s">
        <v>92</v>
      </c>
      <c r="AA42" s="14"/>
      <c r="AB42" s="13" t="s">
        <v>250</v>
      </c>
      <c r="AC42" s="13" t="s">
        <v>62</v>
      </c>
      <c r="AD42" s="14"/>
      <c r="AE42" s="13" t="s">
        <v>204</v>
      </c>
      <c r="AF42" s="13" t="s">
        <v>57</v>
      </c>
      <c r="AG42" s="14"/>
      <c r="AH42" s="14"/>
      <c r="AI42" s="13" t="s">
        <v>100</v>
      </c>
      <c r="AJ42" s="13" t="s">
        <v>11</v>
      </c>
      <c r="AK42" s="14"/>
      <c r="AL42" s="13" t="s">
        <v>234</v>
      </c>
      <c r="AM42" s="13" t="s">
        <v>68</v>
      </c>
      <c r="AN42" s="14"/>
      <c r="AO42" s="13" t="s">
        <v>242</v>
      </c>
      <c r="AP42" s="13" t="s">
        <v>138</v>
      </c>
      <c r="AQ42" s="14"/>
      <c r="AR42" s="13" t="s">
        <v>144</v>
      </c>
      <c r="AS42" s="13" t="s">
        <v>162</v>
      </c>
      <c r="AT42" s="14"/>
      <c r="AU42" s="13" t="s">
        <v>203</v>
      </c>
      <c r="AV42" s="13" t="s">
        <v>115</v>
      </c>
    </row>
    <row r="43" spans="3:48" s="16" customFormat="1" ht="12" customHeight="1" x14ac:dyDescent="0.25">
      <c r="C43" s="17">
        <v>23</v>
      </c>
      <c r="D43" s="17">
        <v>24</v>
      </c>
      <c r="E43" s="14"/>
      <c r="F43" s="17">
        <v>71</v>
      </c>
      <c r="G43" s="17">
        <v>72</v>
      </c>
      <c r="H43" s="14"/>
      <c r="I43" s="17">
        <v>119</v>
      </c>
      <c r="J43" s="17">
        <v>120</v>
      </c>
      <c r="K43" s="14"/>
      <c r="L43" s="17">
        <v>167</v>
      </c>
      <c r="M43" s="17">
        <v>168</v>
      </c>
      <c r="N43" s="14"/>
      <c r="O43" s="17">
        <v>215</v>
      </c>
      <c r="P43" s="17">
        <v>216</v>
      </c>
      <c r="Q43" s="14"/>
      <c r="R43" s="14"/>
      <c r="S43" s="17">
        <v>263</v>
      </c>
      <c r="T43" s="17">
        <v>264</v>
      </c>
      <c r="U43" s="14"/>
      <c r="V43" s="17">
        <v>311</v>
      </c>
      <c r="W43" s="17">
        <v>312</v>
      </c>
      <c r="X43" s="14"/>
      <c r="Y43" s="17">
        <v>359</v>
      </c>
      <c r="Z43" s="17">
        <v>360</v>
      </c>
      <c r="AA43" s="14"/>
      <c r="AB43" s="17">
        <v>407</v>
      </c>
      <c r="AC43" s="17">
        <v>408</v>
      </c>
      <c r="AD43" s="14"/>
      <c r="AE43" s="17">
        <v>455</v>
      </c>
      <c r="AF43" s="17">
        <v>456</v>
      </c>
      <c r="AG43" s="14"/>
      <c r="AH43" s="14"/>
      <c r="AI43" s="17">
        <v>503</v>
      </c>
      <c r="AJ43" s="17">
        <v>504</v>
      </c>
      <c r="AK43" s="14"/>
      <c r="AL43" s="17">
        <v>551</v>
      </c>
      <c r="AM43" s="17">
        <v>552</v>
      </c>
      <c r="AN43" s="14"/>
      <c r="AO43" s="17">
        <v>599</v>
      </c>
      <c r="AP43" s="17">
        <v>600</v>
      </c>
      <c r="AQ43" s="14"/>
      <c r="AR43" s="17">
        <v>647</v>
      </c>
      <c r="AS43" s="17">
        <v>648</v>
      </c>
      <c r="AT43" s="14"/>
      <c r="AU43" s="17">
        <v>695</v>
      </c>
      <c r="AV43" s="17">
        <v>696</v>
      </c>
    </row>
    <row r="44" spans="3:48" s="16" customFormat="1" ht="12" customHeight="1" x14ac:dyDescent="0.25">
      <c r="C44" s="14"/>
      <c r="D44" s="18"/>
      <c r="E44" s="14"/>
      <c r="F44" s="18"/>
      <c r="G44" s="18"/>
      <c r="H44" s="14"/>
      <c r="I44" s="18"/>
      <c r="J44" s="18"/>
      <c r="K44" s="14"/>
      <c r="L44" s="18"/>
      <c r="M44" s="18"/>
      <c r="N44" s="14"/>
      <c r="O44" s="18"/>
      <c r="P44" s="18"/>
      <c r="Q44" s="14"/>
      <c r="R44" s="14"/>
      <c r="S44" s="18"/>
      <c r="T44" s="18"/>
      <c r="U44" s="14"/>
      <c r="V44" s="18"/>
      <c r="W44" s="18"/>
      <c r="X44" s="14"/>
      <c r="Y44" s="18"/>
      <c r="Z44" s="18"/>
      <c r="AA44" s="14"/>
      <c r="AB44" s="18"/>
      <c r="AC44" s="18"/>
      <c r="AD44" s="14"/>
      <c r="AE44" s="18"/>
      <c r="AF44" s="18"/>
      <c r="AG44" s="14"/>
      <c r="AH44" s="14"/>
      <c r="AI44" s="18"/>
      <c r="AJ44" s="18"/>
      <c r="AK44" s="14"/>
      <c r="AL44" s="18"/>
      <c r="AM44" s="18"/>
      <c r="AN44" s="14"/>
      <c r="AO44" s="18"/>
      <c r="AP44" s="18"/>
      <c r="AQ44" s="14"/>
      <c r="AR44" s="18"/>
      <c r="AS44" s="18"/>
      <c r="AT44" s="14"/>
      <c r="AU44" s="18"/>
      <c r="AV44" s="18"/>
    </row>
    <row r="45" spans="3:48" s="16" customFormat="1" ht="33" customHeight="1" x14ac:dyDescent="0.25">
      <c r="C45" s="13" t="s">
        <v>197</v>
      </c>
      <c r="D45" s="13" t="s">
        <v>82</v>
      </c>
      <c r="E45" s="14"/>
      <c r="F45" s="13" t="s">
        <v>40</v>
      </c>
      <c r="G45" s="13" t="s">
        <v>199</v>
      </c>
      <c r="H45" s="14"/>
      <c r="I45" s="13" t="s">
        <v>193</v>
      </c>
      <c r="J45" s="13" t="s">
        <v>36</v>
      </c>
      <c r="K45" s="14"/>
      <c r="L45" s="13" t="s">
        <v>51</v>
      </c>
      <c r="M45" s="13" t="s">
        <v>262</v>
      </c>
      <c r="N45" s="14"/>
      <c r="O45" s="13" t="s">
        <v>154</v>
      </c>
      <c r="P45" s="13" t="s">
        <v>495</v>
      </c>
      <c r="Q45" s="14"/>
      <c r="R45" s="14"/>
      <c r="S45" s="13" t="s">
        <v>98</v>
      </c>
      <c r="T45" s="13" t="s">
        <v>60</v>
      </c>
      <c r="U45" s="14"/>
      <c r="V45" s="13" t="s">
        <v>93</v>
      </c>
      <c r="W45" s="13" t="s">
        <v>112</v>
      </c>
      <c r="X45" s="14"/>
      <c r="Y45" s="13" t="s">
        <v>28</v>
      </c>
      <c r="Z45" s="13" t="s">
        <v>263</v>
      </c>
      <c r="AA45" s="14"/>
      <c r="AB45" s="13" t="s">
        <v>102</v>
      </c>
      <c r="AC45" s="13" t="s">
        <v>213</v>
      </c>
      <c r="AD45" s="14"/>
      <c r="AE45" s="13" t="s">
        <v>35</v>
      </c>
      <c r="AF45" s="13" t="s">
        <v>141</v>
      </c>
      <c r="AG45" s="14"/>
      <c r="AH45" s="14"/>
      <c r="AI45" s="13" t="s">
        <v>102</v>
      </c>
      <c r="AJ45" s="13" t="s">
        <v>488</v>
      </c>
      <c r="AK45" s="14"/>
      <c r="AL45" s="13" t="s">
        <v>481</v>
      </c>
      <c r="AM45" s="13" t="s">
        <v>197</v>
      </c>
      <c r="AN45" s="14"/>
      <c r="AO45" s="13" t="s">
        <v>206</v>
      </c>
      <c r="AP45" s="13" t="s">
        <v>166</v>
      </c>
      <c r="AQ45" s="14"/>
      <c r="AR45" s="13" t="s">
        <v>155</v>
      </c>
      <c r="AS45" s="13" t="s">
        <v>478</v>
      </c>
      <c r="AT45" s="14"/>
      <c r="AU45" s="13" t="s">
        <v>116</v>
      </c>
      <c r="AV45" s="13" t="s">
        <v>109</v>
      </c>
    </row>
    <row r="46" spans="3:48" s="16" customFormat="1" ht="12" customHeight="1" x14ac:dyDescent="0.25">
      <c r="C46" s="17">
        <v>21</v>
      </c>
      <c r="D46" s="17">
        <v>22</v>
      </c>
      <c r="E46" s="14"/>
      <c r="F46" s="17">
        <v>69</v>
      </c>
      <c r="G46" s="17">
        <v>70</v>
      </c>
      <c r="H46" s="14"/>
      <c r="I46" s="17">
        <v>117</v>
      </c>
      <c r="J46" s="17">
        <v>118</v>
      </c>
      <c r="K46" s="14"/>
      <c r="L46" s="17">
        <v>165</v>
      </c>
      <c r="M46" s="17">
        <v>166</v>
      </c>
      <c r="N46" s="14"/>
      <c r="O46" s="17">
        <v>213</v>
      </c>
      <c r="P46" s="17">
        <v>214</v>
      </c>
      <c r="Q46" s="14"/>
      <c r="R46" s="14"/>
      <c r="S46" s="17">
        <v>261</v>
      </c>
      <c r="T46" s="17">
        <v>262</v>
      </c>
      <c r="U46" s="14"/>
      <c r="V46" s="17">
        <v>309</v>
      </c>
      <c r="W46" s="17">
        <v>310</v>
      </c>
      <c r="X46" s="14"/>
      <c r="Y46" s="17">
        <v>357</v>
      </c>
      <c r="Z46" s="17">
        <v>358</v>
      </c>
      <c r="AA46" s="14"/>
      <c r="AB46" s="17">
        <v>405</v>
      </c>
      <c r="AC46" s="17">
        <v>406</v>
      </c>
      <c r="AD46" s="14"/>
      <c r="AE46" s="17">
        <v>453</v>
      </c>
      <c r="AF46" s="17">
        <v>454</v>
      </c>
      <c r="AG46" s="14"/>
      <c r="AH46" s="14"/>
      <c r="AI46" s="17">
        <v>501</v>
      </c>
      <c r="AJ46" s="17">
        <v>502</v>
      </c>
      <c r="AK46" s="14"/>
      <c r="AL46" s="17">
        <v>549</v>
      </c>
      <c r="AM46" s="17">
        <v>550</v>
      </c>
      <c r="AN46" s="14"/>
      <c r="AO46" s="17">
        <v>597</v>
      </c>
      <c r="AP46" s="17">
        <v>598</v>
      </c>
      <c r="AQ46" s="14"/>
      <c r="AR46" s="17">
        <v>645</v>
      </c>
      <c r="AS46" s="17">
        <v>646</v>
      </c>
      <c r="AT46" s="14"/>
      <c r="AU46" s="17">
        <v>693</v>
      </c>
      <c r="AV46" s="17">
        <v>694</v>
      </c>
    </row>
    <row r="47" spans="3:48" s="16" customFormat="1" ht="12" customHeight="1" x14ac:dyDescent="0.25">
      <c r="C47" s="14"/>
      <c r="D47" s="18"/>
      <c r="E47" s="14"/>
      <c r="F47" s="18"/>
      <c r="G47" s="18"/>
      <c r="H47" s="14"/>
      <c r="I47" s="18"/>
      <c r="J47" s="18"/>
      <c r="K47" s="14"/>
      <c r="L47" s="18"/>
      <c r="M47" s="18"/>
      <c r="N47" s="14"/>
      <c r="O47" s="18"/>
      <c r="P47" s="18"/>
      <c r="Q47" s="14"/>
      <c r="R47" s="14"/>
      <c r="S47" s="18"/>
      <c r="T47" s="18"/>
      <c r="U47" s="14"/>
      <c r="V47" s="18"/>
      <c r="W47" s="18"/>
      <c r="X47" s="14"/>
      <c r="Y47" s="18"/>
      <c r="Z47" s="18"/>
      <c r="AA47" s="14"/>
      <c r="AB47" s="18"/>
      <c r="AC47" s="18"/>
      <c r="AD47" s="14"/>
      <c r="AE47" s="18"/>
      <c r="AF47" s="18"/>
      <c r="AG47" s="14"/>
      <c r="AH47" s="14"/>
      <c r="AI47" s="18"/>
      <c r="AJ47" s="18"/>
      <c r="AK47" s="14"/>
      <c r="AL47" s="18"/>
      <c r="AM47" s="18"/>
      <c r="AN47" s="14"/>
      <c r="AO47" s="18"/>
      <c r="AP47" s="18"/>
      <c r="AQ47" s="14"/>
      <c r="AR47" s="18"/>
      <c r="AS47" s="18"/>
      <c r="AT47" s="14"/>
      <c r="AU47" s="18"/>
      <c r="AV47" s="18"/>
    </row>
    <row r="48" spans="3:48" s="16" customFormat="1" ht="33" customHeight="1" x14ac:dyDescent="0.25">
      <c r="C48" s="13" t="s">
        <v>31</v>
      </c>
      <c r="D48" s="13" t="s">
        <v>117</v>
      </c>
      <c r="E48" s="14"/>
      <c r="F48" s="13" t="s">
        <v>147</v>
      </c>
      <c r="G48" s="13" t="s">
        <v>238</v>
      </c>
      <c r="H48" s="14"/>
      <c r="I48" s="13" t="s">
        <v>240</v>
      </c>
      <c r="J48" s="13" t="s">
        <v>499</v>
      </c>
      <c r="K48" s="14"/>
      <c r="L48" s="13" t="s">
        <v>246</v>
      </c>
      <c r="M48" s="13" t="s">
        <v>221</v>
      </c>
      <c r="N48" s="14"/>
      <c r="O48" s="13" t="s">
        <v>143</v>
      </c>
      <c r="P48" s="13" t="s">
        <v>208</v>
      </c>
      <c r="Q48" s="14"/>
      <c r="R48" s="14"/>
      <c r="S48" s="13" t="s">
        <v>184</v>
      </c>
      <c r="T48" s="13" t="s">
        <v>237</v>
      </c>
      <c r="U48" s="14"/>
      <c r="V48" s="13" t="s">
        <v>139</v>
      </c>
      <c r="W48" s="13" t="s">
        <v>21</v>
      </c>
      <c r="X48" s="14"/>
      <c r="Y48" s="13" t="s">
        <v>218</v>
      </c>
      <c r="Z48" s="13" t="s">
        <v>17</v>
      </c>
      <c r="AA48" s="14"/>
      <c r="AB48" s="13" t="s">
        <v>258</v>
      </c>
      <c r="AC48" s="13" t="s">
        <v>38</v>
      </c>
      <c r="AD48" s="14"/>
      <c r="AE48" s="13" t="s">
        <v>142</v>
      </c>
      <c r="AF48" s="13" t="s">
        <v>36</v>
      </c>
      <c r="AG48" s="14"/>
      <c r="AH48" s="14"/>
      <c r="AI48" s="13" t="s">
        <v>498</v>
      </c>
      <c r="AJ48" s="13" t="s">
        <v>84</v>
      </c>
      <c r="AK48" s="14"/>
      <c r="AL48" s="13" t="s">
        <v>202</v>
      </c>
      <c r="AM48" s="13" t="s">
        <v>199</v>
      </c>
      <c r="AN48" s="14"/>
      <c r="AO48" s="13" t="s">
        <v>176</v>
      </c>
      <c r="AP48" s="13" t="s">
        <v>27</v>
      </c>
      <c r="AQ48" s="14"/>
      <c r="AR48" s="13" t="s">
        <v>154</v>
      </c>
      <c r="AS48" s="13" t="s">
        <v>122</v>
      </c>
      <c r="AT48" s="14"/>
      <c r="AU48" s="13" t="s">
        <v>173</v>
      </c>
      <c r="AV48" s="13" t="s">
        <v>147</v>
      </c>
    </row>
    <row r="49" spans="3:48" s="16" customFormat="1" ht="12" customHeight="1" x14ac:dyDescent="0.25">
      <c r="C49" s="17">
        <v>19</v>
      </c>
      <c r="D49" s="17">
        <v>20</v>
      </c>
      <c r="E49" s="14"/>
      <c r="F49" s="17">
        <v>67</v>
      </c>
      <c r="G49" s="17">
        <v>68</v>
      </c>
      <c r="H49" s="14"/>
      <c r="I49" s="17">
        <v>115</v>
      </c>
      <c r="J49" s="17">
        <v>116</v>
      </c>
      <c r="K49" s="14"/>
      <c r="L49" s="17">
        <v>163</v>
      </c>
      <c r="M49" s="17">
        <v>164</v>
      </c>
      <c r="N49" s="14"/>
      <c r="O49" s="17">
        <v>211</v>
      </c>
      <c r="P49" s="17">
        <v>212</v>
      </c>
      <c r="Q49" s="14"/>
      <c r="R49" s="14"/>
      <c r="S49" s="17">
        <v>259</v>
      </c>
      <c r="T49" s="17">
        <v>260</v>
      </c>
      <c r="U49" s="14"/>
      <c r="V49" s="17">
        <v>307</v>
      </c>
      <c r="W49" s="17">
        <v>308</v>
      </c>
      <c r="X49" s="14"/>
      <c r="Y49" s="17">
        <v>355</v>
      </c>
      <c r="Z49" s="17">
        <v>356</v>
      </c>
      <c r="AA49" s="14"/>
      <c r="AB49" s="17">
        <v>403</v>
      </c>
      <c r="AC49" s="17">
        <v>404</v>
      </c>
      <c r="AD49" s="14"/>
      <c r="AE49" s="17">
        <v>451</v>
      </c>
      <c r="AF49" s="17">
        <v>452</v>
      </c>
      <c r="AG49" s="14"/>
      <c r="AH49" s="14"/>
      <c r="AI49" s="17">
        <v>499</v>
      </c>
      <c r="AJ49" s="17">
        <v>500</v>
      </c>
      <c r="AK49" s="14"/>
      <c r="AL49" s="17">
        <v>547</v>
      </c>
      <c r="AM49" s="17">
        <v>548</v>
      </c>
      <c r="AN49" s="14"/>
      <c r="AO49" s="17">
        <v>595</v>
      </c>
      <c r="AP49" s="17">
        <v>596</v>
      </c>
      <c r="AQ49" s="14"/>
      <c r="AR49" s="17">
        <v>643</v>
      </c>
      <c r="AS49" s="17">
        <v>644</v>
      </c>
      <c r="AT49" s="14"/>
      <c r="AU49" s="17">
        <v>691</v>
      </c>
      <c r="AV49" s="17">
        <v>692</v>
      </c>
    </row>
    <row r="50" spans="3:48" s="16" customFormat="1" ht="12" customHeight="1" x14ac:dyDescent="0.25">
      <c r="C50" s="14"/>
      <c r="D50" s="18"/>
      <c r="E50" s="14"/>
      <c r="F50" s="18"/>
      <c r="G50" s="18"/>
      <c r="H50" s="14"/>
      <c r="I50" s="18"/>
      <c r="J50" s="18"/>
      <c r="K50" s="14"/>
      <c r="L50" s="18"/>
      <c r="M50" s="18"/>
      <c r="N50" s="14"/>
      <c r="O50" s="18"/>
      <c r="P50" s="18"/>
      <c r="Q50" s="14"/>
      <c r="R50" s="14"/>
      <c r="S50" s="18"/>
      <c r="T50" s="18"/>
      <c r="U50" s="14"/>
      <c r="V50" s="18"/>
      <c r="W50" s="18"/>
      <c r="X50" s="14"/>
      <c r="Y50" s="18"/>
      <c r="Z50" s="18"/>
      <c r="AA50" s="14"/>
      <c r="AB50" s="18"/>
      <c r="AC50" s="18"/>
      <c r="AD50" s="14"/>
      <c r="AE50" s="18"/>
      <c r="AF50" s="18"/>
      <c r="AG50" s="14"/>
      <c r="AH50" s="14"/>
      <c r="AI50" s="18"/>
      <c r="AJ50" s="18"/>
      <c r="AK50" s="14"/>
      <c r="AL50" s="18"/>
      <c r="AM50" s="18"/>
      <c r="AN50" s="14"/>
      <c r="AO50" s="18"/>
      <c r="AP50" s="18"/>
      <c r="AQ50" s="14"/>
      <c r="AR50" s="18"/>
      <c r="AS50" s="18"/>
      <c r="AT50" s="14"/>
      <c r="AU50" s="18"/>
      <c r="AV50" s="18"/>
    </row>
    <row r="51" spans="3:48" s="16" customFormat="1" ht="33" customHeight="1" x14ac:dyDescent="0.25">
      <c r="C51" s="15" t="s">
        <v>39</v>
      </c>
      <c r="D51" s="13" t="s">
        <v>188</v>
      </c>
      <c r="E51" s="14"/>
      <c r="F51" s="13" t="s">
        <v>68</v>
      </c>
      <c r="G51" s="13" t="s">
        <v>149</v>
      </c>
      <c r="H51" s="14"/>
      <c r="I51" s="13" t="s">
        <v>46</v>
      </c>
      <c r="J51" s="13" t="s">
        <v>105</v>
      </c>
      <c r="K51" s="14"/>
      <c r="L51" s="13" t="s">
        <v>141</v>
      </c>
      <c r="M51" s="13" t="s">
        <v>103</v>
      </c>
      <c r="N51" s="14"/>
      <c r="O51" s="13" t="s">
        <v>138</v>
      </c>
      <c r="P51" s="13" t="s">
        <v>176</v>
      </c>
      <c r="Q51" s="14"/>
      <c r="R51" s="14"/>
      <c r="S51" s="13" t="s">
        <v>175</v>
      </c>
      <c r="T51" s="13" t="s">
        <v>495</v>
      </c>
      <c r="U51" s="14"/>
      <c r="V51" s="13" t="s">
        <v>119</v>
      </c>
      <c r="W51" s="13" t="s">
        <v>149</v>
      </c>
      <c r="X51" s="14"/>
      <c r="Y51" s="13" t="s">
        <v>23</v>
      </c>
      <c r="Z51" s="13" t="s">
        <v>45</v>
      </c>
      <c r="AA51" s="14"/>
      <c r="AB51" s="13" t="s">
        <v>129</v>
      </c>
      <c r="AC51" s="13" t="s">
        <v>178</v>
      </c>
      <c r="AD51" s="14"/>
      <c r="AE51" s="13" t="s">
        <v>497</v>
      </c>
      <c r="AF51" s="13" t="s">
        <v>76</v>
      </c>
      <c r="AG51" s="14"/>
      <c r="AH51" s="14"/>
      <c r="AI51" s="13" t="s">
        <v>243</v>
      </c>
      <c r="AJ51" s="13" t="s">
        <v>232</v>
      </c>
      <c r="AK51" s="14"/>
      <c r="AL51" s="13" t="s">
        <v>253</v>
      </c>
      <c r="AM51" s="13" t="s">
        <v>42</v>
      </c>
      <c r="AN51" s="14"/>
      <c r="AO51" s="13" t="s">
        <v>21</v>
      </c>
      <c r="AP51" s="13" t="s">
        <v>73</v>
      </c>
      <c r="AQ51" s="14"/>
      <c r="AR51" s="13" t="s">
        <v>256</v>
      </c>
      <c r="AS51" s="13" t="s">
        <v>210</v>
      </c>
      <c r="AT51" s="14"/>
      <c r="AU51" s="13" t="s">
        <v>241</v>
      </c>
      <c r="AV51" s="13" t="s">
        <v>179</v>
      </c>
    </row>
    <row r="52" spans="3:48" s="16" customFormat="1" ht="12" customHeight="1" x14ac:dyDescent="0.25">
      <c r="C52" s="17">
        <v>17</v>
      </c>
      <c r="D52" s="17">
        <v>18</v>
      </c>
      <c r="E52" s="14"/>
      <c r="F52" s="17">
        <v>65</v>
      </c>
      <c r="G52" s="17">
        <v>66</v>
      </c>
      <c r="H52" s="14"/>
      <c r="I52" s="17">
        <v>113</v>
      </c>
      <c r="J52" s="17">
        <v>114</v>
      </c>
      <c r="K52" s="14"/>
      <c r="L52" s="17">
        <v>161</v>
      </c>
      <c r="M52" s="17">
        <v>162</v>
      </c>
      <c r="N52" s="14"/>
      <c r="O52" s="17">
        <v>209</v>
      </c>
      <c r="P52" s="17">
        <v>210</v>
      </c>
      <c r="Q52" s="14"/>
      <c r="R52" s="14"/>
      <c r="S52" s="17">
        <v>257</v>
      </c>
      <c r="T52" s="17">
        <v>258</v>
      </c>
      <c r="U52" s="14"/>
      <c r="V52" s="17">
        <v>305</v>
      </c>
      <c r="W52" s="17">
        <v>306</v>
      </c>
      <c r="X52" s="14"/>
      <c r="Y52" s="17">
        <v>353</v>
      </c>
      <c r="Z52" s="17">
        <v>354</v>
      </c>
      <c r="AA52" s="14"/>
      <c r="AB52" s="17">
        <v>401</v>
      </c>
      <c r="AC52" s="17">
        <v>402</v>
      </c>
      <c r="AD52" s="14"/>
      <c r="AE52" s="17">
        <v>449</v>
      </c>
      <c r="AF52" s="17">
        <v>450</v>
      </c>
      <c r="AG52" s="14"/>
      <c r="AH52" s="14"/>
      <c r="AI52" s="17">
        <v>497</v>
      </c>
      <c r="AJ52" s="17">
        <v>498</v>
      </c>
      <c r="AK52" s="14"/>
      <c r="AL52" s="17">
        <v>545</v>
      </c>
      <c r="AM52" s="17">
        <v>546</v>
      </c>
      <c r="AN52" s="14"/>
      <c r="AO52" s="17">
        <v>593</v>
      </c>
      <c r="AP52" s="17">
        <v>594</v>
      </c>
      <c r="AQ52" s="14"/>
      <c r="AR52" s="17">
        <v>641</v>
      </c>
      <c r="AS52" s="17">
        <v>642</v>
      </c>
      <c r="AT52" s="14"/>
      <c r="AU52" s="17">
        <v>689</v>
      </c>
      <c r="AV52" s="17">
        <v>690</v>
      </c>
    </row>
    <row r="53" spans="3:48" s="16" customFormat="1" ht="12" customHeight="1" x14ac:dyDescent="0.25">
      <c r="C53" s="14"/>
      <c r="D53" s="18"/>
      <c r="E53" s="14"/>
      <c r="F53" s="18"/>
      <c r="G53" s="18"/>
      <c r="H53" s="14"/>
      <c r="I53" s="18"/>
      <c r="J53" s="18"/>
      <c r="K53" s="14"/>
      <c r="L53" s="18"/>
      <c r="M53" s="18"/>
      <c r="N53" s="14"/>
      <c r="O53" s="18"/>
      <c r="P53" s="18"/>
      <c r="Q53" s="14"/>
      <c r="R53" s="14"/>
      <c r="S53" s="18"/>
      <c r="T53" s="18"/>
      <c r="U53" s="14"/>
      <c r="V53" s="18"/>
      <c r="W53" s="18"/>
      <c r="X53" s="14"/>
      <c r="Y53" s="18"/>
      <c r="Z53" s="18"/>
      <c r="AA53" s="14"/>
      <c r="AB53" s="18"/>
      <c r="AC53" s="18"/>
      <c r="AD53" s="14"/>
      <c r="AE53" s="18"/>
      <c r="AF53" s="18"/>
      <c r="AG53" s="14"/>
      <c r="AH53" s="14"/>
      <c r="AI53" s="18"/>
      <c r="AJ53" s="18"/>
      <c r="AK53" s="14"/>
      <c r="AL53" s="18"/>
      <c r="AM53" s="18"/>
      <c r="AN53" s="14"/>
      <c r="AO53" s="18"/>
      <c r="AP53" s="18"/>
      <c r="AQ53" s="14"/>
      <c r="AR53" s="18"/>
      <c r="AS53" s="18"/>
      <c r="AT53" s="14"/>
      <c r="AU53" s="18"/>
      <c r="AV53" s="18"/>
    </row>
    <row r="54" spans="3:48" s="16" customFormat="1" ht="33" customHeight="1" x14ac:dyDescent="0.25">
      <c r="C54" s="13" t="s">
        <v>17</v>
      </c>
      <c r="D54" s="13" t="s">
        <v>155</v>
      </c>
      <c r="E54" s="14"/>
      <c r="F54" s="13" t="s">
        <v>135</v>
      </c>
      <c r="G54" s="13" t="s">
        <v>124</v>
      </c>
      <c r="H54" s="14"/>
      <c r="I54" s="13" t="s">
        <v>59</v>
      </c>
      <c r="J54" s="13" t="s">
        <v>128</v>
      </c>
      <c r="K54" s="14"/>
      <c r="L54" s="13" t="s">
        <v>259</v>
      </c>
      <c r="M54" s="13" t="s">
        <v>106</v>
      </c>
      <c r="N54" s="14"/>
      <c r="O54" s="13" t="s">
        <v>489</v>
      </c>
      <c r="P54" s="13" t="s">
        <v>80</v>
      </c>
      <c r="Q54" s="14"/>
      <c r="R54" s="14"/>
      <c r="S54" s="13" t="s">
        <v>83</v>
      </c>
      <c r="T54" s="13" t="s">
        <v>115</v>
      </c>
      <c r="U54" s="14"/>
      <c r="V54" s="13" t="s">
        <v>173</v>
      </c>
      <c r="W54" s="13" t="s">
        <v>153</v>
      </c>
      <c r="X54" s="14"/>
      <c r="Y54" s="13" t="s">
        <v>190</v>
      </c>
      <c r="Z54" s="13" t="s">
        <v>137</v>
      </c>
      <c r="AA54" s="14"/>
      <c r="AB54" s="13" t="s">
        <v>120</v>
      </c>
      <c r="AC54" s="13" t="s">
        <v>56</v>
      </c>
      <c r="AD54" s="14"/>
      <c r="AE54" s="13" t="s">
        <v>160</v>
      </c>
      <c r="AF54" s="13" t="s">
        <v>122</v>
      </c>
      <c r="AG54" s="14"/>
      <c r="AH54" s="14"/>
      <c r="AI54" s="13" t="s">
        <v>80</v>
      </c>
      <c r="AJ54" s="13" t="s">
        <v>197</v>
      </c>
      <c r="AK54" s="14"/>
      <c r="AL54" s="13" t="s">
        <v>167</v>
      </c>
      <c r="AM54" s="13" t="s">
        <v>222</v>
      </c>
      <c r="AN54" s="14"/>
      <c r="AO54" s="13" t="s">
        <v>260</v>
      </c>
      <c r="AP54" s="13" t="s">
        <v>252</v>
      </c>
      <c r="AQ54" s="14"/>
      <c r="AR54" s="13" t="s">
        <v>93</v>
      </c>
      <c r="AS54" s="13" t="s">
        <v>82</v>
      </c>
      <c r="AT54" s="14"/>
      <c r="AU54" s="13" t="s">
        <v>125</v>
      </c>
      <c r="AV54" s="13" t="s">
        <v>50</v>
      </c>
    </row>
    <row r="55" spans="3:48" s="16" customFormat="1" ht="12" customHeight="1" x14ac:dyDescent="0.25">
      <c r="C55" s="17">
        <v>15</v>
      </c>
      <c r="D55" s="17">
        <v>16</v>
      </c>
      <c r="E55" s="14"/>
      <c r="F55" s="17">
        <v>63</v>
      </c>
      <c r="G55" s="17">
        <v>64</v>
      </c>
      <c r="H55" s="14"/>
      <c r="I55" s="17">
        <v>111</v>
      </c>
      <c r="J55" s="17">
        <v>112</v>
      </c>
      <c r="K55" s="14"/>
      <c r="L55" s="17">
        <v>159</v>
      </c>
      <c r="M55" s="17">
        <v>160</v>
      </c>
      <c r="N55" s="14"/>
      <c r="O55" s="17">
        <v>207</v>
      </c>
      <c r="P55" s="17">
        <v>208</v>
      </c>
      <c r="Q55" s="14"/>
      <c r="R55" s="14"/>
      <c r="S55" s="17">
        <v>255</v>
      </c>
      <c r="T55" s="17">
        <v>256</v>
      </c>
      <c r="U55" s="14"/>
      <c r="V55" s="17">
        <v>303</v>
      </c>
      <c r="W55" s="17">
        <v>304</v>
      </c>
      <c r="X55" s="14"/>
      <c r="Y55" s="17">
        <v>351</v>
      </c>
      <c r="Z55" s="17">
        <v>352</v>
      </c>
      <c r="AA55" s="14"/>
      <c r="AB55" s="17">
        <v>399</v>
      </c>
      <c r="AC55" s="17">
        <v>400</v>
      </c>
      <c r="AD55" s="14"/>
      <c r="AE55" s="17">
        <v>447</v>
      </c>
      <c r="AF55" s="17">
        <v>448</v>
      </c>
      <c r="AG55" s="14"/>
      <c r="AH55" s="14"/>
      <c r="AI55" s="17">
        <v>495</v>
      </c>
      <c r="AJ55" s="17">
        <v>496</v>
      </c>
      <c r="AK55" s="14"/>
      <c r="AL55" s="17">
        <v>543</v>
      </c>
      <c r="AM55" s="17">
        <v>544</v>
      </c>
      <c r="AN55" s="14"/>
      <c r="AO55" s="17">
        <v>591</v>
      </c>
      <c r="AP55" s="17">
        <v>592</v>
      </c>
      <c r="AQ55" s="14"/>
      <c r="AR55" s="17">
        <v>639</v>
      </c>
      <c r="AS55" s="17">
        <v>640</v>
      </c>
      <c r="AT55" s="14"/>
      <c r="AU55" s="17">
        <v>687</v>
      </c>
      <c r="AV55" s="17">
        <v>688</v>
      </c>
    </row>
    <row r="56" spans="3:48" s="16" customFormat="1" ht="12" customHeight="1" x14ac:dyDescent="0.25">
      <c r="C56" s="14"/>
      <c r="D56" s="18"/>
      <c r="E56" s="14"/>
      <c r="F56" s="18"/>
      <c r="G56" s="18"/>
      <c r="H56" s="14"/>
      <c r="I56" s="18"/>
      <c r="J56" s="18"/>
      <c r="K56" s="14"/>
      <c r="L56" s="18"/>
      <c r="M56" s="18"/>
      <c r="N56" s="14"/>
      <c r="O56" s="18"/>
      <c r="P56" s="18"/>
      <c r="Q56" s="14"/>
      <c r="R56" s="14"/>
      <c r="S56" s="18"/>
      <c r="T56" s="18"/>
      <c r="U56" s="14"/>
      <c r="V56" s="18"/>
      <c r="W56" s="18"/>
      <c r="X56" s="14"/>
      <c r="Y56" s="18"/>
      <c r="Z56" s="18"/>
      <c r="AA56" s="14"/>
      <c r="AB56" s="18"/>
      <c r="AC56" s="18"/>
      <c r="AD56" s="14"/>
      <c r="AE56" s="18"/>
      <c r="AF56" s="18"/>
      <c r="AG56" s="14"/>
      <c r="AH56" s="14"/>
      <c r="AI56" s="18"/>
      <c r="AJ56" s="18"/>
      <c r="AK56" s="14"/>
      <c r="AL56" s="18"/>
      <c r="AM56" s="18"/>
      <c r="AN56" s="14"/>
      <c r="AO56" s="18"/>
      <c r="AP56" s="18"/>
      <c r="AQ56" s="14"/>
      <c r="AR56" s="18"/>
      <c r="AS56" s="18"/>
      <c r="AT56" s="14"/>
      <c r="AU56" s="18"/>
      <c r="AV56" s="18"/>
    </row>
    <row r="57" spans="3:48" s="16" customFormat="1" ht="33" customHeight="1" x14ac:dyDescent="0.25">
      <c r="C57" s="13" t="s">
        <v>160</v>
      </c>
      <c r="D57" s="13" t="s">
        <v>153</v>
      </c>
      <c r="E57" s="14"/>
      <c r="F57" s="13" t="s">
        <v>140</v>
      </c>
      <c r="G57" s="13" t="s">
        <v>76</v>
      </c>
      <c r="H57" s="14"/>
      <c r="I57" s="13" t="s">
        <v>265</v>
      </c>
      <c r="J57" s="13" t="s">
        <v>89</v>
      </c>
      <c r="K57" s="14"/>
      <c r="L57" s="13" t="s">
        <v>74</v>
      </c>
      <c r="M57" s="13" t="s">
        <v>201</v>
      </c>
      <c r="N57" s="14"/>
      <c r="O57" s="13" t="s">
        <v>213</v>
      </c>
      <c r="P57" s="13" t="s">
        <v>164</v>
      </c>
      <c r="Q57" s="14"/>
      <c r="R57" s="14"/>
      <c r="S57" s="13" t="s">
        <v>85</v>
      </c>
      <c r="T57" s="13" t="s">
        <v>127</v>
      </c>
      <c r="U57" s="14"/>
      <c r="V57" s="13" t="s">
        <v>53</v>
      </c>
      <c r="W57" s="13" t="s">
        <v>207</v>
      </c>
      <c r="X57" s="14"/>
      <c r="Y57" s="13" t="s">
        <v>256</v>
      </c>
      <c r="Z57" s="13" t="s">
        <v>105</v>
      </c>
      <c r="AA57" s="14"/>
      <c r="AB57" s="13" t="s">
        <v>191</v>
      </c>
      <c r="AC57" s="13" t="s">
        <v>171</v>
      </c>
      <c r="AD57" s="14"/>
      <c r="AE57" s="13" t="s">
        <v>101</v>
      </c>
      <c r="AF57" s="13" t="s">
        <v>40</v>
      </c>
      <c r="AG57" s="14"/>
      <c r="AH57" s="14"/>
      <c r="AI57" s="13" t="s">
        <v>255</v>
      </c>
      <c r="AJ57" s="13" t="s">
        <v>156</v>
      </c>
      <c r="AK57" s="14"/>
      <c r="AL57" s="13" t="s">
        <v>204</v>
      </c>
      <c r="AM57" s="13" t="s">
        <v>113</v>
      </c>
      <c r="AN57" s="14"/>
      <c r="AO57" s="13" t="s">
        <v>98</v>
      </c>
      <c r="AP57" s="13" t="s">
        <v>31</v>
      </c>
      <c r="AQ57" s="14"/>
      <c r="AR57" s="13" t="s">
        <v>263</v>
      </c>
      <c r="AS57" s="13" t="s">
        <v>23</v>
      </c>
      <c r="AT57" s="14"/>
      <c r="AU57" s="13" t="s">
        <v>257</v>
      </c>
      <c r="AV57" s="13" t="s">
        <v>163</v>
      </c>
    </row>
    <row r="58" spans="3:48" s="16" customFormat="1" ht="12" customHeight="1" x14ac:dyDescent="0.25">
      <c r="C58" s="17">
        <v>13</v>
      </c>
      <c r="D58" s="17">
        <v>14</v>
      </c>
      <c r="E58" s="14"/>
      <c r="F58" s="17">
        <v>61</v>
      </c>
      <c r="G58" s="17">
        <v>62</v>
      </c>
      <c r="H58" s="14"/>
      <c r="I58" s="17">
        <v>109</v>
      </c>
      <c r="J58" s="17">
        <v>110</v>
      </c>
      <c r="K58" s="14"/>
      <c r="L58" s="17">
        <v>157</v>
      </c>
      <c r="M58" s="17">
        <v>158</v>
      </c>
      <c r="N58" s="14"/>
      <c r="O58" s="17">
        <v>205</v>
      </c>
      <c r="P58" s="17">
        <v>206</v>
      </c>
      <c r="Q58" s="14"/>
      <c r="R58" s="14"/>
      <c r="S58" s="17">
        <v>253</v>
      </c>
      <c r="T58" s="17">
        <v>254</v>
      </c>
      <c r="U58" s="14"/>
      <c r="V58" s="17">
        <v>301</v>
      </c>
      <c r="W58" s="17">
        <v>302</v>
      </c>
      <c r="X58" s="14"/>
      <c r="Y58" s="17">
        <v>349</v>
      </c>
      <c r="Z58" s="17">
        <v>350</v>
      </c>
      <c r="AA58" s="14"/>
      <c r="AB58" s="17">
        <v>397</v>
      </c>
      <c r="AC58" s="17">
        <v>398</v>
      </c>
      <c r="AD58" s="14"/>
      <c r="AE58" s="17">
        <v>445</v>
      </c>
      <c r="AF58" s="17">
        <v>446</v>
      </c>
      <c r="AG58" s="14"/>
      <c r="AH58" s="14"/>
      <c r="AI58" s="17">
        <v>493</v>
      </c>
      <c r="AJ58" s="17">
        <v>494</v>
      </c>
      <c r="AK58" s="14"/>
      <c r="AL58" s="17">
        <v>541</v>
      </c>
      <c r="AM58" s="17">
        <v>542</v>
      </c>
      <c r="AN58" s="14"/>
      <c r="AO58" s="17">
        <v>589</v>
      </c>
      <c r="AP58" s="17">
        <v>590</v>
      </c>
      <c r="AQ58" s="14"/>
      <c r="AR58" s="17">
        <v>637</v>
      </c>
      <c r="AS58" s="17">
        <v>638</v>
      </c>
      <c r="AT58" s="14"/>
      <c r="AU58" s="17">
        <v>685</v>
      </c>
      <c r="AV58" s="17">
        <v>686</v>
      </c>
    </row>
    <row r="59" spans="3:48" s="16" customFormat="1" ht="12" customHeight="1" x14ac:dyDescent="0.25">
      <c r="C59" s="14"/>
      <c r="D59" s="18"/>
      <c r="E59" s="14"/>
      <c r="F59" s="18"/>
      <c r="G59" s="18"/>
      <c r="H59" s="14"/>
      <c r="I59" s="18"/>
      <c r="J59" s="18"/>
      <c r="K59" s="14"/>
      <c r="L59" s="18"/>
      <c r="M59" s="18"/>
      <c r="N59" s="14"/>
      <c r="O59" s="18"/>
      <c r="P59" s="18"/>
      <c r="Q59" s="14"/>
      <c r="R59" s="14"/>
      <c r="S59" s="18"/>
      <c r="T59" s="18"/>
      <c r="U59" s="14"/>
      <c r="V59" s="18"/>
      <c r="W59" s="18"/>
      <c r="X59" s="14"/>
      <c r="Y59" s="18"/>
      <c r="Z59" s="18"/>
      <c r="AA59" s="14"/>
      <c r="AB59" s="18"/>
      <c r="AC59" s="18"/>
      <c r="AD59" s="14"/>
      <c r="AE59" s="18"/>
      <c r="AF59" s="18"/>
      <c r="AG59" s="14"/>
      <c r="AH59" s="14"/>
      <c r="AI59" s="18"/>
      <c r="AJ59" s="18"/>
      <c r="AK59" s="14"/>
      <c r="AL59" s="18"/>
      <c r="AM59" s="18"/>
      <c r="AN59" s="14"/>
      <c r="AO59" s="18"/>
      <c r="AP59" s="18"/>
      <c r="AQ59" s="14"/>
      <c r="AR59" s="18"/>
      <c r="AS59" s="18"/>
      <c r="AT59" s="14"/>
      <c r="AU59" s="18"/>
      <c r="AV59" s="18"/>
    </row>
    <row r="60" spans="3:48" s="16" customFormat="1" ht="33" customHeight="1" x14ac:dyDescent="0.25">
      <c r="C60" s="13" t="s">
        <v>15</v>
      </c>
      <c r="D60" s="13" t="s">
        <v>56</v>
      </c>
      <c r="E60" s="14"/>
      <c r="F60" s="13" t="s">
        <v>115</v>
      </c>
      <c r="G60" s="13" t="s">
        <v>218</v>
      </c>
      <c r="H60" s="14"/>
      <c r="I60" s="13" t="s">
        <v>21</v>
      </c>
      <c r="J60" s="13" t="s">
        <v>248</v>
      </c>
      <c r="K60" s="14"/>
      <c r="L60" s="13" t="s">
        <v>229</v>
      </c>
      <c r="M60" s="13" t="s">
        <v>231</v>
      </c>
      <c r="N60" s="14"/>
      <c r="O60" s="13" t="s">
        <v>114</v>
      </c>
      <c r="P60" s="13" t="s">
        <v>258</v>
      </c>
      <c r="Q60" s="14"/>
      <c r="R60" s="14"/>
      <c r="S60" s="13" t="s">
        <v>150</v>
      </c>
      <c r="T60" s="13" t="s">
        <v>29</v>
      </c>
      <c r="U60" s="14"/>
      <c r="V60" s="13" t="s">
        <v>130</v>
      </c>
      <c r="W60" s="13" t="s">
        <v>200</v>
      </c>
      <c r="X60" s="14"/>
      <c r="Y60" s="13" t="s">
        <v>154</v>
      </c>
      <c r="Z60" s="13" t="s">
        <v>265</v>
      </c>
      <c r="AA60" s="14"/>
      <c r="AB60" s="13" t="s">
        <v>110</v>
      </c>
      <c r="AC60" s="13" t="s">
        <v>195</v>
      </c>
      <c r="AD60" s="14"/>
      <c r="AE60" s="13" t="s">
        <v>77</v>
      </c>
      <c r="AF60" s="13" t="s">
        <v>134</v>
      </c>
      <c r="AG60" s="14"/>
      <c r="AH60" s="14"/>
      <c r="AI60" s="13" t="s">
        <v>61</v>
      </c>
      <c r="AJ60" s="13" t="s">
        <v>185</v>
      </c>
      <c r="AK60" s="14"/>
      <c r="AL60" s="13" t="s">
        <v>153</v>
      </c>
      <c r="AM60" s="13" t="s">
        <v>184</v>
      </c>
      <c r="AN60" s="14"/>
      <c r="AO60" s="13" t="s">
        <v>231</v>
      </c>
      <c r="AP60" s="13" t="s">
        <v>217</v>
      </c>
      <c r="AQ60" s="14"/>
      <c r="AR60" s="13" t="s">
        <v>158</v>
      </c>
      <c r="AS60" s="13" t="s">
        <v>193</v>
      </c>
      <c r="AT60" s="14"/>
      <c r="AU60" s="13" t="s">
        <v>15</v>
      </c>
      <c r="AV60" s="13" t="s">
        <v>91</v>
      </c>
    </row>
    <row r="61" spans="3:48" s="16" customFormat="1" ht="12" customHeight="1" x14ac:dyDescent="0.25">
      <c r="C61" s="17">
        <v>11</v>
      </c>
      <c r="D61" s="17">
        <v>12</v>
      </c>
      <c r="E61" s="14"/>
      <c r="F61" s="17">
        <v>59</v>
      </c>
      <c r="G61" s="17">
        <v>60</v>
      </c>
      <c r="H61" s="14"/>
      <c r="I61" s="17">
        <v>107</v>
      </c>
      <c r="J61" s="17">
        <v>108</v>
      </c>
      <c r="K61" s="14"/>
      <c r="L61" s="17">
        <v>155</v>
      </c>
      <c r="M61" s="17">
        <v>156</v>
      </c>
      <c r="N61" s="14"/>
      <c r="O61" s="17">
        <v>203</v>
      </c>
      <c r="P61" s="17">
        <v>204</v>
      </c>
      <c r="Q61" s="14"/>
      <c r="R61" s="14"/>
      <c r="S61" s="17">
        <v>251</v>
      </c>
      <c r="T61" s="17">
        <v>252</v>
      </c>
      <c r="U61" s="14"/>
      <c r="V61" s="17">
        <v>299</v>
      </c>
      <c r="W61" s="17">
        <v>300</v>
      </c>
      <c r="X61" s="14"/>
      <c r="Y61" s="17">
        <v>347</v>
      </c>
      <c r="Z61" s="17">
        <v>348</v>
      </c>
      <c r="AA61" s="14"/>
      <c r="AB61" s="17">
        <v>395</v>
      </c>
      <c r="AC61" s="17">
        <v>396</v>
      </c>
      <c r="AD61" s="14"/>
      <c r="AE61" s="17">
        <v>443</v>
      </c>
      <c r="AF61" s="17">
        <v>444</v>
      </c>
      <c r="AG61" s="14"/>
      <c r="AH61" s="14"/>
      <c r="AI61" s="17">
        <v>491</v>
      </c>
      <c r="AJ61" s="17">
        <v>492</v>
      </c>
      <c r="AK61" s="14"/>
      <c r="AL61" s="17">
        <v>539</v>
      </c>
      <c r="AM61" s="17">
        <v>540</v>
      </c>
      <c r="AN61" s="14"/>
      <c r="AO61" s="17">
        <v>587</v>
      </c>
      <c r="AP61" s="17">
        <v>588</v>
      </c>
      <c r="AQ61" s="14"/>
      <c r="AR61" s="17">
        <v>635</v>
      </c>
      <c r="AS61" s="17">
        <v>636</v>
      </c>
      <c r="AT61" s="14"/>
      <c r="AU61" s="17">
        <v>683</v>
      </c>
      <c r="AV61" s="17">
        <v>684</v>
      </c>
    </row>
    <row r="62" spans="3:48" s="16" customFormat="1" ht="12" customHeight="1" x14ac:dyDescent="0.25">
      <c r="C62" s="14"/>
      <c r="D62" s="18"/>
      <c r="E62" s="14"/>
      <c r="F62" s="18"/>
      <c r="G62" s="18"/>
      <c r="H62" s="14"/>
      <c r="I62" s="18"/>
      <c r="J62" s="18"/>
      <c r="K62" s="14"/>
      <c r="L62" s="18"/>
      <c r="M62" s="18"/>
      <c r="N62" s="14"/>
      <c r="O62" s="18"/>
      <c r="P62" s="18"/>
      <c r="Q62" s="14"/>
      <c r="R62" s="14"/>
      <c r="S62" s="18"/>
      <c r="T62" s="18"/>
      <c r="U62" s="14"/>
      <c r="V62" s="18"/>
      <c r="W62" s="18"/>
      <c r="X62" s="14"/>
      <c r="Y62" s="18"/>
      <c r="Z62" s="18"/>
      <c r="AA62" s="14"/>
      <c r="AB62" s="18"/>
      <c r="AC62" s="18"/>
      <c r="AD62" s="14"/>
      <c r="AE62" s="18"/>
      <c r="AF62" s="18"/>
      <c r="AG62" s="14"/>
      <c r="AH62" s="14"/>
      <c r="AI62" s="18"/>
      <c r="AJ62" s="18"/>
      <c r="AK62" s="14"/>
      <c r="AL62" s="18"/>
      <c r="AM62" s="18"/>
      <c r="AN62" s="14"/>
      <c r="AO62" s="18"/>
      <c r="AP62" s="18"/>
      <c r="AQ62" s="14"/>
      <c r="AR62" s="18"/>
      <c r="AS62" s="18"/>
      <c r="AT62" s="14"/>
      <c r="AU62" s="18"/>
      <c r="AV62" s="18"/>
    </row>
    <row r="63" spans="3:48" s="16" customFormat="1" ht="33" customHeight="1" x14ac:dyDescent="0.25">
      <c r="C63" s="13" t="s">
        <v>146</v>
      </c>
      <c r="D63" s="13" t="s">
        <v>41</v>
      </c>
      <c r="E63" s="14"/>
      <c r="F63" s="13" t="s">
        <v>38</v>
      </c>
      <c r="G63" s="13" t="s">
        <v>257</v>
      </c>
      <c r="H63" s="14"/>
      <c r="I63" s="13" t="s">
        <v>202</v>
      </c>
      <c r="J63" s="13" t="s">
        <v>112</v>
      </c>
      <c r="K63" s="14"/>
      <c r="L63" s="13" t="s">
        <v>500</v>
      </c>
      <c r="M63" s="13" t="s">
        <v>93</v>
      </c>
      <c r="N63" s="14"/>
      <c r="O63" s="13" t="s">
        <v>100</v>
      </c>
      <c r="P63" s="13" t="s">
        <v>101</v>
      </c>
      <c r="Q63" s="14"/>
      <c r="R63" s="14"/>
      <c r="S63" s="13" t="s">
        <v>208</v>
      </c>
      <c r="T63" s="13" t="s">
        <v>151</v>
      </c>
      <c r="U63" s="14"/>
      <c r="V63" s="13" t="s">
        <v>72</v>
      </c>
      <c r="W63" s="13" t="s">
        <v>31</v>
      </c>
      <c r="X63" s="14"/>
      <c r="Y63" s="13" t="s">
        <v>68</v>
      </c>
      <c r="Z63" s="13" t="s">
        <v>136</v>
      </c>
      <c r="AA63" s="14"/>
      <c r="AB63" s="13" t="s">
        <v>86</v>
      </c>
      <c r="AC63" s="13" t="s">
        <v>194</v>
      </c>
      <c r="AD63" s="14"/>
      <c r="AE63" s="13" t="s">
        <v>170</v>
      </c>
      <c r="AF63" s="13" t="s">
        <v>59</v>
      </c>
      <c r="AG63" s="14"/>
      <c r="AH63" s="14"/>
      <c r="AI63" s="13" t="s">
        <v>259</v>
      </c>
      <c r="AJ63" s="13" t="s">
        <v>168</v>
      </c>
      <c r="AK63" s="14"/>
      <c r="AL63" s="13" t="s">
        <v>53</v>
      </c>
      <c r="AM63" s="13" t="s">
        <v>191</v>
      </c>
      <c r="AN63" s="14"/>
      <c r="AO63" s="13" t="s">
        <v>146</v>
      </c>
      <c r="AP63" s="13" t="s">
        <v>86</v>
      </c>
      <c r="AQ63" s="14"/>
      <c r="AR63" s="13" t="s">
        <v>19</v>
      </c>
      <c r="AS63" s="13" t="s">
        <v>59</v>
      </c>
      <c r="AT63" s="14"/>
      <c r="AU63" s="13" t="s">
        <v>35</v>
      </c>
      <c r="AV63" s="13" t="s">
        <v>104</v>
      </c>
    </row>
    <row r="64" spans="3:48" s="16" customFormat="1" ht="12" customHeight="1" x14ac:dyDescent="0.25">
      <c r="C64" s="17">
        <v>9</v>
      </c>
      <c r="D64" s="17">
        <v>10</v>
      </c>
      <c r="E64" s="14"/>
      <c r="F64" s="17">
        <v>57</v>
      </c>
      <c r="G64" s="17">
        <v>58</v>
      </c>
      <c r="H64" s="14"/>
      <c r="I64" s="17">
        <v>105</v>
      </c>
      <c r="J64" s="17">
        <v>106</v>
      </c>
      <c r="K64" s="14"/>
      <c r="L64" s="17">
        <v>153</v>
      </c>
      <c r="M64" s="17">
        <v>154</v>
      </c>
      <c r="N64" s="14"/>
      <c r="O64" s="17">
        <v>201</v>
      </c>
      <c r="P64" s="17">
        <v>202</v>
      </c>
      <c r="Q64" s="14"/>
      <c r="R64" s="14"/>
      <c r="S64" s="17">
        <v>249</v>
      </c>
      <c r="T64" s="17">
        <v>250</v>
      </c>
      <c r="U64" s="14"/>
      <c r="V64" s="17">
        <v>297</v>
      </c>
      <c r="W64" s="17">
        <v>298</v>
      </c>
      <c r="X64" s="14"/>
      <c r="Y64" s="17">
        <v>345</v>
      </c>
      <c r="Z64" s="17">
        <v>346</v>
      </c>
      <c r="AA64" s="14"/>
      <c r="AB64" s="17">
        <v>393</v>
      </c>
      <c r="AC64" s="17">
        <v>394</v>
      </c>
      <c r="AD64" s="14"/>
      <c r="AE64" s="17">
        <v>441</v>
      </c>
      <c r="AF64" s="17">
        <v>442</v>
      </c>
      <c r="AG64" s="14"/>
      <c r="AH64" s="14"/>
      <c r="AI64" s="17">
        <v>489</v>
      </c>
      <c r="AJ64" s="17">
        <v>490</v>
      </c>
      <c r="AK64" s="14"/>
      <c r="AL64" s="17">
        <v>537</v>
      </c>
      <c r="AM64" s="17">
        <v>538</v>
      </c>
      <c r="AN64" s="14"/>
      <c r="AO64" s="17">
        <v>585</v>
      </c>
      <c r="AP64" s="17">
        <v>586</v>
      </c>
      <c r="AQ64" s="14"/>
      <c r="AR64" s="17">
        <v>633</v>
      </c>
      <c r="AS64" s="17">
        <v>634</v>
      </c>
      <c r="AT64" s="14"/>
      <c r="AU64" s="17">
        <v>681</v>
      </c>
      <c r="AV64" s="17">
        <v>682</v>
      </c>
    </row>
    <row r="65" spans="3:48" s="16" customFormat="1" ht="12" customHeight="1" x14ac:dyDescent="0.25">
      <c r="C65" s="14"/>
      <c r="D65" s="18"/>
      <c r="E65" s="14"/>
      <c r="F65" s="18"/>
      <c r="G65" s="18"/>
      <c r="H65" s="14"/>
      <c r="I65" s="18"/>
      <c r="J65" s="18"/>
      <c r="K65" s="14"/>
      <c r="L65" s="18"/>
      <c r="M65" s="18"/>
      <c r="N65" s="14"/>
      <c r="O65" s="18"/>
      <c r="P65" s="18"/>
      <c r="Q65" s="14"/>
      <c r="R65" s="14"/>
      <c r="S65" s="18"/>
      <c r="T65" s="18"/>
      <c r="U65" s="14"/>
      <c r="V65" s="18"/>
      <c r="W65" s="18"/>
      <c r="X65" s="14"/>
      <c r="Y65" s="18"/>
      <c r="Z65" s="18"/>
      <c r="AA65" s="14"/>
      <c r="AB65" s="18"/>
      <c r="AC65" s="18"/>
      <c r="AD65" s="14"/>
      <c r="AE65" s="18"/>
      <c r="AF65" s="18"/>
      <c r="AG65" s="14"/>
      <c r="AH65" s="14"/>
      <c r="AI65" s="18"/>
      <c r="AJ65" s="18"/>
      <c r="AK65" s="14"/>
      <c r="AL65" s="18"/>
      <c r="AM65" s="18"/>
      <c r="AN65" s="14"/>
      <c r="AO65" s="18"/>
      <c r="AP65" s="18"/>
      <c r="AQ65" s="14"/>
      <c r="AR65" s="18"/>
      <c r="AS65" s="18"/>
      <c r="AT65" s="14"/>
      <c r="AU65" s="18"/>
      <c r="AV65" s="18"/>
    </row>
    <row r="66" spans="3:48" s="16" customFormat="1" ht="33" customHeight="1" x14ac:dyDescent="0.25">
      <c r="C66" s="13" t="s">
        <v>142</v>
      </c>
      <c r="D66" s="13" t="s">
        <v>237</v>
      </c>
      <c r="E66" s="14"/>
      <c r="F66" s="13" t="s">
        <v>200</v>
      </c>
      <c r="G66" s="13" t="s">
        <v>203</v>
      </c>
      <c r="H66" s="14"/>
      <c r="I66" s="13" t="s">
        <v>234</v>
      </c>
      <c r="J66" s="13" t="s">
        <v>18</v>
      </c>
      <c r="K66" s="14"/>
      <c r="L66" s="13" t="s">
        <v>180</v>
      </c>
      <c r="M66" s="13" t="s">
        <v>223</v>
      </c>
      <c r="N66" s="14"/>
      <c r="O66" s="13" t="s">
        <v>249</v>
      </c>
      <c r="P66" s="13" t="s">
        <v>130</v>
      </c>
      <c r="Q66" s="14"/>
      <c r="R66" s="14"/>
      <c r="S66" s="13" t="s">
        <v>116</v>
      </c>
      <c r="T66" s="13" t="s">
        <v>104</v>
      </c>
      <c r="U66" s="14"/>
      <c r="V66" s="13" t="s">
        <v>61</v>
      </c>
      <c r="W66" s="13" t="s">
        <v>51</v>
      </c>
      <c r="X66" s="14"/>
      <c r="Y66" s="13" t="s">
        <v>117</v>
      </c>
      <c r="Z66" s="13" t="s">
        <v>41</v>
      </c>
      <c r="AA66" s="14"/>
      <c r="AB66" s="13" t="s">
        <v>73</v>
      </c>
      <c r="AC66" s="13" t="s">
        <v>261</v>
      </c>
      <c r="AD66" s="14"/>
      <c r="AE66" s="13" t="s">
        <v>121</v>
      </c>
      <c r="AF66" s="13" t="s">
        <v>88</v>
      </c>
      <c r="AG66" s="14"/>
      <c r="AH66" s="14"/>
      <c r="AI66" s="13" t="s">
        <v>262</v>
      </c>
      <c r="AJ66" s="13" t="s">
        <v>140</v>
      </c>
      <c r="AK66" s="14"/>
      <c r="AL66" s="13" t="s">
        <v>190</v>
      </c>
      <c r="AM66" s="13" t="s">
        <v>192</v>
      </c>
      <c r="AN66" s="14"/>
      <c r="AO66" s="13" t="s">
        <v>117</v>
      </c>
      <c r="AP66" s="13" t="s">
        <v>120</v>
      </c>
      <c r="AQ66" s="14"/>
      <c r="AR66" s="13" t="s">
        <v>261</v>
      </c>
      <c r="AS66" s="13" t="s">
        <v>159</v>
      </c>
      <c r="AT66" s="14"/>
      <c r="AU66" s="13" t="s">
        <v>149</v>
      </c>
      <c r="AV66" s="13" t="s">
        <v>65</v>
      </c>
    </row>
    <row r="67" spans="3:48" s="16" customFormat="1" ht="12" customHeight="1" x14ac:dyDescent="0.25">
      <c r="C67" s="17">
        <v>7</v>
      </c>
      <c r="D67" s="17">
        <v>8</v>
      </c>
      <c r="E67" s="14"/>
      <c r="F67" s="17">
        <v>55</v>
      </c>
      <c r="G67" s="17">
        <v>56</v>
      </c>
      <c r="H67" s="14"/>
      <c r="I67" s="17">
        <v>103</v>
      </c>
      <c r="J67" s="17">
        <v>104</v>
      </c>
      <c r="K67" s="14"/>
      <c r="L67" s="17">
        <v>151</v>
      </c>
      <c r="M67" s="17">
        <v>152</v>
      </c>
      <c r="N67" s="14"/>
      <c r="O67" s="17">
        <v>199</v>
      </c>
      <c r="P67" s="17">
        <v>200</v>
      </c>
      <c r="Q67" s="14"/>
      <c r="R67" s="14"/>
      <c r="S67" s="17">
        <v>247</v>
      </c>
      <c r="T67" s="17">
        <v>248</v>
      </c>
      <c r="U67" s="14"/>
      <c r="V67" s="17">
        <v>295</v>
      </c>
      <c r="W67" s="17">
        <v>296</v>
      </c>
      <c r="X67" s="14"/>
      <c r="Y67" s="17">
        <v>343</v>
      </c>
      <c r="Z67" s="17">
        <v>344</v>
      </c>
      <c r="AA67" s="14"/>
      <c r="AB67" s="17">
        <v>391</v>
      </c>
      <c r="AC67" s="17">
        <v>392</v>
      </c>
      <c r="AD67" s="14"/>
      <c r="AE67" s="17">
        <v>439</v>
      </c>
      <c r="AF67" s="17">
        <v>440</v>
      </c>
      <c r="AG67" s="14"/>
      <c r="AH67" s="14"/>
      <c r="AI67" s="17">
        <v>487</v>
      </c>
      <c r="AJ67" s="17">
        <v>488</v>
      </c>
      <c r="AK67" s="14"/>
      <c r="AL67" s="17">
        <v>535</v>
      </c>
      <c r="AM67" s="17">
        <v>536</v>
      </c>
      <c r="AN67" s="14"/>
      <c r="AO67" s="17">
        <v>583</v>
      </c>
      <c r="AP67" s="17">
        <v>584</v>
      </c>
      <c r="AQ67" s="14"/>
      <c r="AR67" s="17">
        <v>631</v>
      </c>
      <c r="AS67" s="17">
        <v>632</v>
      </c>
      <c r="AT67" s="14"/>
      <c r="AU67" s="17">
        <v>679</v>
      </c>
      <c r="AV67" s="17">
        <v>680</v>
      </c>
    </row>
    <row r="68" spans="3:48" s="16" customFormat="1" ht="12" customHeight="1" x14ac:dyDescent="0.25">
      <c r="C68" s="14"/>
      <c r="D68" s="18"/>
      <c r="E68" s="14"/>
      <c r="F68" s="18"/>
      <c r="G68" s="18"/>
      <c r="H68" s="14"/>
      <c r="I68" s="18"/>
      <c r="J68" s="18"/>
      <c r="K68" s="14"/>
      <c r="L68" s="18"/>
      <c r="M68" s="18"/>
      <c r="N68" s="14"/>
      <c r="O68" s="18"/>
      <c r="P68" s="18"/>
      <c r="Q68" s="14"/>
      <c r="R68" s="14"/>
      <c r="S68" s="18"/>
      <c r="T68" s="18"/>
      <c r="U68" s="14"/>
      <c r="V68" s="18"/>
      <c r="W68" s="18"/>
      <c r="X68" s="14"/>
      <c r="Y68" s="18"/>
      <c r="Z68" s="18"/>
      <c r="AA68" s="14"/>
      <c r="AB68" s="18"/>
      <c r="AC68" s="18"/>
      <c r="AD68" s="14"/>
      <c r="AE68" s="18"/>
      <c r="AF68" s="18"/>
      <c r="AG68" s="14"/>
      <c r="AH68" s="14"/>
      <c r="AI68" s="18"/>
      <c r="AJ68" s="18"/>
      <c r="AK68" s="14"/>
      <c r="AL68" s="18"/>
      <c r="AM68" s="18"/>
      <c r="AN68" s="14"/>
      <c r="AO68" s="18"/>
      <c r="AP68" s="18"/>
      <c r="AQ68" s="14"/>
      <c r="AR68" s="18"/>
      <c r="AS68" s="18"/>
      <c r="AT68" s="14"/>
      <c r="AU68" s="18"/>
      <c r="AV68" s="18"/>
    </row>
    <row r="69" spans="3:48" s="16" customFormat="1" ht="33" customHeight="1" x14ac:dyDescent="0.25">
      <c r="C69" s="13" t="s">
        <v>144</v>
      </c>
      <c r="D69" s="13" t="s">
        <v>16</v>
      </c>
      <c r="E69" s="14"/>
      <c r="F69" s="13" t="s">
        <v>260</v>
      </c>
      <c r="G69" s="13" t="s">
        <v>204</v>
      </c>
      <c r="H69" s="14"/>
      <c r="I69" s="13" t="s">
        <v>32</v>
      </c>
      <c r="J69" s="13" t="s">
        <v>73</v>
      </c>
      <c r="K69" s="14"/>
      <c r="L69" s="13" t="s">
        <v>37</v>
      </c>
      <c r="M69" s="13" t="s">
        <v>104</v>
      </c>
      <c r="N69" s="14"/>
      <c r="O69" s="13" t="s">
        <v>198</v>
      </c>
      <c r="P69" s="13" t="s">
        <v>71</v>
      </c>
      <c r="Q69" s="14"/>
      <c r="R69" s="14"/>
      <c r="S69" s="13" t="s">
        <v>164</v>
      </c>
      <c r="T69" s="13" t="s">
        <v>187</v>
      </c>
      <c r="U69" s="14"/>
      <c r="V69" s="13" t="s">
        <v>42</v>
      </c>
      <c r="W69" s="13" t="s">
        <v>43</v>
      </c>
      <c r="X69" s="14"/>
      <c r="Y69" s="13" t="s">
        <v>146</v>
      </c>
      <c r="Z69" s="13" t="s">
        <v>231</v>
      </c>
      <c r="AA69" s="14"/>
      <c r="AB69" s="13" t="s">
        <v>177</v>
      </c>
      <c r="AC69" s="13" t="s">
        <v>253</v>
      </c>
      <c r="AD69" s="14"/>
      <c r="AE69" s="13" t="s">
        <v>238</v>
      </c>
      <c r="AF69" s="13" t="s">
        <v>65</v>
      </c>
      <c r="AG69" s="14"/>
      <c r="AH69" s="14"/>
      <c r="AI69" s="13" t="s">
        <v>170</v>
      </c>
      <c r="AJ69" s="13" t="s">
        <v>46</v>
      </c>
      <c r="AK69" s="14"/>
      <c r="AL69" s="13" t="s">
        <v>114</v>
      </c>
      <c r="AM69" s="13" t="s">
        <v>97</v>
      </c>
      <c r="AN69" s="14"/>
      <c r="AO69" s="13" t="s">
        <v>198</v>
      </c>
      <c r="AP69" s="13" t="s">
        <v>85</v>
      </c>
      <c r="AQ69" s="14"/>
      <c r="AR69" s="13" t="s">
        <v>186</v>
      </c>
      <c r="AS69" s="13" t="s">
        <v>47</v>
      </c>
      <c r="AT69" s="14"/>
      <c r="AU69" s="13" t="s">
        <v>177</v>
      </c>
      <c r="AV69" s="13" t="s">
        <v>212</v>
      </c>
    </row>
    <row r="70" spans="3:48" s="16" customFormat="1" ht="12" customHeight="1" x14ac:dyDescent="0.25">
      <c r="C70" s="17">
        <v>5</v>
      </c>
      <c r="D70" s="17">
        <v>6</v>
      </c>
      <c r="E70" s="14"/>
      <c r="F70" s="17">
        <v>53</v>
      </c>
      <c r="G70" s="17">
        <v>54</v>
      </c>
      <c r="H70" s="14"/>
      <c r="I70" s="17">
        <v>101</v>
      </c>
      <c r="J70" s="17">
        <v>102</v>
      </c>
      <c r="K70" s="14"/>
      <c r="L70" s="17">
        <v>149</v>
      </c>
      <c r="M70" s="17">
        <v>150</v>
      </c>
      <c r="N70" s="14"/>
      <c r="O70" s="17">
        <v>197</v>
      </c>
      <c r="P70" s="17">
        <v>198</v>
      </c>
      <c r="Q70" s="14"/>
      <c r="R70" s="14"/>
      <c r="S70" s="17">
        <v>245</v>
      </c>
      <c r="T70" s="17">
        <v>246</v>
      </c>
      <c r="U70" s="14"/>
      <c r="V70" s="17">
        <v>293</v>
      </c>
      <c r="W70" s="17">
        <v>294</v>
      </c>
      <c r="X70" s="14"/>
      <c r="Y70" s="17">
        <v>341</v>
      </c>
      <c r="Z70" s="17">
        <v>342</v>
      </c>
      <c r="AA70" s="14"/>
      <c r="AB70" s="17">
        <v>389</v>
      </c>
      <c r="AC70" s="17">
        <v>390</v>
      </c>
      <c r="AD70" s="14"/>
      <c r="AE70" s="17">
        <v>437</v>
      </c>
      <c r="AF70" s="17">
        <v>438</v>
      </c>
      <c r="AG70" s="14"/>
      <c r="AH70" s="14"/>
      <c r="AI70" s="17">
        <v>485</v>
      </c>
      <c r="AJ70" s="17">
        <v>486</v>
      </c>
      <c r="AK70" s="14"/>
      <c r="AL70" s="17">
        <v>533</v>
      </c>
      <c r="AM70" s="17">
        <v>534</v>
      </c>
      <c r="AN70" s="14"/>
      <c r="AO70" s="17">
        <v>581</v>
      </c>
      <c r="AP70" s="17">
        <v>582</v>
      </c>
      <c r="AQ70" s="14"/>
      <c r="AR70" s="17">
        <v>629</v>
      </c>
      <c r="AS70" s="17">
        <v>630</v>
      </c>
      <c r="AT70" s="14"/>
      <c r="AU70" s="17">
        <v>677</v>
      </c>
      <c r="AV70" s="17">
        <v>678</v>
      </c>
    </row>
    <row r="71" spans="3:48" s="16" customFormat="1" ht="12" customHeight="1" x14ac:dyDescent="0.25">
      <c r="C71" s="14"/>
      <c r="D71" s="18"/>
      <c r="E71" s="14"/>
      <c r="F71" s="18"/>
      <c r="G71" s="18"/>
      <c r="H71" s="14"/>
      <c r="I71" s="18"/>
      <c r="J71" s="18"/>
      <c r="K71" s="14"/>
      <c r="L71" s="18"/>
      <c r="M71" s="18"/>
      <c r="N71" s="14"/>
      <c r="O71" s="18"/>
      <c r="P71" s="18"/>
      <c r="Q71" s="14"/>
      <c r="R71" s="14"/>
      <c r="S71" s="18"/>
      <c r="T71" s="18"/>
      <c r="U71" s="14"/>
      <c r="V71" s="18"/>
      <c r="W71" s="18"/>
      <c r="X71" s="14"/>
      <c r="Y71" s="18"/>
      <c r="Z71" s="18"/>
      <c r="AA71" s="14"/>
      <c r="AB71" s="18"/>
      <c r="AC71" s="18"/>
      <c r="AD71" s="14"/>
      <c r="AE71" s="18"/>
      <c r="AF71" s="18"/>
      <c r="AG71" s="14"/>
      <c r="AH71" s="14"/>
      <c r="AI71" s="18"/>
      <c r="AJ71" s="18"/>
      <c r="AK71" s="14"/>
      <c r="AL71" s="18"/>
      <c r="AM71" s="18"/>
      <c r="AN71" s="14"/>
      <c r="AO71" s="18"/>
      <c r="AP71" s="18"/>
      <c r="AQ71" s="14"/>
      <c r="AR71" s="18"/>
      <c r="AS71" s="18"/>
      <c r="AT71" s="14"/>
      <c r="AU71" s="18"/>
      <c r="AV71" s="18"/>
    </row>
    <row r="72" spans="3:48" s="16" customFormat="1" ht="33" customHeight="1" x14ac:dyDescent="0.25">
      <c r="C72" s="13" t="s">
        <v>190</v>
      </c>
      <c r="D72" s="13" t="s">
        <v>178</v>
      </c>
      <c r="E72" s="14"/>
      <c r="F72" s="13" t="s">
        <v>166</v>
      </c>
      <c r="G72" s="13" t="s">
        <v>239</v>
      </c>
      <c r="H72" s="14"/>
      <c r="I72" s="13" t="s">
        <v>25</v>
      </c>
      <c r="J72" s="13" t="s">
        <v>44</v>
      </c>
      <c r="K72" s="14"/>
      <c r="L72" s="13" t="s">
        <v>91</v>
      </c>
      <c r="M72" s="13" t="s">
        <v>254</v>
      </c>
      <c r="N72" s="14"/>
      <c r="O72" s="13" t="s">
        <v>61</v>
      </c>
      <c r="P72" s="13" t="s">
        <v>167</v>
      </c>
      <c r="Q72" s="14"/>
      <c r="R72" s="14"/>
      <c r="S72" s="13" t="s">
        <v>259</v>
      </c>
      <c r="T72" s="13" t="s">
        <v>240</v>
      </c>
      <c r="U72" s="14"/>
      <c r="V72" s="13" t="s">
        <v>33</v>
      </c>
      <c r="W72" s="13" t="s">
        <v>95</v>
      </c>
      <c r="X72" s="14"/>
      <c r="Y72" s="13" t="s">
        <v>257</v>
      </c>
      <c r="Z72" s="13" t="s">
        <v>135</v>
      </c>
      <c r="AA72" s="14"/>
      <c r="AB72" s="13" t="s">
        <v>133</v>
      </c>
      <c r="AC72" s="13" t="s">
        <v>197</v>
      </c>
      <c r="AD72" s="14"/>
      <c r="AE72" s="13" t="s">
        <v>128</v>
      </c>
      <c r="AF72" s="13" t="s">
        <v>124</v>
      </c>
      <c r="AG72" s="14"/>
      <c r="AH72" s="14"/>
      <c r="AI72" s="13" t="s">
        <v>490</v>
      </c>
      <c r="AJ72" s="13" t="s">
        <v>103</v>
      </c>
      <c r="AK72" s="14"/>
      <c r="AL72" s="13" t="s">
        <v>141</v>
      </c>
      <c r="AM72" s="13" t="s">
        <v>134</v>
      </c>
      <c r="AN72" s="14"/>
      <c r="AO72" s="13" t="s">
        <v>44</v>
      </c>
      <c r="AP72" s="13" t="s">
        <v>215</v>
      </c>
      <c r="AQ72" s="14"/>
      <c r="AR72" s="13" t="s">
        <v>157</v>
      </c>
      <c r="AS72" s="13" t="s">
        <v>128</v>
      </c>
      <c r="AT72" s="14"/>
      <c r="AU72" s="13" t="s">
        <v>26</v>
      </c>
      <c r="AV72" s="13" t="s">
        <v>110</v>
      </c>
    </row>
    <row r="73" spans="3:48" s="16" customFormat="1" ht="12" customHeight="1" x14ac:dyDescent="0.25">
      <c r="C73" s="17">
        <v>3</v>
      </c>
      <c r="D73" s="17">
        <v>4</v>
      </c>
      <c r="E73" s="14"/>
      <c r="F73" s="17">
        <v>51</v>
      </c>
      <c r="G73" s="17">
        <v>52</v>
      </c>
      <c r="H73" s="14"/>
      <c r="I73" s="17">
        <v>99</v>
      </c>
      <c r="J73" s="17">
        <v>100</v>
      </c>
      <c r="K73" s="14"/>
      <c r="L73" s="17">
        <v>147</v>
      </c>
      <c r="M73" s="17">
        <v>148</v>
      </c>
      <c r="N73" s="14"/>
      <c r="O73" s="17">
        <v>195</v>
      </c>
      <c r="P73" s="17">
        <v>196</v>
      </c>
      <c r="Q73" s="14"/>
      <c r="R73" s="14"/>
      <c r="S73" s="17">
        <v>243</v>
      </c>
      <c r="T73" s="17">
        <v>244</v>
      </c>
      <c r="U73" s="14"/>
      <c r="V73" s="17">
        <v>291</v>
      </c>
      <c r="W73" s="17">
        <v>292</v>
      </c>
      <c r="X73" s="14"/>
      <c r="Y73" s="17">
        <v>339</v>
      </c>
      <c r="Z73" s="17">
        <v>340</v>
      </c>
      <c r="AA73" s="14"/>
      <c r="AB73" s="17">
        <v>387</v>
      </c>
      <c r="AC73" s="17">
        <v>388</v>
      </c>
      <c r="AD73" s="14"/>
      <c r="AE73" s="17">
        <v>435</v>
      </c>
      <c r="AF73" s="17">
        <v>436</v>
      </c>
      <c r="AG73" s="14"/>
      <c r="AH73" s="14"/>
      <c r="AI73" s="17">
        <v>483</v>
      </c>
      <c r="AJ73" s="17">
        <v>484</v>
      </c>
      <c r="AK73" s="14"/>
      <c r="AL73" s="17">
        <v>531</v>
      </c>
      <c r="AM73" s="17">
        <v>532</v>
      </c>
      <c r="AN73" s="14"/>
      <c r="AO73" s="17">
        <v>579</v>
      </c>
      <c r="AP73" s="17">
        <v>580</v>
      </c>
      <c r="AQ73" s="14"/>
      <c r="AR73" s="17">
        <v>627</v>
      </c>
      <c r="AS73" s="17">
        <v>628</v>
      </c>
      <c r="AT73" s="14"/>
      <c r="AU73" s="17">
        <v>675</v>
      </c>
      <c r="AV73" s="17">
        <v>676</v>
      </c>
    </row>
    <row r="74" spans="3:48" s="16" customFormat="1" ht="12" customHeight="1" x14ac:dyDescent="0.25">
      <c r="C74" s="14"/>
      <c r="D74" s="18"/>
      <c r="E74" s="14"/>
      <c r="F74" s="18"/>
      <c r="G74" s="18"/>
      <c r="H74" s="14"/>
      <c r="I74" s="18"/>
      <c r="J74" s="18"/>
      <c r="K74" s="14"/>
      <c r="L74" s="18"/>
      <c r="M74" s="18"/>
      <c r="N74" s="14"/>
      <c r="O74" s="18"/>
      <c r="P74" s="18"/>
      <c r="Q74" s="14"/>
      <c r="R74" s="14"/>
      <c r="S74" s="18"/>
      <c r="T74" s="18"/>
      <c r="U74" s="14"/>
      <c r="V74" s="18"/>
      <c r="W74" s="18"/>
      <c r="X74" s="14"/>
      <c r="Y74" s="18"/>
      <c r="Z74" s="18"/>
      <c r="AA74" s="14"/>
      <c r="AB74" s="18"/>
      <c r="AC74" s="18"/>
      <c r="AD74" s="14"/>
      <c r="AE74" s="18"/>
      <c r="AF74" s="18"/>
      <c r="AG74" s="14"/>
      <c r="AH74" s="14"/>
      <c r="AI74" s="18"/>
      <c r="AJ74" s="18"/>
      <c r="AK74" s="14"/>
      <c r="AL74" s="18"/>
      <c r="AM74" s="18"/>
      <c r="AN74" s="14"/>
      <c r="AO74" s="18"/>
      <c r="AP74" s="18"/>
      <c r="AQ74" s="14"/>
      <c r="AR74" s="18"/>
      <c r="AS74" s="18"/>
      <c r="AT74" s="14"/>
      <c r="AU74" s="18"/>
      <c r="AV74" s="18"/>
    </row>
    <row r="75" spans="3:48" s="16" customFormat="1" ht="33" customHeight="1" x14ac:dyDescent="0.25">
      <c r="C75" s="13" t="s">
        <v>134</v>
      </c>
      <c r="D75" s="13" t="s">
        <v>43</v>
      </c>
      <c r="E75" s="14"/>
      <c r="F75" s="13" t="s">
        <v>482</v>
      </c>
      <c r="G75" s="13" t="s">
        <v>78</v>
      </c>
      <c r="H75" s="14"/>
      <c r="I75" s="13" t="s">
        <v>159</v>
      </c>
      <c r="J75" s="13" t="s">
        <v>158</v>
      </c>
      <c r="K75" s="14"/>
      <c r="L75" s="13" t="s">
        <v>243</v>
      </c>
      <c r="M75" s="13" t="s">
        <v>161</v>
      </c>
      <c r="N75" s="14"/>
      <c r="O75" s="13" t="s">
        <v>156</v>
      </c>
      <c r="P75" s="13" t="s">
        <v>211</v>
      </c>
      <c r="Q75" s="14"/>
      <c r="R75" s="14"/>
      <c r="S75" s="13" t="s">
        <v>15</v>
      </c>
      <c r="T75" s="13" t="s">
        <v>197</v>
      </c>
      <c r="U75" s="14"/>
      <c r="V75" s="13" t="s">
        <v>84</v>
      </c>
      <c r="W75" s="13" t="s">
        <v>27</v>
      </c>
      <c r="X75" s="14"/>
      <c r="Y75" s="13" t="s">
        <v>74</v>
      </c>
      <c r="Z75" s="13" t="s">
        <v>206</v>
      </c>
      <c r="AA75" s="14"/>
      <c r="AB75" s="13" t="s">
        <v>126</v>
      </c>
      <c r="AC75" s="13" t="s">
        <v>132</v>
      </c>
      <c r="AD75" s="14"/>
      <c r="AE75" s="13" t="s">
        <v>162</v>
      </c>
      <c r="AF75" s="13" t="s">
        <v>163</v>
      </c>
      <c r="AG75" s="14"/>
      <c r="AH75" s="14"/>
      <c r="AI75" s="13" t="s">
        <v>39</v>
      </c>
      <c r="AJ75" s="13" t="s">
        <v>244</v>
      </c>
      <c r="AK75" s="14"/>
      <c r="AL75" s="13" t="s">
        <v>152</v>
      </c>
      <c r="AM75" s="13" t="s">
        <v>127</v>
      </c>
      <c r="AN75" s="14"/>
      <c r="AO75" s="13" t="s">
        <v>264</v>
      </c>
      <c r="AP75" s="13" t="s">
        <v>88</v>
      </c>
      <c r="AQ75" s="14"/>
      <c r="AR75" s="13" t="s">
        <v>74</v>
      </c>
      <c r="AS75" s="13" t="s">
        <v>213</v>
      </c>
      <c r="AT75" s="14"/>
      <c r="AU75" s="13" t="s">
        <v>265</v>
      </c>
      <c r="AV75" s="13" t="s">
        <v>41</v>
      </c>
    </row>
    <row r="76" spans="3:48" s="16" customFormat="1" ht="12" customHeight="1" x14ac:dyDescent="0.25">
      <c r="C76" s="17">
        <v>1</v>
      </c>
      <c r="D76" s="17">
        <v>2</v>
      </c>
      <c r="E76" s="14"/>
      <c r="F76" s="17">
        <v>49</v>
      </c>
      <c r="G76" s="17">
        <v>50</v>
      </c>
      <c r="H76" s="14"/>
      <c r="I76" s="17">
        <v>97</v>
      </c>
      <c r="J76" s="17">
        <v>98</v>
      </c>
      <c r="K76" s="14"/>
      <c r="L76" s="17">
        <v>145</v>
      </c>
      <c r="M76" s="17">
        <v>146</v>
      </c>
      <c r="N76" s="14"/>
      <c r="O76" s="17">
        <v>193</v>
      </c>
      <c r="P76" s="17">
        <v>194</v>
      </c>
      <c r="Q76" s="14"/>
      <c r="R76" s="14"/>
      <c r="S76" s="17">
        <v>241</v>
      </c>
      <c r="T76" s="17">
        <v>242</v>
      </c>
      <c r="U76" s="14"/>
      <c r="V76" s="17">
        <v>289</v>
      </c>
      <c r="W76" s="17">
        <v>290</v>
      </c>
      <c r="X76" s="14"/>
      <c r="Y76" s="17">
        <v>337</v>
      </c>
      <c r="Z76" s="17">
        <v>338</v>
      </c>
      <c r="AA76" s="14"/>
      <c r="AB76" s="17">
        <v>385</v>
      </c>
      <c r="AC76" s="17">
        <v>386</v>
      </c>
      <c r="AD76" s="14"/>
      <c r="AE76" s="17">
        <v>433</v>
      </c>
      <c r="AF76" s="17">
        <v>434</v>
      </c>
      <c r="AG76" s="14"/>
      <c r="AH76" s="14"/>
      <c r="AI76" s="17">
        <v>481</v>
      </c>
      <c r="AJ76" s="17">
        <v>482</v>
      </c>
      <c r="AK76" s="14"/>
      <c r="AL76" s="17">
        <v>529</v>
      </c>
      <c r="AM76" s="17">
        <v>530</v>
      </c>
      <c r="AN76" s="14"/>
      <c r="AO76" s="17">
        <v>577</v>
      </c>
      <c r="AP76" s="17">
        <v>578</v>
      </c>
      <c r="AQ76" s="14"/>
      <c r="AR76" s="17">
        <v>625</v>
      </c>
      <c r="AS76" s="17">
        <v>626</v>
      </c>
      <c r="AT76" s="14"/>
      <c r="AU76" s="17">
        <v>673</v>
      </c>
      <c r="AV76" s="17">
        <v>674</v>
      </c>
    </row>
    <row r="77" spans="3:48" s="16" customFormat="1" ht="33" customHeight="1" x14ac:dyDescent="0.25">
      <c r="C77" s="18"/>
      <c r="D77" s="18"/>
      <c r="E77" s="14"/>
      <c r="F77" s="18"/>
      <c r="G77" s="18"/>
      <c r="H77" s="14"/>
      <c r="I77" s="18"/>
      <c r="J77" s="18"/>
      <c r="K77" s="14"/>
      <c r="L77" s="18"/>
      <c r="M77" s="18"/>
      <c r="N77" s="14"/>
      <c r="O77" s="18"/>
      <c r="P77" s="18"/>
      <c r="Q77" s="14"/>
      <c r="R77" s="14"/>
      <c r="S77" s="18"/>
      <c r="T77" s="18"/>
      <c r="U77" s="14"/>
      <c r="V77" s="18"/>
      <c r="W77" s="18"/>
      <c r="X77" s="14"/>
      <c r="Y77" s="18"/>
      <c r="Z77" s="18"/>
      <c r="AA77" s="14"/>
      <c r="AB77" s="18"/>
      <c r="AC77" s="18"/>
      <c r="AD77" s="14"/>
      <c r="AE77" s="18"/>
      <c r="AF77" s="18"/>
      <c r="AG77" s="14"/>
      <c r="AH77" s="14"/>
      <c r="AI77" s="18"/>
      <c r="AJ77" s="18"/>
      <c r="AK77" s="14"/>
      <c r="AL77" s="18"/>
      <c r="AM77" s="18"/>
      <c r="AN77" s="14"/>
      <c r="AO77" s="18"/>
      <c r="AP77" s="18"/>
      <c r="AQ77" s="14"/>
      <c r="AR77" s="18"/>
      <c r="AS77" s="18"/>
      <c r="AT77" s="14"/>
      <c r="AU77" s="18"/>
      <c r="AV77" s="18"/>
    </row>
    <row r="78" spans="3:48" ht="36" x14ac:dyDescent="0.25">
      <c r="I78" s="47"/>
      <c r="J78" s="20"/>
      <c r="Y78" s="47"/>
      <c r="Z78" s="20"/>
      <c r="AO78" s="47"/>
      <c r="AP78" s="20"/>
    </row>
    <row r="79" spans="3:48" ht="15" customHeight="1" x14ac:dyDescent="0.25">
      <c r="I79" s="47"/>
      <c r="J79" s="20"/>
      <c r="Y79" s="47"/>
      <c r="Z79" s="20"/>
      <c r="AO79" s="47"/>
      <c r="AP79" s="20"/>
    </row>
    <row r="80" spans="3:48" ht="15" customHeight="1" x14ac:dyDescent="0.25">
      <c r="I80" s="21"/>
      <c r="J80" s="21"/>
      <c r="Y80" s="21"/>
      <c r="Z80" s="21"/>
      <c r="AO80" s="21"/>
      <c r="AP80" s="21"/>
    </row>
    <row r="81" spans="9:42" ht="15" customHeight="1" x14ac:dyDescent="0.25">
      <c r="I81" s="21"/>
      <c r="J81" s="21"/>
      <c r="Y81" s="21"/>
      <c r="Z81" s="21"/>
      <c r="AO81" s="21"/>
      <c r="AP81" s="21"/>
    </row>
    <row r="82" spans="9:42" ht="15" customHeight="1" x14ac:dyDescent="0.25">
      <c r="I82" s="21"/>
      <c r="J82" s="21"/>
      <c r="Y82" s="21"/>
      <c r="Z82" s="21"/>
      <c r="AO82" s="21"/>
      <c r="AP82" s="21"/>
    </row>
  </sheetData>
  <mergeCells count="3">
    <mergeCell ref="I78:I79"/>
    <mergeCell ref="Y78:Y79"/>
    <mergeCell ref="AO78:AO79"/>
  </mergeCells>
  <pageMargins left="0.7" right="0.7" top="0.75" bottom="0.75" header="0.3" footer="0.3"/>
  <pageSetup paperSize="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9E75-5533-4DAB-9BE7-CEE5C80D5E6F}">
  <dimension ref="B1:BU212"/>
  <sheetViews>
    <sheetView view="pageBreakPreview" topLeftCell="A33" zoomScale="55" zoomScaleNormal="25" zoomScaleSheetLayoutView="55" workbookViewId="0">
      <selection activeCell="BP58" sqref="BP58:BR58"/>
    </sheetView>
  </sheetViews>
  <sheetFormatPr defaultRowHeight="15" x14ac:dyDescent="0.25"/>
  <cols>
    <col min="2" max="73" width="7.85546875" customWidth="1"/>
  </cols>
  <sheetData>
    <row r="1" spans="2:73" ht="39.75" customHeight="1" x14ac:dyDescent="0.25">
      <c r="B1" s="48" t="s">
        <v>501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22"/>
    </row>
    <row r="2" spans="2:73" ht="39.75" customHeight="1" x14ac:dyDescent="0.25"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22"/>
    </row>
    <row r="3" spans="2:73" ht="64.5" customHeight="1" x14ac:dyDescent="0.6">
      <c r="B3" s="23"/>
      <c r="C3" s="23"/>
      <c r="D3" s="23"/>
      <c r="E3" s="23"/>
      <c r="F3" s="49" t="s">
        <v>502</v>
      </c>
      <c r="G3" s="49"/>
      <c r="H3" s="49"/>
      <c r="I3" s="49"/>
      <c r="J3" s="49"/>
      <c r="K3" s="49"/>
      <c r="L3" s="49"/>
      <c r="M3" s="50" t="s">
        <v>503</v>
      </c>
      <c r="N3" s="49"/>
      <c r="O3" s="49"/>
      <c r="P3" s="49"/>
      <c r="Q3" s="49"/>
      <c r="R3" s="49"/>
      <c r="S3" s="49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</row>
    <row r="4" spans="2:73" ht="39.75" customHeight="1" x14ac:dyDescent="0.25">
      <c r="B4" s="51" t="s">
        <v>504</v>
      </c>
      <c r="C4" s="51"/>
      <c r="D4" s="51"/>
      <c r="E4" s="23"/>
      <c r="F4" s="52">
        <v>0</v>
      </c>
      <c r="G4" s="52"/>
      <c r="H4" s="52"/>
      <c r="I4" s="52"/>
      <c r="J4" s="52"/>
      <c r="K4" s="52"/>
      <c r="L4" s="52"/>
      <c r="M4" s="54">
        <v>0</v>
      </c>
      <c r="N4" s="52"/>
      <c r="O4" s="52"/>
      <c r="P4" s="52"/>
      <c r="Q4" s="52"/>
      <c r="R4" s="52"/>
      <c r="S4" s="5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</row>
    <row r="5" spans="2:73" ht="39.75" customHeight="1" x14ac:dyDescent="0.25">
      <c r="B5" s="51"/>
      <c r="C5" s="51"/>
      <c r="D5" s="51"/>
      <c r="E5" s="23"/>
      <c r="F5" s="53"/>
      <c r="G5" s="53"/>
      <c r="H5" s="53"/>
      <c r="I5" s="53"/>
      <c r="J5" s="53"/>
      <c r="K5" s="53"/>
      <c r="L5" s="53"/>
      <c r="M5" s="55"/>
      <c r="N5" s="53"/>
      <c r="O5" s="53"/>
      <c r="P5" s="53"/>
      <c r="Q5" s="53"/>
      <c r="R5" s="53"/>
      <c r="S5" s="53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</row>
    <row r="6" spans="2:73" ht="39.75" customHeight="1" x14ac:dyDescent="0.25">
      <c r="B6" s="59" t="s">
        <v>505</v>
      </c>
      <c r="C6" s="59"/>
      <c r="D6" s="59"/>
      <c r="E6" s="22"/>
      <c r="F6" s="53">
        <v>60</v>
      </c>
      <c r="G6" s="53"/>
      <c r="H6" s="53"/>
      <c r="I6" s="53"/>
      <c r="J6" s="53"/>
      <c r="K6" s="53"/>
      <c r="L6" s="53"/>
      <c r="M6" s="55">
        <v>60</v>
      </c>
      <c r="N6" s="53"/>
      <c r="O6" s="53"/>
      <c r="P6" s="53"/>
      <c r="Q6" s="53"/>
      <c r="R6" s="53"/>
      <c r="S6" s="53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</row>
    <row r="7" spans="2:73" ht="39.75" customHeight="1" x14ac:dyDescent="0.25">
      <c r="B7" s="59"/>
      <c r="C7" s="59"/>
      <c r="D7" s="59"/>
      <c r="F7" s="53"/>
      <c r="G7" s="53"/>
      <c r="H7" s="53"/>
      <c r="I7" s="53"/>
      <c r="J7" s="53"/>
      <c r="K7" s="53"/>
      <c r="L7" s="53"/>
      <c r="M7" s="55"/>
      <c r="N7" s="53"/>
      <c r="O7" s="53"/>
      <c r="P7" s="53"/>
      <c r="Q7" s="53"/>
      <c r="R7" s="53"/>
      <c r="S7" s="53"/>
    </row>
    <row r="8" spans="2:73" ht="39.75" customHeight="1" thickBot="1" x14ac:dyDescent="0.3"/>
    <row r="9" spans="2:73" ht="54" customHeight="1" x14ac:dyDescent="0.25">
      <c r="B9" s="58" t="s">
        <v>410</v>
      </c>
      <c r="C9" s="56"/>
      <c r="D9" s="56"/>
      <c r="E9" s="56" t="s">
        <v>388</v>
      </c>
      <c r="F9" s="56"/>
      <c r="G9" s="56"/>
      <c r="H9" s="24"/>
      <c r="I9" s="56" t="s">
        <v>415</v>
      </c>
      <c r="J9" s="56"/>
      <c r="K9" s="56"/>
      <c r="L9" s="56" t="s">
        <v>352</v>
      </c>
      <c r="M9" s="56"/>
      <c r="N9" s="56"/>
      <c r="O9" s="24"/>
      <c r="P9" s="56" t="s">
        <v>376</v>
      </c>
      <c r="Q9" s="56"/>
      <c r="R9" s="56"/>
      <c r="S9" s="56" t="s">
        <v>430</v>
      </c>
      <c r="T9" s="56"/>
      <c r="U9" s="56"/>
      <c r="V9" s="24"/>
      <c r="W9" s="56" t="s">
        <v>342</v>
      </c>
      <c r="X9" s="56"/>
      <c r="Y9" s="56"/>
      <c r="Z9" s="56" t="s">
        <v>506</v>
      </c>
      <c r="AA9" s="56"/>
      <c r="AB9" s="56"/>
      <c r="AC9" s="25"/>
      <c r="AD9" s="56" t="s">
        <v>460</v>
      </c>
      <c r="AE9" s="56"/>
      <c r="AF9" s="56"/>
      <c r="AG9" s="56" t="s">
        <v>450</v>
      </c>
      <c r="AH9" s="56"/>
      <c r="AI9" s="57"/>
      <c r="AN9" s="58" t="s">
        <v>466</v>
      </c>
      <c r="AO9" s="56"/>
      <c r="AP9" s="56"/>
      <c r="AQ9" s="56" t="s">
        <v>418</v>
      </c>
      <c r="AR9" s="56"/>
      <c r="AS9" s="56"/>
      <c r="AT9" s="24"/>
      <c r="AU9" s="56" t="s">
        <v>445</v>
      </c>
      <c r="AV9" s="56"/>
      <c r="AW9" s="56"/>
      <c r="AX9" s="56" t="s">
        <v>361</v>
      </c>
      <c r="AY9" s="56"/>
      <c r="AZ9" s="56"/>
      <c r="BA9" s="24"/>
      <c r="BB9" s="56" t="s">
        <v>423</v>
      </c>
      <c r="BC9" s="56"/>
      <c r="BD9" s="56"/>
      <c r="BE9" s="56" t="s">
        <v>345</v>
      </c>
      <c r="BF9" s="56"/>
      <c r="BG9" s="56"/>
      <c r="BH9" s="24"/>
      <c r="BI9" s="56" t="s">
        <v>329</v>
      </c>
      <c r="BJ9" s="56"/>
      <c r="BK9" s="56"/>
      <c r="BL9" s="56" t="s">
        <v>459</v>
      </c>
      <c r="BM9" s="56"/>
      <c r="BN9" s="56"/>
      <c r="BO9" s="25"/>
      <c r="BP9" s="56" t="s">
        <v>348</v>
      </c>
      <c r="BQ9" s="56"/>
      <c r="BR9" s="56"/>
      <c r="BS9" s="56" t="s">
        <v>375</v>
      </c>
      <c r="BT9" s="56"/>
      <c r="BU9" s="57"/>
    </row>
    <row r="10" spans="2:73" ht="27" customHeight="1" x14ac:dyDescent="0.25">
      <c r="B10" s="64">
        <v>1</v>
      </c>
      <c r="C10" s="62"/>
      <c r="D10" s="62"/>
      <c r="E10" s="62">
        <v>2</v>
      </c>
      <c r="F10" s="62"/>
      <c r="G10" s="62"/>
      <c r="H10" s="26"/>
      <c r="I10" s="62">
        <v>3</v>
      </c>
      <c r="J10" s="62"/>
      <c r="K10" s="62"/>
      <c r="L10" s="62">
        <v>4</v>
      </c>
      <c r="M10" s="62"/>
      <c r="N10" s="62"/>
      <c r="O10" s="26"/>
      <c r="P10" s="62">
        <v>5</v>
      </c>
      <c r="Q10" s="62"/>
      <c r="R10" s="62"/>
      <c r="S10" s="62">
        <v>6</v>
      </c>
      <c r="T10" s="62"/>
      <c r="U10" s="62"/>
      <c r="V10" s="26"/>
      <c r="W10" s="62">
        <v>7</v>
      </c>
      <c r="X10" s="62"/>
      <c r="Y10" s="62"/>
      <c r="Z10" s="62">
        <v>8</v>
      </c>
      <c r="AA10" s="62"/>
      <c r="AB10" s="62"/>
      <c r="AC10" s="27"/>
      <c r="AD10" s="62">
        <v>9</v>
      </c>
      <c r="AE10" s="62"/>
      <c r="AF10" s="62"/>
      <c r="AG10" s="62">
        <v>10</v>
      </c>
      <c r="AH10" s="62"/>
      <c r="AI10" s="63"/>
      <c r="AN10" s="64">
        <v>11</v>
      </c>
      <c r="AO10" s="62"/>
      <c r="AP10" s="62"/>
      <c r="AQ10" s="62">
        <v>12</v>
      </c>
      <c r="AR10" s="62"/>
      <c r="AS10" s="62"/>
      <c r="AT10" s="26"/>
      <c r="AU10" s="62">
        <v>13</v>
      </c>
      <c r="AV10" s="62"/>
      <c r="AW10" s="62"/>
      <c r="AX10" s="62">
        <v>14</v>
      </c>
      <c r="AY10" s="62"/>
      <c r="AZ10" s="62"/>
      <c r="BA10" s="26"/>
      <c r="BB10" s="62">
        <v>15</v>
      </c>
      <c r="BC10" s="62"/>
      <c r="BD10" s="62"/>
      <c r="BE10" s="62">
        <v>16</v>
      </c>
      <c r="BF10" s="62"/>
      <c r="BG10" s="62"/>
      <c r="BH10" s="26"/>
      <c r="BI10" s="62">
        <v>17</v>
      </c>
      <c r="BJ10" s="62"/>
      <c r="BK10" s="62"/>
      <c r="BL10" s="62">
        <v>18</v>
      </c>
      <c r="BM10" s="62"/>
      <c r="BN10" s="62"/>
      <c r="BO10" s="27"/>
      <c r="BP10" s="62">
        <v>19</v>
      </c>
      <c r="BQ10" s="62"/>
      <c r="BR10" s="62"/>
      <c r="BS10" s="62">
        <v>20</v>
      </c>
      <c r="BT10" s="62"/>
      <c r="BU10" s="63"/>
    </row>
    <row r="11" spans="2:73" ht="27" customHeight="1" x14ac:dyDescent="0.25">
      <c r="B11" s="28"/>
      <c r="C11" s="29"/>
      <c r="D11" s="29"/>
      <c r="E11" s="29"/>
      <c r="F11" s="29"/>
      <c r="G11" s="29"/>
      <c r="H11" s="26"/>
      <c r="I11" s="29"/>
      <c r="J11" s="29"/>
      <c r="K11" s="29"/>
      <c r="L11" s="29"/>
      <c r="M11" s="29"/>
      <c r="N11" s="29"/>
      <c r="O11" s="26"/>
      <c r="P11" s="29"/>
      <c r="Q11" s="29"/>
      <c r="R11" s="29"/>
      <c r="S11" s="29"/>
      <c r="T11" s="29"/>
      <c r="U11" s="29"/>
      <c r="V11" s="26"/>
      <c r="W11" s="29"/>
      <c r="X11" s="29"/>
      <c r="Y11" s="29"/>
      <c r="Z11" s="29"/>
      <c r="AA11" s="29"/>
      <c r="AB11" s="29"/>
      <c r="AC11" s="26"/>
      <c r="AD11" s="29"/>
      <c r="AE11" s="29"/>
      <c r="AF11" s="29"/>
      <c r="AG11" s="29"/>
      <c r="AH11" s="29"/>
      <c r="AI11" s="30"/>
      <c r="AN11" s="28"/>
      <c r="AO11" s="29"/>
      <c r="AP11" s="29"/>
      <c r="AQ11" s="29"/>
      <c r="AR11" s="29"/>
      <c r="AS11" s="29"/>
      <c r="AT11" s="26"/>
      <c r="AU11" s="29"/>
      <c r="AV11" s="29"/>
      <c r="AW11" s="29"/>
      <c r="AX11" s="29"/>
      <c r="AY11" s="29"/>
      <c r="AZ11" s="29"/>
      <c r="BA11" s="26"/>
      <c r="BB11" s="29"/>
      <c r="BC11" s="29"/>
      <c r="BD11" s="29"/>
      <c r="BE11" s="29"/>
      <c r="BF11" s="29"/>
      <c r="BG11" s="29"/>
      <c r="BH11" s="26"/>
      <c r="BI11" s="29"/>
      <c r="BJ11" s="29"/>
      <c r="BK11" s="29"/>
      <c r="BL11" s="29"/>
      <c r="BM11" s="29"/>
      <c r="BN11" s="29"/>
      <c r="BO11" s="26"/>
      <c r="BP11" s="29"/>
      <c r="BQ11" s="29"/>
      <c r="BR11" s="29"/>
      <c r="BS11" s="29"/>
      <c r="BT11" s="29"/>
      <c r="BU11" s="30"/>
    </row>
    <row r="12" spans="2:73" ht="54" customHeight="1" x14ac:dyDescent="0.25">
      <c r="B12" s="60" t="s">
        <v>368</v>
      </c>
      <c r="C12" s="61"/>
      <c r="D12" s="61"/>
      <c r="E12" s="61" t="s">
        <v>416</v>
      </c>
      <c r="F12" s="61"/>
      <c r="G12" s="61"/>
      <c r="H12" s="26"/>
      <c r="I12" s="61" t="s">
        <v>464</v>
      </c>
      <c r="J12" s="61"/>
      <c r="K12" s="61"/>
      <c r="L12" s="61" t="s">
        <v>321</v>
      </c>
      <c r="M12" s="61"/>
      <c r="N12" s="61"/>
      <c r="O12" s="26"/>
      <c r="P12" s="61" t="s">
        <v>278</v>
      </c>
      <c r="Q12" s="61"/>
      <c r="R12" s="61"/>
      <c r="S12" s="61" t="s">
        <v>424</v>
      </c>
      <c r="T12" s="61"/>
      <c r="U12" s="61"/>
      <c r="V12" s="26"/>
      <c r="W12" s="61" t="s">
        <v>318</v>
      </c>
      <c r="X12" s="61"/>
      <c r="Y12" s="61"/>
      <c r="Z12" s="61" t="s">
        <v>439</v>
      </c>
      <c r="AA12" s="61"/>
      <c r="AB12" s="61"/>
      <c r="AC12" s="27"/>
      <c r="AD12" s="61" t="s">
        <v>507</v>
      </c>
      <c r="AE12" s="61"/>
      <c r="AF12" s="61"/>
      <c r="AG12" s="61" t="s">
        <v>508</v>
      </c>
      <c r="AH12" s="61"/>
      <c r="AI12" s="70"/>
      <c r="AN12" s="60" t="s">
        <v>351</v>
      </c>
      <c r="AO12" s="61"/>
      <c r="AP12" s="61"/>
      <c r="AQ12" s="61" t="s">
        <v>509</v>
      </c>
      <c r="AR12" s="61"/>
      <c r="AS12" s="61"/>
      <c r="AT12" s="26"/>
      <c r="AU12" s="61" t="s">
        <v>386</v>
      </c>
      <c r="AV12" s="61"/>
      <c r="AW12" s="61"/>
      <c r="AX12" s="61" t="s">
        <v>453</v>
      </c>
      <c r="AY12" s="61"/>
      <c r="AZ12" s="61"/>
      <c r="BA12" s="26"/>
      <c r="BB12" s="61" t="s">
        <v>398</v>
      </c>
      <c r="BC12" s="61"/>
      <c r="BD12" s="61"/>
      <c r="BE12" s="61" t="s">
        <v>396</v>
      </c>
      <c r="BF12" s="61"/>
      <c r="BG12" s="61"/>
      <c r="BH12" s="26"/>
      <c r="BI12" s="61" t="s">
        <v>387</v>
      </c>
      <c r="BJ12" s="61"/>
      <c r="BK12" s="61"/>
      <c r="BL12" s="61" t="s">
        <v>294</v>
      </c>
      <c r="BM12" s="61"/>
      <c r="BN12" s="61"/>
      <c r="BO12" s="27"/>
      <c r="BP12" s="61" t="s">
        <v>413</v>
      </c>
      <c r="BQ12" s="61"/>
      <c r="BR12" s="61"/>
      <c r="BS12" s="61" t="s">
        <v>441</v>
      </c>
      <c r="BT12" s="61"/>
      <c r="BU12" s="70"/>
    </row>
    <row r="13" spans="2:73" ht="27" customHeight="1" x14ac:dyDescent="0.25">
      <c r="B13" s="69">
        <v>21</v>
      </c>
      <c r="C13" s="66"/>
      <c r="D13" s="67"/>
      <c r="E13" s="65">
        <v>22</v>
      </c>
      <c r="F13" s="66"/>
      <c r="G13" s="67"/>
      <c r="H13" s="26"/>
      <c r="I13" s="65">
        <v>23</v>
      </c>
      <c r="J13" s="66"/>
      <c r="K13" s="67"/>
      <c r="L13" s="65">
        <v>24</v>
      </c>
      <c r="M13" s="66"/>
      <c r="N13" s="67"/>
      <c r="O13" s="26"/>
      <c r="P13" s="65">
        <v>25</v>
      </c>
      <c r="Q13" s="66"/>
      <c r="R13" s="67"/>
      <c r="S13" s="65">
        <v>26</v>
      </c>
      <c r="T13" s="66"/>
      <c r="U13" s="67"/>
      <c r="V13" s="26"/>
      <c r="W13" s="65">
        <v>27</v>
      </c>
      <c r="X13" s="66"/>
      <c r="Y13" s="67"/>
      <c r="Z13" s="65">
        <v>28</v>
      </c>
      <c r="AA13" s="66"/>
      <c r="AB13" s="67"/>
      <c r="AC13" s="27"/>
      <c r="AD13" s="65">
        <v>29</v>
      </c>
      <c r="AE13" s="66"/>
      <c r="AF13" s="67"/>
      <c r="AG13" s="65">
        <v>30</v>
      </c>
      <c r="AH13" s="66"/>
      <c r="AI13" s="68"/>
      <c r="AN13" s="69">
        <v>31</v>
      </c>
      <c r="AO13" s="66"/>
      <c r="AP13" s="67"/>
      <c r="AQ13" s="65">
        <v>32</v>
      </c>
      <c r="AR13" s="66"/>
      <c r="AS13" s="67"/>
      <c r="AT13" s="26"/>
      <c r="AU13" s="65">
        <v>33</v>
      </c>
      <c r="AV13" s="66"/>
      <c r="AW13" s="67"/>
      <c r="AX13" s="65">
        <v>34</v>
      </c>
      <c r="AY13" s="66"/>
      <c r="AZ13" s="67"/>
      <c r="BA13" s="26"/>
      <c r="BB13" s="65">
        <v>35</v>
      </c>
      <c r="BC13" s="66"/>
      <c r="BD13" s="67"/>
      <c r="BE13" s="65">
        <v>36</v>
      </c>
      <c r="BF13" s="66"/>
      <c r="BG13" s="67"/>
      <c r="BH13" s="26"/>
      <c r="BI13" s="65">
        <v>37</v>
      </c>
      <c r="BJ13" s="66"/>
      <c r="BK13" s="67"/>
      <c r="BL13" s="65">
        <v>38</v>
      </c>
      <c r="BM13" s="66"/>
      <c r="BN13" s="67"/>
      <c r="BO13" s="27"/>
      <c r="BP13" s="65">
        <v>39</v>
      </c>
      <c r="BQ13" s="66"/>
      <c r="BR13" s="67"/>
      <c r="BS13" s="65">
        <v>40</v>
      </c>
      <c r="BT13" s="66"/>
      <c r="BU13" s="68"/>
    </row>
    <row r="14" spans="2:73" ht="27" customHeight="1" x14ac:dyDescent="0.25">
      <c r="B14" s="28"/>
      <c r="C14" s="29"/>
      <c r="D14" s="29"/>
      <c r="E14" s="29"/>
      <c r="F14" s="29"/>
      <c r="G14" s="29"/>
      <c r="H14" s="26"/>
      <c r="I14" s="29"/>
      <c r="J14" s="29"/>
      <c r="K14" s="29"/>
      <c r="L14" s="29"/>
      <c r="M14" s="29"/>
      <c r="N14" s="29"/>
      <c r="O14" s="26"/>
      <c r="P14" s="29"/>
      <c r="Q14" s="29"/>
      <c r="R14" s="29"/>
      <c r="S14" s="29"/>
      <c r="T14" s="29"/>
      <c r="U14" s="29"/>
      <c r="V14" s="26"/>
      <c r="W14" s="29"/>
      <c r="X14" s="29"/>
      <c r="Y14" s="29"/>
      <c r="Z14" s="29"/>
      <c r="AA14" s="29"/>
      <c r="AB14" s="29"/>
      <c r="AC14" s="26"/>
      <c r="AD14" s="29"/>
      <c r="AE14" s="29"/>
      <c r="AF14" s="29"/>
      <c r="AG14" s="29"/>
      <c r="AH14" s="29"/>
      <c r="AI14" s="30"/>
      <c r="AN14" s="28"/>
      <c r="AO14" s="29"/>
      <c r="AP14" s="29"/>
      <c r="AQ14" s="29"/>
      <c r="AR14" s="29"/>
      <c r="AS14" s="29"/>
      <c r="AT14" s="26"/>
      <c r="AU14" s="29"/>
      <c r="AV14" s="29"/>
      <c r="AW14" s="29"/>
      <c r="AX14" s="29"/>
      <c r="AY14" s="29"/>
      <c r="AZ14" s="29"/>
      <c r="BA14" s="26"/>
      <c r="BB14" s="29"/>
      <c r="BC14" s="29"/>
      <c r="BD14" s="29"/>
      <c r="BE14" s="29"/>
      <c r="BF14" s="29"/>
      <c r="BG14" s="29"/>
      <c r="BH14" s="26"/>
      <c r="BI14" s="29"/>
      <c r="BJ14" s="29"/>
      <c r="BK14" s="29"/>
      <c r="BL14" s="29"/>
      <c r="BM14" s="29"/>
      <c r="BN14" s="29"/>
      <c r="BO14" s="26"/>
      <c r="BP14" s="29"/>
      <c r="BQ14" s="29"/>
      <c r="BR14" s="29"/>
      <c r="BS14" s="29"/>
      <c r="BT14" s="29"/>
      <c r="BU14" s="30"/>
    </row>
    <row r="15" spans="2:73" ht="54" customHeight="1" x14ac:dyDescent="0.25">
      <c r="B15" s="60" t="s">
        <v>314</v>
      </c>
      <c r="C15" s="61"/>
      <c r="D15" s="61"/>
      <c r="E15" s="61" t="s">
        <v>393</v>
      </c>
      <c r="F15" s="61"/>
      <c r="G15" s="61"/>
      <c r="H15" s="26"/>
      <c r="I15" s="61" t="s">
        <v>357</v>
      </c>
      <c r="J15" s="61"/>
      <c r="K15" s="61"/>
      <c r="L15" s="61" t="s">
        <v>366</v>
      </c>
      <c r="M15" s="61"/>
      <c r="N15" s="61"/>
      <c r="O15" s="26"/>
      <c r="P15" s="61" t="s">
        <v>331</v>
      </c>
      <c r="Q15" s="61"/>
      <c r="R15" s="61"/>
      <c r="S15" s="61" t="s">
        <v>377</v>
      </c>
      <c r="T15" s="61"/>
      <c r="U15" s="61"/>
      <c r="V15" s="26"/>
      <c r="W15" s="61" t="s">
        <v>457</v>
      </c>
      <c r="X15" s="61"/>
      <c r="Y15" s="61"/>
      <c r="Z15" s="61" t="s">
        <v>373</v>
      </c>
      <c r="AA15" s="61"/>
      <c r="AB15" s="61"/>
      <c r="AC15" s="27"/>
      <c r="AD15" s="61" t="s">
        <v>374</v>
      </c>
      <c r="AE15" s="61"/>
      <c r="AF15" s="61"/>
      <c r="AG15" s="61" t="s">
        <v>306</v>
      </c>
      <c r="AH15" s="61"/>
      <c r="AI15" s="70"/>
      <c r="AN15" s="60" t="s">
        <v>353</v>
      </c>
      <c r="AO15" s="61"/>
      <c r="AP15" s="61"/>
      <c r="AQ15" s="61" t="s">
        <v>431</v>
      </c>
      <c r="AR15" s="61"/>
      <c r="AS15" s="61"/>
      <c r="AT15" s="26"/>
      <c r="AU15" s="61" t="s">
        <v>372</v>
      </c>
      <c r="AV15" s="61"/>
      <c r="AW15" s="61"/>
      <c r="AX15" s="61" t="s">
        <v>315</v>
      </c>
      <c r="AY15" s="61"/>
      <c r="AZ15" s="61"/>
      <c r="BA15" s="26"/>
      <c r="BB15" s="61" t="s">
        <v>446</v>
      </c>
      <c r="BC15" s="61"/>
      <c r="BD15" s="61"/>
      <c r="BE15" s="61" t="s">
        <v>320</v>
      </c>
      <c r="BF15" s="61"/>
      <c r="BG15" s="61"/>
      <c r="BH15" s="26"/>
      <c r="BI15" s="61" t="s">
        <v>510</v>
      </c>
      <c r="BJ15" s="61"/>
      <c r="BK15" s="61"/>
      <c r="BL15" s="61" t="s">
        <v>383</v>
      </c>
      <c r="BM15" s="61"/>
      <c r="BN15" s="61"/>
      <c r="BO15" s="27"/>
      <c r="BP15" s="61" t="s">
        <v>411</v>
      </c>
      <c r="BQ15" s="61"/>
      <c r="BR15" s="61"/>
      <c r="BS15" s="61" t="s">
        <v>359</v>
      </c>
      <c r="BT15" s="61"/>
      <c r="BU15" s="70"/>
    </row>
    <row r="16" spans="2:73" ht="27" customHeight="1" x14ac:dyDescent="0.25">
      <c r="B16" s="69">
        <v>41</v>
      </c>
      <c r="C16" s="66"/>
      <c r="D16" s="67"/>
      <c r="E16" s="65">
        <v>42</v>
      </c>
      <c r="F16" s="66"/>
      <c r="G16" s="67"/>
      <c r="H16" s="26"/>
      <c r="I16" s="65">
        <v>43</v>
      </c>
      <c r="J16" s="66"/>
      <c r="K16" s="67"/>
      <c r="L16" s="65">
        <v>44</v>
      </c>
      <c r="M16" s="66"/>
      <c r="N16" s="67"/>
      <c r="O16" s="26"/>
      <c r="P16" s="65">
        <v>45</v>
      </c>
      <c r="Q16" s="66"/>
      <c r="R16" s="67"/>
      <c r="S16" s="65">
        <v>46</v>
      </c>
      <c r="T16" s="66"/>
      <c r="U16" s="67"/>
      <c r="V16" s="26"/>
      <c r="W16" s="65">
        <v>47</v>
      </c>
      <c r="X16" s="66"/>
      <c r="Y16" s="67"/>
      <c r="Z16" s="65">
        <v>48</v>
      </c>
      <c r="AA16" s="66"/>
      <c r="AB16" s="67"/>
      <c r="AC16" s="27"/>
      <c r="AD16" s="65">
        <v>49</v>
      </c>
      <c r="AE16" s="66"/>
      <c r="AF16" s="67"/>
      <c r="AG16" s="65">
        <v>50</v>
      </c>
      <c r="AH16" s="66"/>
      <c r="AI16" s="68"/>
      <c r="AN16" s="69">
        <v>51</v>
      </c>
      <c r="AO16" s="66"/>
      <c r="AP16" s="67"/>
      <c r="AQ16" s="65">
        <v>52</v>
      </c>
      <c r="AR16" s="66"/>
      <c r="AS16" s="67"/>
      <c r="AT16" s="26"/>
      <c r="AU16" s="65">
        <v>53</v>
      </c>
      <c r="AV16" s="66"/>
      <c r="AW16" s="67"/>
      <c r="AX16" s="65">
        <v>54</v>
      </c>
      <c r="AY16" s="66"/>
      <c r="AZ16" s="67"/>
      <c r="BA16" s="26"/>
      <c r="BB16" s="65">
        <v>55</v>
      </c>
      <c r="BC16" s="66"/>
      <c r="BD16" s="67"/>
      <c r="BE16" s="65">
        <v>56</v>
      </c>
      <c r="BF16" s="66"/>
      <c r="BG16" s="67"/>
      <c r="BH16" s="26"/>
      <c r="BI16" s="65">
        <v>57</v>
      </c>
      <c r="BJ16" s="66"/>
      <c r="BK16" s="67"/>
      <c r="BL16" s="65">
        <v>58</v>
      </c>
      <c r="BM16" s="66"/>
      <c r="BN16" s="67"/>
      <c r="BO16" s="27"/>
      <c r="BP16" s="65">
        <v>59</v>
      </c>
      <c r="BQ16" s="66"/>
      <c r="BR16" s="67"/>
      <c r="BS16" s="65">
        <v>60</v>
      </c>
      <c r="BT16" s="66"/>
      <c r="BU16" s="68"/>
    </row>
    <row r="17" spans="2:73" ht="27" customHeight="1" x14ac:dyDescent="0.25">
      <c r="B17" s="28"/>
      <c r="C17" s="29"/>
      <c r="D17" s="29"/>
      <c r="E17" s="29"/>
      <c r="F17" s="29"/>
      <c r="G17" s="29"/>
      <c r="H17" s="26"/>
      <c r="I17" s="29"/>
      <c r="J17" s="29"/>
      <c r="K17" s="29"/>
      <c r="L17" s="29"/>
      <c r="M17" s="29"/>
      <c r="N17" s="29"/>
      <c r="O17" s="26"/>
      <c r="P17" s="29"/>
      <c r="Q17" s="29"/>
      <c r="R17" s="29"/>
      <c r="S17" s="29"/>
      <c r="T17" s="29"/>
      <c r="U17" s="29"/>
      <c r="V17" s="26"/>
      <c r="W17" s="29"/>
      <c r="X17" s="29"/>
      <c r="Y17" s="29"/>
      <c r="Z17" s="29"/>
      <c r="AA17" s="29"/>
      <c r="AB17" s="29"/>
      <c r="AC17" s="26"/>
      <c r="AD17" s="29"/>
      <c r="AE17" s="29"/>
      <c r="AF17" s="29"/>
      <c r="AG17" s="29"/>
      <c r="AH17" s="29"/>
      <c r="AI17" s="30"/>
      <c r="AN17" s="28"/>
      <c r="AO17" s="29"/>
      <c r="AP17" s="29"/>
      <c r="AQ17" s="29"/>
      <c r="AR17" s="29"/>
      <c r="AS17" s="29"/>
      <c r="AT17" s="26"/>
      <c r="AU17" s="29"/>
      <c r="AV17" s="29"/>
      <c r="AW17" s="29"/>
      <c r="AX17" s="29"/>
      <c r="AY17" s="29"/>
      <c r="AZ17" s="29"/>
      <c r="BA17" s="26"/>
      <c r="BB17" s="29"/>
      <c r="BC17" s="29"/>
      <c r="BD17" s="29"/>
      <c r="BE17" s="29"/>
      <c r="BF17" s="29"/>
      <c r="BG17" s="29"/>
      <c r="BH17" s="26"/>
      <c r="BI17" s="29"/>
      <c r="BJ17" s="29"/>
      <c r="BK17" s="29"/>
      <c r="BL17" s="29"/>
      <c r="BM17" s="29"/>
      <c r="BN17" s="29"/>
      <c r="BO17" s="26"/>
      <c r="BP17" s="29"/>
      <c r="BQ17" s="29"/>
      <c r="BR17" s="29"/>
      <c r="BS17" s="29"/>
      <c r="BT17" s="29"/>
      <c r="BU17" s="30"/>
    </row>
    <row r="18" spans="2:73" ht="54" customHeight="1" x14ac:dyDescent="0.25">
      <c r="B18" s="60" t="s">
        <v>408</v>
      </c>
      <c r="C18" s="61"/>
      <c r="D18" s="61"/>
      <c r="E18" s="61" t="s">
        <v>428</v>
      </c>
      <c r="F18" s="61"/>
      <c r="G18" s="61"/>
      <c r="H18" s="26"/>
      <c r="I18" s="61" t="s">
        <v>511</v>
      </c>
      <c r="J18" s="61"/>
      <c r="K18" s="61"/>
      <c r="L18" s="61" t="s">
        <v>454</v>
      </c>
      <c r="M18" s="61"/>
      <c r="N18" s="61"/>
      <c r="O18" s="26"/>
      <c r="P18" s="61" t="s">
        <v>403</v>
      </c>
      <c r="Q18" s="61"/>
      <c r="R18" s="61"/>
      <c r="S18" s="61" t="s">
        <v>512</v>
      </c>
      <c r="T18" s="61"/>
      <c r="U18" s="61"/>
      <c r="V18" s="26"/>
      <c r="W18" s="61" t="s">
        <v>513</v>
      </c>
      <c r="X18" s="61"/>
      <c r="Y18" s="61"/>
      <c r="Z18" s="61" t="s">
        <v>514</v>
      </c>
      <c r="AA18" s="61"/>
      <c r="AB18" s="61"/>
      <c r="AC18" s="27"/>
      <c r="AD18" s="61" t="s">
        <v>406</v>
      </c>
      <c r="AE18" s="61"/>
      <c r="AF18" s="61"/>
      <c r="AG18" s="61" t="s">
        <v>438</v>
      </c>
      <c r="AH18" s="61"/>
      <c r="AI18" s="70"/>
      <c r="AN18" s="60" t="s">
        <v>335</v>
      </c>
      <c r="AO18" s="61"/>
      <c r="AP18" s="61"/>
      <c r="AQ18" s="61" t="s">
        <v>338</v>
      </c>
      <c r="AR18" s="61"/>
      <c r="AS18" s="61"/>
      <c r="AT18" s="26"/>
      <c r="AU18" s="61" t="s">
        <v>515</v>
      </c>
      <c r="AV18" s="61"/>
      <c r="AW18" s="61"/>
      <c r="AX18" s="61" t="s">
        <v>516</v>
      </c>
      <c r="AY18" s="61"/>
      <c r="AZ18" s="61"/>
      <c r="BA18" s="26"/>
      <c r="BB18" s="61" t="s">
        <v>380</v>
      </c>
      <c r="BC18" s="61"/>
      <c r="BD18" s="61"/>
      <c r="BE18" s="61" t="s">
        <v>429</v>
      </c>
      <c r="BF18" s="61"/>
      <c r="BG18" s="61"/>
      <c r="BH18" s="26"/>
      <c r="BI18" s="61" t="s">
        <v>456</v>
      </c>
      <c r="BJ18" s="61"/>
      <c r="BK18" s="61"/>
      <c r="BL18" s="61" t="s">
        <v>452</v>
      </c>
      <c r="BM18" s="61"/>
      <c r="BN18" s="61"/>
      <c r="BO18" s="27"/>
      <c r="BP18" s="61" t="s">
        <v>344</v>
      </c>
      <c r="BQ18" s="61"/>
      <c r="BR18" s="61"/>
      <c r="BS18" s="61" t="s">
        <v>517</v>
      </c>
      <c r="BT18" s="61"/>
      <c r="BU18" s="70"/>
    </row>
    <row r="19" spans="2:73" ht="27" customHeight="1" x14ac:dyDescent="0.25">
      <c r="B19" s="69">
        <v>61</v>
      </c>
      <c r="C19" s="66"/>
      <c r="D19" s="67"/>
      <c r="E19" s="65">
        <v>62</v>
      </c>
      <c r="F19" s="66"/>
      <c r="G19" s="67"/>
      <c r="H19" s="26"/>
      <c r="I19" s="65">
        <v>63</v>
      </c>
      <c r="J19" s="66"/>
      <c r="K19" s="67"/>
      <c r="L19" s="65">
        <v>64</v>
      </c>
      <c r="M19" s="66"/>
      <c r="N19" s="67"/>
      <c r="O19" s="26"/>
      <c r="P19" s="65">
        <v>65</v>
      </c>
      <c r="Q19" s="66"/>
      <c r="R19" s="67"/>
      <c r="S19" s="65">
        <v>66</v>
      </c>
      <c r="T19" s="66"/>
      <c r="U19" s="67"/>
      <c r="V19" s="26"/>
      <c r="W19" s="65">
        <v>67</v>
      </c>
      <c r="X19" s="66"/>
      <c r="Y19" s="67"/>
      <c r="Z19" s="65">
        <v>68</v>
      </c>
      <c r="AA19" s="66"/>
      <c r="AB19" s="67"/>
      <c r="AC19" s="27"/>
      <c r="AD19" s="65">
        <v>69</v>
      </c>
      <c r="AE19" s="66"/>
      <c r="AF19" s="67"/>
      <c r="AG19" s="65">
        <v>70</v>
      </c>
      <c r="AH19" s="66"/>
      <c r="AI19" s="68"/>
      <c r="AN19" s="69">
        <v>71</v>
      </c>
      <c r="AO19" s="66"/>
      <c r="AP19" s="67"/>
      <c r="AQ19" s="65">
        <v>72</v>
      </c>
      <c r="AR19" s="66"/>
      <c r="AS19" s="67"/>
      <c r="AT19" s="26"/>
      <c r="AU19" s="65">
        <v>73</v>
      </c>
      <c r="AV19" s="66"/>
      <c r="AW19" s="67"/>
      <c r="AX19" s="65">
        <v>74</v>
      </c>
      <c r="AY19" s="66"/>
      <c r="AZ19" s="67"/>
      <c r="BA19" s="26"/>
      <c r="BB19" s="65">
        <v>75</v>
      </c>
      <c r="BC19" s="66"/>
      <c r="BD19" s="67"/>
      <c r="BE19" s="65">
        <v>76</v>
      </c>
      <c r="BF19" s="66"/>
      <c r="BG19" s="67"/>
      <c r="BH19" s="26"/>
      <c r="BI19" s="65">
        <v>77</v>
      </c>
      <c r="BJ19" s="66"/>
      <c r="BK19" s="67"/>
      <c r="BL19" s="65">
        <v>78</v>
      </c>
      <c r="BM19" s="66"/>
      <c r="BN19" s="67"/>
      <c r="BO19" s="27"/>
      <c r="BP19" s="65">
        <v>79</v>
      </c>
      <c r="BQ19" s="66"/>
      <c r="BR19" s="67"/>
      <c r="BS19" s="65">
        <v>80</v>
      </c>
      <c r="BT19" s="66"/>
      <c r="BU19" s="68"/>
    </row>
    <row r="20" spans="2:73" ht="27" customHeight="1" x14ac:dyDescent="0.25">
      <c r="B20" s="28"/>
      <c r="C20" s="29"/>
      <c r="D20" s="29"/>
      <c r="E20" s="29"/>
      <c r="F20" s="29"/>
      <c r="G20" s="29"/>
      <c r="H20" s="26"/>
      <c r="I20" s="29"/>
      <c r="J20" s="29"/>
      <c r="K20" s="29"/>
      <c r="L20" s="29"/>
      <c r="M20" s="29"/>
      <c r="N20" s="29"/>
      <c r="O20" s="26"/>
      <c r="P20" s="29"/>
      <c r="Q20" s="29"/>
      <c r="R20" s="29"/>
      <c r="S20" s="29"/>
      <c r="T20" s="29"/>
      <c r="U20" s="29"/>
      <c r="V20" s="26"/>
      <c r="W20" s="29"/>
      <c r="X20" s="29"/>
      <c r="Y20" s="29"/>
      <c r="Z20" s="29"/>
      <c r="AA20" s="29"/>
      <c r="AB20" s="29"/>
      <c r="AC20" s="26"/>
      <c r="AD20" s="29"/>
      <c r="AE20" s="29"/>
      <c r="AF20" s="29"/>
      <c r="AG20" s="29"/>
      <c r="AH20" s="29"/>
      <c r="AI20" s="30"/>
      <c r="AN20" s="28"/>
      <c r="AO20" s="29"/>
      <c r="AP20" s="29"/>
      <c r="AQ20" s="29"/>
      <c r="AR20" s="29"/>
      <c r="AS20" s="29"/>
      <c r="AT20" s="26"/>
      <c r="AU20" s="29"/>
      <c r="AV20" s="29"/>
      <c r="AW20" s="29"/>
      <c r="AX20" s="29"/>
      <c r="AY20" s="29"/>
      <c r="AZ20" s="29"/>
      <c r="BA20" s="26"/>
      <c r="BB20" s="29"/>
      <c r="BC20" s="29"/>
      <c r="BD20" s="29"/>
      <c r="BE20" s="29"/>
      <c r="BF20" s="29"/>
      <c r="BG20" s="29"/>
      <c r="BH20" s="26"/>
      <c r="BI20" s="29"/>
      <c r="BJ20" s="29"/>
      <c r="BK20" s="29"/>
      <c r="BL20" s="29"/>
      <c r="BM20" s="29"/>
      <c r="BN20" s="29"/>
      <c r="BO20" s="26"/>
      <c r="BP20" s="29"/>
      <c r="BQ20" s="29"/>
      <c r="BR20" s="29"/>
      <c r="BS20" s="29"/>
      <c r="BT20" s="29"/>
      <c r="BU20" s="30"/>
    </row>
    <row r="21" spans="2:73" ht="54" customHeight="1" x14ac:dyDescent="0.25">
      <c r="B21" s="60" t="s">
        <v>365</v>
      </c>
      <c r="C21" s="61"/>
      <c r="D21" s="61"/>
      <c r="E21" s="61" t="s">
        <v>518</v>
      </c>
      <c r="F21" s="61"/>
      <c r="G21" s="61"/>
      <c r="H21" s="26"/>
      <c r="I21" s="61" t="s">
        <v>434</v>
      </c>
      <c r="J21" s="61"/>
      <c r="K21" s="61"/>
      <c r="L21" s="61" t="s">
        <v>370</v>
      </c>
      <c r="M21" s="61"/>
      <c r="N21" s="61"/>
      <c r="O21" s="26"/>
      <c r="P21" s="61" t="s">
        <v>354</v>
      </c>
      <c r="Q21" s="61"/>
      <c r="R21" s="61"/>
      <c r="S21" s="61" t="s">
        <v>519</v>
      </c>
      <c r="T21" s="61"/>
      <c r="U21" s="61"/>
      <c r="V21" s="26"/>
      <c r="W21" s="61" t="s">
        <v>437</v>
      </c>
      <c r="X21" s="61"/>
      <c r="Y21" s="61"/>
      <c r="Z21" s="61" t="s">
        <v>379</v>
      </c>
      <c r="AA21" s="61"/>
      <c r="AB21" s="61"/>
      <c r="AC21" s="27"/>
      <c r="AD21" s="61" t="s">
        <v>449</v>
      </c>
      <c r="AE21" s="61"/>
      <c r="AF21" s="61"/>
      <c r="AG21" s="61" t="s">
        <v>363</v>
      </c>
      <c r="AH21" s="61"/>
      <c r="AI21" s="70"/>
      <c r="AN21" s="60" t="s">
        <v>311</v>
      </c>
      <c r="AO21" s="61"/>
      <c r="AP21" s="61"/>
      <c r="AQ21" s="61" t="s">
        <v>332</v>
      </c>
      <c r="AR21" s="61"/>
      <c r="AS21" s="61"/>
      <c r="AT21" s="26"/>
      <c r="AU21" s="61" t="s">
        <v>378</v>
      </c>
      <c r="AV21" s="61"/>
      <c r="AW21" s="61"/>
      <c r="AX21" s="61" t="s">
        <v>355</v>
      </c>
      <c r="AY21" s="61"/>
      <c r="AZ21" s="61"/>
      <c r="BA21" s="26"/>
      <c r="BB21" s="61" t="s">
        <v>319</v>
      </c>
      <c r="BC21" s="61"/>
      <c r="BD21" s="61"/>
      <c r="BE21" s="61" t="s">
        <v>443</v>
      </c>
      <c r="BF21" s="61"/>
      <c r="BG21" s="61"/>
      <c r="BH21" s="26"/>
      <c r="BI21" s="61" t="s">
        <v>328</v>
      </c>
      <c r="BJ21" s="61"/>
      <c r="BK21" s="61"/>
      <c r="BL21" s="61" t="s">
        <v>399</v>
      </c>
      <c r="BM21" s="61"/>
      <c r="BN21" s="61"/>
      <c r="BO21" s="27"/>
      <c r="BP21" s="61" t="s">
        <v>330</v>
      </c>
      <c r="BQ21" s="61"/>
      <c r="BR21" s="61"/>
      <c r="BS21" s="61" t="s">
        <v>461</v>
      </c>
      <c r="BT21" s="61"/>
      <c r="BU21" s="70"/>
    </row>
    <row r="22" spans="2:73" ht="27" customHeight="1" x14ac:dyDescent="0.25">
      <c r="B22" s="69">
        <v>81</v>
      </c>
      <c r="C22" s="66"/>
      <c r="D22" s="67"/>
      <c r="E22" s="65">
        <v>82</v>
      </c>
      <c r="F22" s="66"/>
      <c r="G22" s="67"/>
      <c r="H22" s="26"/>
      <c r="I22" s="65">
        <v>83</v>
      </c>
      <c r="J22" s="66"/>
      <c r="K22" s="67"/>
      <c r="L22" s="65">
        <v>84</v>
      </c>
      <c r="M22" s="66"/>
      <c r="N22" s="67"/>
      <c r="O22" s="26"/>
      <c r="P22" s="65">
        <v>85</v>
      </c>
      <c r="Q22" s="66"/>
      <c r="R22" s="67"/>
      <c r="S22" s="65">
        <v>86</v>
      </c>
      <c r="T22" s="66"/>
      <c r="U22" s="67"/>
      <c r="V22" s="26"/>
      <c r="W22" s="65">
        <v>87</v>
      </c>
      <c r="X22" s="66"/>
      <c r="Y22" s="67"/>
      <c r="Z22" s="65">
        <v>88</v>
      </c>
      <c r="AA22" s="66"/>
      <c r="AB22" s="67"/>
      <c r="AC22" s="27"/>
      <c r="AD22" s="65">
        <v>89</v>
      </c>
      <c r="AE22" s="66"/>
      <c r="AF22" s="67"/>
      <c r="AG22" s="65">
        <v>90</v>
      </c>
      <c r="AH22" s="66"/>
      <c r="AI22" s="68"/>
      <c r="AN22" s="69">
        <v>91</v>
      </c>
      <c r="AO22" s="66"/>
      <c r="AP22" s="67"/>
      <c r="AQ22" s="65">
        <v>92</v>
      </c>
      <c r="AR22" s="66"/>
      <c r="AS22" s="67"/>
      <c r="AT22" s="26"/>
      <c r="AU22" s="65">
        <v>93</v>
      </c>
      <c r="AV22" s="66"/>
      <c r="AW22" s="67"/>
      <c r="AX22" s="65">
        <v>94</v>
      </c>
      <c r="AY22" s="66"/>
      <c r="AZ22" s="67"/>
      <c r="BA22" s="26"/>
      <c r="BB22" s="65">
        <v>95</v>
      </c>
      <c r="BC22" s="66"/>
      <c r="BD22" s="67"/>
      <c r="BE22" s="65">
        <v>96</v>
      </c>
      <c r="BF22" s="66"/>
      <c r="BG22" s="67"/>
      <c r="BH22" s="26"/>
      <c r="BI22" s="65">
        <v>97</v>
      </c>
      <c r="BJ22" s="66"/>
      <c r="BK22" s="67"/>
      <c r="BL22" s="65">
        <v>98</v>
      </c>
      <c r="BM22" s="66"/>
      <c r="BN22" s="67"/>
      <c r="BO22" s="27"/>
      <c r="BP22" s="65">
        <v>99</v>
      </c>
      <c r="BQ22" s="66"/>
      <c r="BR22" s="67"/>
      <c r="BS22" s="65">
        <v>100</v>
      </c>
      <c r="BT22" s="66"/>
      <c r="BU22" s="68"/>
    </row>
    <row r="23" spans="2:73" ht="27" customHeight="1" x14ac:dyDescent="0.25">
      <c r="B23" s="28"/>
      <c r="C23" s="29"/>
      <c r="D23" s="29"/>
      <c r="E23" s="29"/>
      <c r="F23" s="29"/>
      <c r="G23" s="29"/>
      <c r="H23" s="26"/>
      <c r="I23" s="29"/>
      <c r="J23" s="29"/>
      <c r="K23" s="29"/>
      <c r="L23" s="29"/>
      <c r="M23" s="29"/>
      <c r="N23" s="29"/>
      <c r="O23" s="26"/>
      <c r="P23" s="29"/>
      <c r="Q23" s="29"/>
      <c r="R23" s="29"/>
      <c r="S23" s="29"/>
      <c r="T23" s="29"/>
      <c r="U23" s="29"/>
      <c r="V23" s="26"/>
      <c r="W23" s="29"/>
      <c r="X23" s="29"/>
      <c r="Y23" s="29"/>
      <c r="Z23" s="29"/>
      <c r="AA23" s="29"/>
      <c r="AB23" s="29"/>
      <c r="AC23" s="26"/>
      <c r="AD23" s="29"/>
      <c r="AE23" s="29"/>
      <c r="AF23" s="29"/>
      <c r="AG23" s="29"/>
      <c r="AH23" s="29"/>
      <c r="AI23" s="30"/>
      <c r="AN23" s="28"/>
      <c r="AO23" s="29"/>
      <c r="AP23" s="29"/>
      <c r="AQ23" s="29"/>
      <c r="AR23" s="29"/>
      <c r="AS23" s="29"/>
      <c r="AT23" s="26"/>
      <c r="AU23" s="29"/>
      <c r="AV23" s="29"/>
      <c r="AW23" s="29"/>
      <c r="AX23" s="29"/>
      <c r="AY23" s="29"/>
      <c r="AZ23" s="29"/>
      <c r="BA23" s="26"/>
      <c r="BB23" s="29"/>
      <c r="BC23" s="29"/>
      <c r="BD23" s="29"/>
      <c r="BE23" s="29"/>
      <c r="BF23" s="29"/>
      <c r="BG23" s="29"/>
      <c r="BH23" s="26"/>
      <c r="BI23" s="29"/>
      <c r="BJ23" s="29"/>
      <c r="BK23" s="29"/>
      <c r="BL23" s="29"/>
      <c r="BM23" s="29"/>
      <c r="BN23" s="29"/>
      <c r="BO23" s="26"/>
      <c r="BP23" s="29"/>
      <c r="BQ23" s="29"/>
      <c r="BR23" s="29"/>
      <c r="BS23" s="29"/>
      <c r="BT23" s="29"/>
      <c r="BU23" s="30"/>
    </row>
    <row r="24" spans="2:73" ht="54" customHeight="1" x14ac:dyDescent="0.25">
      <c r="B24" s="60" t="s">
        <v>455</v>
      </c>
      <c r="C24" s="61"/>
      <c r="D24" s="61"/>
      <c r="E24" s="61" t="s">
        <v>394</v>
      </c>
      <c r="F24" s="61"/>
      <c r="G24" s="61"/>
      <c r="H24" s="26"/>
      <c r="I24" s="61" t="s">
        <v>324</v>
      </c>
      <c r="J24" s="61"/>
      <c r="K24" s="61"/>
      <c r="L24" s="61" t="s">
        <v>432</v>
      </c>
      <c r="M24" s="61"/>
      <c r="N24" s="61"/>
      <c r="O24" s="26"/>
      <c r="P24" s="61" t="s">
        <v>323</v>
      </c>
      <c r="Q24" s="61"/>
      <c r="R24" s="61"/>
      <c r="S24" s="61" t="s">
        <v>414</v>
      </c>
      <c r="T24" s="61"/>
      <c r="U24" s="61"/>
      <c r="V24" s="26"/>
      <c r="W24" s="61" t="s">
        <v>389</v>
      </c>
      <c r="X24" s="61"/>
      <c r="Y24" s="61"/>
      <c r="Z24" s="61" t="s">
        <v>436</v>
      </c>
      <c r="AA24" s="61"/>
      <c r="AB24" s="61"/>
      <c r="AC24" s="27"/>
      <c r="AD24" s="61" t="s">
        <v>444</v>
      </c>
      <c r="AE24" s="61"/>
      <c r="AF24" s="61"/>
      <c r="AG24" s="61" t="s">
        <v>435</v>
      </c>
      <c r="AH24" s="61"/>
      <c r="AI24" s="70"/>
      <c r="AN24" s="60" t="s">
        <v>451</v>
      </c>
      <c r="AO24" s="61"/>
      <c r="AP24" s="61"/>
      <c r="AQ24" s="61" t="s">
        <v>317</v>
      </c>
      <c r="AR24" s="61"/>
      <c r="AS24" s="61"/>
      <c r="AT24" s="26"/>
      <c r="AU24" s="61" t="s">
        <v>333</v>
      </c>
      <c r="AV24" s="61"/>
      <c r="AW24" s="61"/>
      <c r="AX24" s="61" t="s">
        <v>385</v>
      </c>
      <c r="AY24" s="61"/>
      <c r="AZ24" s="61"/>
      <c r="BA24" s="26"/>
      <c r="BB24" s="61" t="s">
        <v>362</v>
      </c>
      <c r="BC24" s="61"/>
      <c r="BD24" s="61"/>
      <c r="BE24" s="61" t="s">
        <v>463</v>
      </c>
      <c r="BF24" s="61"/>
      <c r="BG24" s="61"/>
      <c r="BH24" s="26"/>
      <c r="BI24" s="61" t="s">
        <v>409</v>
      </c>
      <c r="BJ24" s="61"/>
      <c r="BK24" s="61"/>
      <c r="BL24" s="61" t="s">
        <v>425</v>
      </c>
      <c r="BM24" s="61"/>
      <c r="BN24" s="61"/>
      <c r="BO24" s="27"/>
      <c r="BP24" s="61" t="s">
        <v>421</v>
      </c>
      <c r="BQ24" s="61"/>
      <c r="BR24" s="61"/>
      <c r="BS24" s="61" t="s">
        <v>447</v>
      </c>
      <c r="BT24" s="61"/>
      <c r="BU24" s="70"/>
    </row>
    <row r="25" spans="2:73" ht="27" customHeight="1" x14ac:dyDescent="0.25">
      <c r="B25" s="69">
        <v>101</v>
      </c>
      <c r="C25" s="66"/>
      <c r="D25" s="67"/>
      <c r="E25" s="65">
        <v>102</v>
      </c>
      <c r="F25" s="66"/>
      <c r="G25" s="67"/>
      <c r="H25" s="26"/>
      <c r="I25" s="65">
        <v>103</v>
      </c>
      <c r="J25" s="66"/>
      <c r="K25" s="67"/>
      <c r="L25" s="65">
        <v>104</v>
      </c>
      <c r="M25" s="66"/>
      <c r="N25" s="67"/>
      <c r="O25" s="26"/>
      <c r="P25" s="65">
        <v>105</v>
      </c>
      <c r="Q25" s="66"/>
      <c r="R25" s="67"/>
      <c r="S25" s="65">
        <v>106</v>
      </c>
      <c r="T25" s="66"/>
      <c r="U25" s="67"/>
      <c r="V25" s="26"/>
      <c r="W25" s="65">
        <v>107</v>
      </c>
      <c r="X25" s="66"/>
      <c r="Y25" s="67"/>
      <c r="Z25" s="65">
        <v>108</v>
      </c>
      <c r="AA25" s="66"/>
      <c r="AB25" s="67"/>
      <c r="AC25" s="27"/>
      <c r="AD25" s="65">
        <v>109</v>
      </c>
      <c r="AE25" s="66"/>
      <c r="AF25" s="67"/>
      <c r="AG25" s="65">
        <v>110</v>
      </c>
      <c r="AH25" s="66"/>
      <c r="AI25" s="68"/>
      <c r="AN25" s="69">
        <v>111</v>
      </c>
      <c r="AO25" s="66"/>
      <c r="AP25" s="67"/>
      <c r="AQ25" s="65">
        <v>112</v>
      </c>
      <c r="AR25" s="66"/>
      <c r="AS25" s="67"/>
      <c r="AT25" s="26"/>
      <c r="AU25" s="65">
        <v>113</v>
      </c>
      <c r="AV25" s="66"/>
      <c r="AW25" s="67"/>
      <c r="AX25" s="65">
        <v>114</v>
      </c>
      <c r="AY25" s="66"/>
      <c r="AZ25" s="67"/>
      <c r="BA25" s="26"/>
      <c r="BB25" s="65">
        <v>115</v>
      </c>
      <c r="BC25" s="66"/>
      <c r="BD25" s="67"/>
      <c r="BE25" s="65">
        <v>116</v>
      </c>
      <c r="BF25" s="66"/>
      <c r="BG25" s="67"/>
      <c r="BH25" s="26"/>
      <c r="BI25" s="65">
        <v>117</v>
      </c>
      <c r="BJ25" s="66"/>
      <c r="BK25" s="67"/>
      <c r="BL25" s="65">
        <v>118</v>
      </c>
      <c r="BM25" s="66"/>
      <c r="BN25" s="67"/>
      <c r="BO25" s="27"/>
      <c r="BP25" s="65">
        <v>119</v>
      </c>
      <c r="BQ25" s="66"/>
      <c r="BR25" s="67"/>
      <c r="BS25" s="65">
        <v>120</v>
      </c>
      <c r="BT25" s="66"/>
      <c r="BU25" s="68"/>
    </row>
    <row r="26" spans="2:73" ht="27" customHeight="1" x14ac:dyDescent="0.25">
      <c r="B26" s="28"/>
      <c r="C26" s="29"/>
      <c r="D26" s="29"/>
      <c r="E26" s="29"/>
      <c r="F26" s="29"/>
      <c r="G26" s="29"/>
      <c r="H26" s="26"/>
      <c r="I26" s="29"/>
      <c r="J26" s="29"/>
      <c r="K26" s="29"/>
      <c r="L26" s="29"/>
      <c r="M26" s="29"/>
      <c r="N26" s="29"/>
      <c r="O26" s="26"/>
      <c r="P26" s="29"/>
      <c r="Q26" s="29"/>
      <c r="R26" s="29"/>
      <c r="S26" s="29"/>
      <c r="T26" s="29"/>
      <c r="U26" s="29"/>
      <c r="V26" s="26"/>
      <c r="W26" s="29"/>
      <c r="X26" s="29"/>
      <c r="Y26" s="29"/>
      <c r="Z26" s="29"/>
      <c r="AA26" s="29"/>
      <c r="AB26" s="29"/>
      <c r="AC26" s="26"/>
      <c r="AD26" s="29"/>
      <c r="AE26" s="29"/>
      <c r="AF26" s="29"/>
      <c r="AG26" s="29"/>
      <c r="AH26" s="29"/>
      <c r="AI26" s="30"/>
      <c r="AN26" s="28"/>
      <c r="AO26" s="29"/>
      <c r="AP26" s="29"/>
      <c r="AQ26" s="29"/>
      <c r="AR26" s="29"/>
      <c r="AS26" s="29"/>
      <c r="AT26" s="26"/>
      <c r="AU26" s="29"/>
      <c r="AV26" s="29"/>
      <c r="AW26" s="29"/>
      <c r="AX26" s="29"/>
      <c r="AY26" s="29"/>
      <c r="AZ26" s="29"/>
      <c r="BA26" s="26"/>
      <c r="BB26" s="29"/>
      <c r="BC26" s="29"/>
      <c r="BD26" s="29"/>
      <c r="BE26" s="29"/>
      <c r="BF26" s="29"/>
      <c r="BG26" s="29"/>
      <c r="BH26" s="26"/>
      <c r="BI26" s="29"/>
      <c r="BJ26" s="29"/>
      <c r="BK26" s="29"/>
      <c r="BL26" s="29"/>
      <c r="BM26" s="29"/>
      <c r="BN26" s="29"/>
      <c r="BO26" s="26"/>
      <c r="BP26" s="29"/>
      <c r="BQ26" s="29"/>
      <c r="BR26" s="29"/>
      <c r="BS26" s="29"/>
      <c r="BT26" s="29"/>
      <c r="BU26" s="30"/>
    </row>
    <row r="27" spans="2:73" ht="54" customHeight="1" x14ac:dyDescent="0.25">
      <c r="B27" s="60" t="s">
        <v>349</v>
      </c>
      <c r="C27" s="61"/>
      <c r="D27" s="61"/>
      <c r="E27" s="61" t="s">
        <v>400</v>
      </c>
      <c r="F27" s="61"/>
      <c r="G27" s="61"/>
      <c r="H27" s="26"/>
      <c r="I27" s="61" t="s">
        <v>417</v>
      </c>
      <c r="J27" s="61"/>
      <c r="K27" s="61"/>
      <c r="L27" s="61" t="s">
        <v>369</v>
      </c>
      <c r="M27" s="61"/>
      <c r="N27" s="61"/>
      <c r="O27" s="26"/>
      <c r="P27" s="61" t="s">
        <v>426</v>
      </c>
      <c r="Q27" s="61"/>
      <c r="R27" s="61"/>
      <c r="S27" s="61" t="s">
        <v>468</v>
      </c>
      <c r="T27" s="61"/>
      <c r="U27" s="61"/>
      <c r="V27" s="26"/>
      <c r="W27" s="61" t="s">
        <v>407</v>
      </c>
      <c r="X27" s="61"/>
      <c r="Y27" s="61"/>
      <c r="Z27" s="61" t="s">
        <v>395</v>
      </c>
      <c r="AA27" s="61"/>
      <c r="AB27" s="61"/>
      <c r="AC27" s="27"/>
      <c r="AD27" s="61" t="s">
        <v>340</v>
      </c>
      <c r="AE27" s="61"/>
      <c r="AF27" s="61"/>
      <c r="AG27" s="61" t="s">
        <v>350</v>
      </c>
      <c r="AH27" s="61"/>
      <c r="AI27" s="70"/>
      <c r="AN27" s="60" t="s">
        <v>384</v>
      </c>
      <c r="AO27" s="61"/>
      <c r="AP27" s="61"/>
      <c r="AQ27" s="61" t="s">
        <v>326</v>
      </c>
      <c r="AR27" s="61"/>
      <c r="AS27" s="61"/>
      <c r="AT27" s="26"/>
      <c r="AU27" s="61" t="s">
        <v>382</v>
      </c>
      <c r="AV27" s="61"/>
      <c r="AW27" s="61"/>
      <c r="AX27" s="61" t="s">
        <v>325</v>
      </c>
      <c r="AY27" s="61"/>
      <c r="AZ27" s="61"/>
      <c r="BA27" s="26"/>
      <c r="BB27" s="61" t="s">
        <v>371</v>
      </c>
      <c r="BC27" s="61"/>
      <c r="BD27" s="61"/>
      <c r="BE27" s="61" t="s">
        <v>520</v>
      </c>
      <c r="BF27" s="61"/>
      <c r="BG27" s="61"/>
      <c r="BH27" s="26"/>
      <c r="BI27" s="61" t="s">
        <v>412</v>
      </c>
      <c r="BJ27" s="61"/>
      <c r="BK27" s="61"/>
      <c r="BL27" s="61" t="s">
        <v>422</v>
      </c>
      <c r="BM27" s="61"/>
      <c r="BN27" s="61"/>
      <c r="BO27" s="27"/>
      <c r="BP27" s="61" t="s">
        <v>404</v>
      </c>
      <c r="BQ27" s="61"/>
      <c r="BR27" s="61"/>
      <c r="BS27" s="61" t="s">
        <v>427</v>
      </c>
      <c r="BT27" s="61"/>
      <c r="BU27" s="70"/>
    </row>
    <row r="28" spans="2:73" ht="27" customHeight="1" x14ac:dyDescent="0.25">
      <c r="B28" s="69">
        <v>121</v>
      </c>
      <c r="C28" s="66"/>
      <c r="D28" s="67"/>
      <c r="E28" s="65">
        <v>122</v>
      </c>
      <c r="F28" s="66"/>
      <c r="G28" s="67"/>
      <c r="H28" s="26"/>
      <c r="I28" s="65">
        <v>123</v>
      </c>
      <c r="J28" s="66"/>
      <c r="K28" s="67"/>
      <c r="L28" s="65">
        <v>124</v>
      </c>
      <c r="M28" s="66"/>
      <c r="N28" s="67"/>
      <c r="O28" s="26"/>
      <c r="P28" s="65">
        <v>125</v>
      </c>
      <c r="Q28" s="66"/>
      <c r="R28" s="67"/>
      <c r="S28" s="65">
        <v>126</v>
      </c>
      <c r="T28" s="66"/>
      <c r="U28" s="67"/>
      <c r="V28" s="26"/>
      <c r="W28" s="65">
        <v>127</v>
      </c>
      <c r="X28" s="66"/>
      <c r="Y28" s="67"/>
      <c r="Z28" s="65">
        <v>128</v>
      </c>
      <c r="AA28" s="66"/>
      <c r="AB28" s="67"/>
      <c r="AC28" s="27"/>
      <c r="AD28" s="65">
        <v>129</v>
      </c>
      <c r="AE28" s="66"/>
      <c r="AF28" s="67"/>
      <c r="AG28" s="65">
        <v>130</v>
      </c>
      <c r="AH28" s="66"/>
      <c r="AI28" s="68"/>
      <c r="AN28" s="69">
        <v>131</v>
      </c>
      <c r="AO28" s="66"/>
      <c r="AP28" s="67"/>
      <c r="AQ28" s="65">
        <v>132</v>
      </c>
      <c r="AR28" s="66"/>
      <c r="AS28" s="67"/>
      <c r="AT28" s="26"/>
      <c r="AU28" s="65">
        <v>133</v>
      </c>
      <c r="AV28" s="66"/>
      <c r="AW28" s="67"/>
      <c r="AX28" s="65">
        <v>134</v>
      </c>
      <c r="AY28" s="66"/>
      <c r="AZ28" s="67"/>
      <c r="BA28" s="26"/>
      <c r="BB28" s="65">
        <v>135</v>
      </c>
      <c r="BC28" s="66"/>
      <c r="BD28" s="67"/>
      <c r="BE28" s="65">
        <v>136</v>
      </c>
      <c r="BF28" s="66"/>
      <c r="BG28" s="67"/>
      <c r="BH28" s="26"/>
      <c r="BI28" s="65">
        <v>137</v>
      </c>
      <c r="BJ28" s="66"/>
      <c r="BK28" s="67"/>
      <c r="BL28" s="65">
        <v>138</v>
      </c>
      <c r="BM28" s="66"/>
      <c r="BN28" s="67"/>
      <c r="BO28" s="27"/>
      <c r="BP28" s="65">
        <v>139</v>
      </c>
      <c r="BQ28" s="66"/>
      <c r="BR28" s="67"/>
      <c r="BS28" s="65">
        <v>140</v>
      </c>
      <c r="BT28" s="66"/>
      <c r="BU28" s="68"/>
    </row>
    <row r="29" spans="2:73" ht="27" customHeight="1" x14ac:dyDescent="0.25">
      <c r="B29" s="28"/>
      <c r="C29" s="29"/>
      <c r="D29" s="29"/>
      <c r="E29" s="29"/>
      <c r="F29" s="29"/>
      <c r="G29" s="29"/>
      <c r="H29" s="26"/>
      <c r="I29" s="29"/>
      <c r="J29" s="29"/>
      <c r="K29" s="29"/>
      <c r="L29" s="29"/>
      <c r="M29" s="29"/>
      <c r="N29" s="29"/>
      <c r="O29" s="26"/>
      <c r="P29" s="29"/>
      <c r="Q29" s="29"/>
      <c r="R29" s="29"/>
      <c r="S29" s="29"/>
      <c r="T29" s="29"/>
      <c r="U29" s="29"/>
      <c r="V29" s="26"/>
      <c r="W29" s="29"/>
      <c r="X29" s="29"/>
      <c r="Y29" s="29"/>
      <c r="Z29" s="29"/>
      <c r="AA29" s="29"/>
      <c r="AB29" s="29"/>
      <c r="AC29" s="26"/>
      <c r="AD29" s="29"/>
      <c r="AE29" s="29"/>
      <c r="AF29" s="29"/>
      <c r="AG29" s="29"/>
      <c r="AH29" s="29"/>
      <c r="AI29" s="30"/>
      <c r="AN29" s="28"/>
      <c r="AO29" s="29"/>
      <c r="AP29" s="29"/>
      <c r="AQ29" s="29"/>
      <c r="AR29" s="29"/>
      <c r="AS29" s="29"/>
      <c r="AT29" s="26"/>
      <c r="AU29" s="29"/>
      <c r="AV29" s="29"/>
      <c r="AW29" s="29"/>
      <c r="AX29" s="29"/>
      <c r="AY29" s="29"/>
      <c r="AZ29" s="29"/>
      <c r="BA29" s="26"/>
      <c r="BB29" s="29"/>
      <c r="BC29" s="29"/>
      <c r="BD29" s="29"/>
      <c r="BE29" s="29"/>
      <c r="BF29" s="29"/>
      <c r="BG29" s="29"/>
      <c r="BH29" s="26"/>
      <c r="BI29" s="29"/>
      <c r="BJ29" s="29"/>
      <c r="BK29" s="29"/>
      <c r="BL29" s="29"/>
      <c r="BM29" s="29"/>
      <c r="BN29" s="29"/>
      <c r="BO29" s="26"/>
      <c r="BP29" s="29"/>
      <c r="BQ29" s="29"/>
      <c r="BR29" s="29"/>
      <c r="BS29" s="29"/>
      <c r="BT29" s="29"/>
      <c r="BU29" s="30"/>
    </row>
    <row r="30" spans="2:73" ht="54" customHeight="1" x14ac:dyDescent="0.25">
      <c r="B30" s="60" t="s">
        <v>467</v>
      </c>
      <c r="C30" s="61"/>
      <c r="D30" s="61"/>
      <c r="E30" s="61" t="s">
        <v>405</v>
      </c>
      <c r="F30" s="61"/>
      <c r="G30" s="61"/>
      <c r="H30" s="26"/>
      <c r="I30" s="61" t="s">
        <v>465</v>
      </c>
      <c r="J30" s="61"/>
      <c r="K30" s="61"/>
      <c r="L30" s="61" t="s">
        <v>521</v>
      </c>
      <c r="M30" s="61"/>
      <c r="N30" s="61"/>
      <c r="O30" s="26"/>
      <c r="P30" s="61" t="s">
        <v>458</v>
      </c>
      <c r="Q30" s="61"/>
      <c r="R30" s="61"/>
      <c r="S30" s="61" t="s">
        <v>356</v>
      </c>
      <c r="T30" s="61"/>
      <c r="U30" s="61"/>
      <c r="V30" s="26"/>
      <c r="W30" s="61" t="s">
        <v>360</v>
      </c>
      <c r="X30" s="61"/>
      <c r="Y30" s="61"/>
      <c r="Z30" s="61" t="s">
        <v>367</v>
      </c>
      <c r="AA30" s="61"/>
      <c r="AB30" s="61"/>
      <c r="AC30" s="27"/>
      <c r="AD30" s="61" t="s">
        <v>390</v>
      </c>
      <c r="AE30" s="61"/>
      <c r="AF30" s="61"/>
      <c r="AG30" s="61" t="s">
        <v>419</v>
      </c>
      <c r="AH30" s="61"/>
      <c r="AI30" s="70"/>
      <c r="AN30" s="60" t="s">
        <v>433</v>
      </c>
      <c r="AO30" s="61"/>
      <c r="AP30" s="61"/>
      <c r="AQ30" s="61" t="s">
        <v>397</v>
      </c>
      <c r="AR30" s="61"/>
      <c r="AS30" s="61"/>
      <c r="AT30" s="26"/>
      <c r="AU30" s="61" t="s">
        <v>381</v>
      </c>
      <c r="AV30" s="61"/>
      <c r="AW30" s="61"/>
      <c r="AX30" s="61" t="s">
        <v>364</v>
      </c>
      <c r="AY30" s="61"/>
      <c r="AZ30" s="61"/>
      <c r="BA30" s="26"/>
      <c r="BB30" s="61" t="s">
        <v>347</v>
      </c>
      <c r="BC30" s="61"/>
      <c r="BD30" s="61"/>
      <c r="BE30" s="61" t="s">
        <v>391</v>
      </c>
      <c r="BF30" s="61"/>
      <c r="BG30" s="61"/>
      <c r="BH30" s="26"/>
      <c r="BI30" s="61" t="s">
        <v>401</v>
      </c>
      <c r="BJ30" s="61"/>
      <c r="BK30" s="61"/>
      <c r="BL30" s="61" t="s">
        <v>402</v>
      </c>
      <c r="BM30" s="61"/>
      <c r="BN30" s="61"/>
      <c r="BO30" s="27"/>
      <c r="BP30" s="61" t="s">
        <v>442</v>
      </c>
      <c r="BQ30" s="61"/>
      <c r="BR30" s="61"/>
      <c r="BS30" s="61" t="s">
        <v>392</v>
      </c>
      <c r="BT30" s="61"/>
      <c r="BU30" s="70"/>
    </row>
    <row r="31" spans="2:73" ht="27" customHeight="1" x14ac:dyDescent="0.25">
      <c r="B31" s="69">
        <v>141</v>
      </c>
      <c r="C31" s="66"/>
      <c r="D31" s="67"/>
      <c r="E31" s="65">
        <v>142</v>
      </c>
      <c r="F31" s="66"/>
      <c r="G31" s="67"/>
      <c r="H31" s="26"/>
      <c r="I31" s="65">
        <v>143</v>
      </c>
      <c r="J31" s="66"/>
      <c r="K31" s="67"/>
      <c r="L31" s="65">
        <v>144</v>
      </c>
      <c r="M31" s="66"/>
      <c r="N31" s="67"/>
      <c r="O31" s="26"/>
      <c r="P31" s="65">
        <v>145</v>
      </c>
      <c r="Q31" s="66"/>
      <c r="R31" s="67"/>
      <c r="S31" s="65">
        <v>146</v>
      </c>
      <c r="T31" s="66"/>
      <c r="U31" s="67"/>
      <c r="V31" s="26"/>
      <c r="W31" s="65">
        <v>147</v>
      </c>
      <c r="X31" s="66"/>
      <c r="Y31" s="67"/>
      <c r="Z31" s="65">
        <v>148</v>
      </c>
      <c r="AA31" s="66"/>
      <c r="AB31" s="67"/>
      <c r="AC31" s="27"/>
      <c r="AD31" s="65">
        <v>149</v>
      </c>
      <c r="AE31" s="66"/>
      <c r="AF31" s="67"/>
      <c r="AG31" s="65">
        <v>150</v>
      </c>
      <c r="AH31" s="66"/>
      <c r="AI31" s="68"/>
      <c r="AN31" s="69">
        <v>151</v>
      </c>
      <c r="AO31" s="66"/>
      <c r="AP31" s="67"/>
      <c r="AQ31" s="65">
        <v>152</v>
      </c>
      <c r="AR31" s="66"/>
      <c r="AS31" s="67"/>
      <c r="AT31" s="26"/>
      <c r="AU31" s="65">
        <v>153</v>
      </c>
      <c r="AV31" s="66"/>
      <c r="AW31" s="67"/>
      <c r="AX31" s="65">
        <v>154</v>
      </c>
      <c r="AY31" s="66"/>
      <c r="AZ31" s="67"/>
      <c r="BA31" s="26"/>
      <c r="BB31" s="65">
        <v>155</v>
      </c>
      <c r="BC31" s="66"/>
      <c r="BD31" s="67"/>
      <c r="BE31" s="65">
        <v>156</v>
      </c>
      <c r="BF31" s="66"/>
      <c r="BG31" s="67"/>
      <c r="BH31" s="26"/>
      <c r="BI31" s="65">
        <v>157</v>
      </c>
      <c r="BJ31" s="66"/>
      <c r="BK31" s="67"/>
      <c r="BL31" s="65">
        <v>158</v>
      </c>
      <c r="BM31" s="66"/>
      <c r="BN31" s="67"/>
      <c r="BO31" s="27"/>
      <c r="BP31" s="65">
        <v>159</v>
      </c>
      <c r="BQ31" s="66"/>
      <c r="BR31" s="67"/>
      <c r="BS31" s="65">
        <v>160</v>
      </c>
      <c r="BT31" s="66"/>
      <c r="BU31" s="68"/>
    </row>
    <row r="32" spans="2:73" ht="27" customHeight="1" x14ac:dyDescent="0.25">
      <c r="B32" s="28"/>
      <c r="C32" s="29"/>
      <c r="D32" s="29"/>
      <c r="E32" s="29"/>
      <c r="F32" s="29"/>
      <c r="G32" s="29"/>
      <c r="H32" s="26"/>
      <c r="I32" s="29"/>
      <c r="J32" s="29"/>
      <c r="K32" s="29"/>
      <c r="L32" s="29"/>
      <c r="M32" s="29"/>
      <c r="N32" s="29"/>
      <c r="O32" s="26"/>
      <c r="P32" s="29"/>
      <c r="Q32" s="29"/>
      <c r="R32" s="29"/>
      <c r="S32" s="29"/>
      <c r="T32" s="29"/>
      <c r="U32" s="29"/>
      <c r="W32" s="12"/>
      <c r="X32" s="12"/>
      <c r="Y32" s="12"/>
      <c r="Z32" s="12"/>
      <c r="AA32" s="12"/>
      <c r="AB32" s="12"/>
      <c r="AD32" s="12"/>
      <c r="AE32" s="12"/>
      <c r="AF32" s="12"/>
      <c r="AG32" s="12"/>
      <c r="AH32" s="12"/>
      <c r="AI32" s="31"/>
      <c r="AN32" s="32"/>
      <c r="AO32" s="12"/>
      <c r="AP32" s="12"/>
      <c r="AQ32" s="12"/>
      <c r="AR32" s="12"/>
      <c r="AS32" s="12"/>
      <c r="AU32" s="12"/>
      <c r="AV32" s="12"/>
      <c r="AW32" s="12"/>
      <c r="AX32" s="12"/>
      <c r="AY32" s="12"/>
      <c r="AZ32" s="12"/>
      <c r="BB32" s="12"/>
      <c r="BC32" s="12"/>
      <c r="BD32" s="12"/>
      <c r="BE32" s="12"/>
      <c r="BF32" s="12"/>
      <c r="BG32" s="12"/>
      <c r="BI32" s="12"/>
      <c r="BJ32" s="12"/>
      <c r="BK32" s="12"/>
      <c r="BL32" s="12"/>
      <c r="BM32" s="12"/>
      <c r="BN32" s="12"/>
      <c r="BP32" s="12"/>
      <c r="BQ32" s="12"/>
      <c r="BR32" s="12"/>
      <c r="BS32" s="12"/>
      <c r="BT32" s="12"/>
      <c r="BU32" s="31"/>
    </row>
    <row r="33" spans="2:73" ht="54" customHeight="1" x14ac:dyDescent="0.25">
      <c r="B33" s="60" t="s">
        <v>448</v>
      </c>
      <c r="C33" s="61"/>
      <c r="D33" s="61"/>
      <c r="E33" s="61" t="s">
        <v>440</v>
      </c>
      <c r="F33" s="61"/>
      <c r="G33" s="61"/>
      <c r="H33" s="26"/>
      <c r="I33" s="61" t="s">
        <v>316</v>
      </c>
      <c r="J33" s="61"/>
      <c r="K33" s="61"/>
      <c r="L33" s="61" t="s">
        <v>358</v>
      </c>
      <c r="M33" s="61"/>
      <c r="N33" s="61"/>
      <c r="O33" s="26"/>
      <c r="P33" s="61" t="s">
        <v>462</v>
      </c>
      <c r="Q33" s="61"/>
      <c r="R33" s="61"/>
      <c r="S33" s="61" t="s">
        <v>420</v>
      </c>
      <c r="T33" s="61"/>
      <c r="U33" s="61"/>
      <c r="W33" s="71" t="s">
        <v>306</v>
      </c>
      <c r="X33" s="71"/>
      <c r="Y33" s="71"/>
      <c r="Z33" s="71" t="s">
        <v>383</v>
      </c>
      <c r="AA33" s="71"/>
      <c r="AB33" s="71"/>
      <c r="AC33" s="33"/>
      <c r="AD33" s="71" t="s">
        <v>415</v>
      </c>
      <c r="AE33" s="71"/>
      <c r="AF33" s="71"/>
      <c r="AG33" s="71" t="s">
        <v>408</v>
      </c>
      <c r="AH33" s="71"/>
      <c r="AI33" s="72"/>
      <c r="AN33" s="76" t="s">
        <v>520</v>
      </c>
      <c r="AO33" s="71"/>
      <c r="AP33" s="71"/>
      <c r="AQ33" s="71" t="s">
        <v>386</v>
      </c>
      <c r="AR33" s="71"/>
      <c r="AS33" s="71"/>
      <c r="AT33" s="34"/>
      <c r="AU33" s="71" t="s">
        <v>342</v>
      </c>
      <c r="AV33" s="71"/>
      <c r="AW33" s="71"/>
      <c r="AX33" s="71" t="s">
        <v>437</v>
      </c>
      <c r="AY33" s="71"/>
      <c r="AZ33" s="71"/>
      <c r="BA33" s="34"/>
      <c r="BB33" s="71" t="s">
        <v>404</v>
      </c>
      <c r="BC33" s="71"/>
      <c r="BD33" s="71"/>
      <c r="BE33" s="71" t="s">
        <v>519</v>
      </c>
      <c r="BF33" s="71"/>
      <c r="BG33" s="71"/>
      <c r="BH33" s="34"/>
      <c r="BI33" s="71" t="s">
        <v>363</v>
      </c>
      <c r="BJ33" s="71"/>
      <c r="BK33" s="71"/>
      <c r="BL33" s="71" t="s">
        <v>352</v>
      </c>
      <c r="BM33" s="71"/>
      <c r="BN33" s="71"/>
      <c r="BO33" s="33"/>
      <c r="BP33" s="71" t="s">
        <v>452</v>
      </c>
      <c r="BQ33" s="71"/>
      <c r="BR33" s="71"/>
      <c r="BS33" s="71" t="s">
        <v>425</v>
      </c>
      <c r="BT33" s="71"/>
      <c r="BU33" s="72"/>
    </row>
    <row r="34" spans="2:73" ht="27" customHeight="1" x14ac:dyDescent="0.25">
      <c r="B34" s="69">
        <v>161</v>
      </c>
      <c r="C34" s="66"/>
      <c r="D34" s="67"/>
      <c r="E34" s="65">
        <v>162</v>
      </c>
      <c r="F34" s="66"/>
      <c r="G34" s="67"/>
      <c r="H34" s="26"/>
      <c r="I34" s="65">
        <v>163</v>
      </c>
      <c r="J34" s="66"/>
      <c r="K34" s="67"/>
      <c r="L34" s="65">
        <v>164</v>
      </c>
      <c r="M34" s="66"/>
      <c r="N34" s="67"/>
      <c r="O34" s="26"/>
      <c r="P34" s="65">
        <v>165</v>
      </c>
      <c r="Q34" s="66"/>
      <c r="R34" s="67"/>
      <c r="S34" s="65">
        <v>166</v>
      </c>
      <c r="T34" s="66"/>
      <c r="U34" s="67"/>
      <c r="W34" s="73">
        <v>167</v>
      </c>
      <c r="X34" s="74"/>
      <c r="Y34" s="75"/>
      <c r="Z34" s="73">
        <v>168</v>
      </c>
      <c r="AA34" s="74"/>
      <c r="AB34" s="75"/>
      <c r="AC34" s="33"/>
      <c r="AD34" s="73">
        <v>169</v>
      </c>
      <c r="AE34" s="74"/>
      <c r="AF34" s="75"/>
      <c r="AG34" s="73">
        <v>170</v>
      </c>
      <c r="AH34" s="74"/>
      <c r="AI34" s="77"/>
      <c r="AN34" s="78">
        <v>171</v>
      </c>
      <c r="AO34" s="74"/>
      <c r="AP34" s="75"/>
      <c r="AQ34" s="73">
        <v>172</v>
      </c>
      <c r="AR34" s="74"/>
      <c r="AS34" s="75"/>
      <c r="AT34" s="34"/>
      <c r="AU34" s="73">
        <v>173</v>
      </c>
      <c r="AV34" s="74"/>
      <c r="AW34" s="75"/>
      <c r="AX34" s="73">
        <v>174</v>
      </c>
      <c r="AY34" s="74"/>
      <c r="AZ34" s="75"/>
      <c r="BA34" s="34"/>
      <c r="BB34" s="73">
        <v>175</v>
      </c>
      <c r="BC34" s="74"/>
      <c r="BD34" s="75"/>
      <c r="BE34" s="73">
        <v>176</v>
      </c>
      <c r="BF34" s="74"/>
      <c r="BG34" s="75"/>
      <c r="BH34" s="34"/>
      <c r="BI34" s="73">
        <v>177</v>
      </c>
      <c r="BJ34" s="74"/>
      <c r="BK34" s="75"/>
      <c r="BL34" s="73">
        <v>178</v>
      </c>
      <c r="BM34" s="74"/>
      <c r="BN34" s="75"/>
      <c r="BO34" s="33"/>
      <c r="BP34" s="73">
        <v>179</v>
      </c>
      <c r="BQ34" s="74"/>
      <c r="BR34" s="75"/>
      <c r="BS34" s="73">
        <v>180</v>
      </c>
      <c r="BT34" s="74"/>
      <c r="BU34" s="77"/>
    </row>
    <row r="35" spans="2:73" ht="27" customHeight="1" x14ac:dyDescent="0.25">
      <c r="B35" s="35"/>
      <c r="W35" s="36"/>
      <c r="X35" s="36"/>
      <c r="Y35" s="36"/>
      <c r="Z35" s="36"/>
      <c r="AA35" s="36"/>
      <c r="AB35" s="36"/>
      <c r="AC35" s="34"/>
      <c r="AD35" s="36"/>
      <c r="AE35" s="36"/>
      <c r="AF35" s="36"/>
      <c r="AG35" s="36"/>
      <c r="AH35" s="36"/>
      <c r="AI35" s="37"/>
      <c r="AN35" s="38"/>
      <c r="AO35" s="36"/>
      <c r="AP35" s="36"/>
      <c r="AQ35" s="36"/>
      <c r="AR35" s="36"/>
      <c r="AS35" s="36"/>
      <c r="AT35" s="34"/>
      <c r="AU35" s="36"/>
      <c r="AV35" s="36"/>
      <c r="AW35" s="36"/>
      <c r="AX35" s="36"/>
      <c r="AY35" s="36"/>
      <c r="AZ35" s="36"/>
      <c r="BA35" s="34"/>
      <c r="BB35" s="36"/>
      <c r="BC35" s="36"/>
      <c r="BD35" s="36"/>
      <c r="BE35" s="36"/>
      <c r="BF35" s="36"/>
      <c r="BG35" s="36"/>
      <c r="BH35" s="34"/>
      <c r="BI35" s="36"/>
      <c r="BJ35" s="36"/>
      <c r="BK35" s="36"/>
      <c r="BL35" s="36"/>
      <c r="BM35" s="36"/>
      <c r="BN35" s="36"/>
      <c r="BO35" s="34"/>
      <c r="BP35" s="36"/>
      <c r="BQ35" s="36"/>
      <c r="BR35" s="36"/>
      <c r="BS35" s="36"/>
      <c r="BT35" s="36"/>
      <c r="BU35" s="37"/>
    </row>
    <row r="36" spans="2:73" ht="54" customHeight="1" x14ac:dyDescent="0.25">
      <c r="B36" s="76" t="s">
        <v>329</v>
      </c>
      <c r="C36" s="71"/>
      <c r="D36" s="71"/>
      <c r="E36" s="71" t="s">
        <v>353</v>
      </c>
      <c r="F36" s="71"/>
      <c r="G36" s="71"/>
      <c r="H36" s="34"/>
      <c r="I36" s="71" t="s">
        <v>441</v>
      </c>
      <c r="J36" s="71"/>
      <c r="K36" s="71"/>
      <c r="L36" s="71" t="s">
        <v>356</v>
      </c>
      <c r="M36" s="71"/>
      <c r="N36" s="71"/>
      <c r="O36" s="34"/>
      <c r="P36" s="71" t="s">
        <v>521</v>
      </c>
      <c r="Q36" s="71"/>
      <c r="R36" s="71"/>
      <c r="S36" s="71" t="s">
        <v>414</v>
      </c>
      <c r="T36" s="71"/>
      <c r="U36" s="71"/>
      <c r="V36" s="34"/>
      <c r="W36" s="71" t="s">
        <v>434</v>
      </c>
      <c r="X36" s="71"/>
      <c r="Y36" s="71"/>
      <c r="Z36" s="71" t="s">
        <v>464</v>
      </c>
      <c r="AA36" s="71"/>
      <c r="AB36" s="71"/>
      <c r="AC36" s="33"/>
      <c r="AD36" s="71" t="s">
        <v>451</v>
      </c>
      <c r="AE36" s="71"/>
      <c r="AF36" s="71"/>
      <c r="AG36" s="71" t="s">
        <v>320</v>
      </c>
      <c r="AH36" s="71"/>
      <c r="AI36" s="72"/>
      <c r="AN36" s="76" t="s">
        <v>393</v>
      </c>
      <c r="AO36" s="71"/>
      <c r="AP36" s="71"/>
      <c r="AQ36" s="71" t="s">
        <v>369</v>
      </c>
      <c r="AR36" s="71"/>
      <c r="AS36" s="71"/>
      <c r="AT36" s="34"/>
      <c r="AU36" s="71" t="s">
        <v>459</v>
      </c>
      <c r="AV36" s="71"/>
      <c r="AW36" s="71"/>
      <c r="AX36" s="71" t="s">
        <v>508</v>
      </c>
      <c r="AY36" s="71"/>
      <c r="AZ36" s="71"/>
      <c r="BA36" s="34"/>
      <c r="BB36" s="71" t="s">
        <v>357</v>
      </c>
      <c r="BC36" s="71"/>
      <c r="BD36" s="71"/>
      <c r="BE36" s="71" t="s">
        <v>442</v>
      </c>
      <c r="BF36" s="71"/>
      <c r="BG36" s="71"/>
      <c r="BH36" s="34"/>
      <c r="BI36" s="71" t="s">
        <v>382</v>
      </c>
      <c r="BJ36" s="71"/>
      <c r="BK36" s="71"/>
      <c r="BL36" s="71" t="s">
        <v>340</v>
      </c>
      <c r="BM36" s="71"/>
      <c r="BN36" s="71"/>
      <c r="BO36" s="33"/>
      <c r="BP36" s="71" t="s">
        <v>392</v>
      </c>
      <c r="BQ36" s="71"/>
      <c r="BR36" s="71"/>
      <c r="BS36" s="71" t="s">
        <v>466</v>
      </c>
      <c r="BT36" s="71"/>
      <c r="BU36" s="72"/>
    </row>
    <row r="37" spans="2:73" ht="27" customHeight="1" thickBot="1" x14ac:dyDescent="0.3">
      <c r="B37" s="83">
        <v>181</v>
      </c>
      <c r="C37" s="80"/>
      <c r="D37" s="81"/>
      <c r="E37" s="79">
        <v>182</v>
      </c>
      <c r="F37" s="80"/>
      <c r="G37" s="81"/>
      <c r="H37" s="39"/>
      <c r="I37" s="79">
        <v>183</v>
      </c>
      <c r="J37" s="80"/>
      <c r="K37" s="81"/>
      <c r="L37" s="79">
        <v>184</v>
      </c>
      <c r="M37" s="80"/>
      <c r="N37" s="81"/>
      <c r="O37" s="39"/>
      <c r="P37" s="79">
        <v>185</v>
      </c>
      <c r="Q37" s="80"/>
      <c r="R37" s="81"/>
      <c r="S37" s="79">
        <v>186</v>
      </c>
      <c r="T37" s="80"/>
      <c r="U37" s="81"/>
      <c r="V37" s="39"/>
      <c r="W37" s="79">
        <v>187</v>
      </c>
      <c r="X37" s="80"/>
      <c r="Y37" s="81"/>
      <c r="Z37" s="79">
        <v>188</v>
      </c>
      <c r="AA37" s="80"/>
      <c r="AB37" s="81"/>
      <c r="AC37" s="40"/>
      <c r="AD37" s="79">
        <v>189</v>
      </c>
      <c r="AE37" s="80"/>
      <c r="AF37" s="81"/>
      <c r="AG37" s="79">
        <v>190</v>
      </c>
      <c r="AH37" s="80"/>
      <c r="AI37" s="82"/>
      <c r="AN37" s="83">
        <v>191</v>
      </c>
      <c r="AO37" s="80"/>
      <c r="AP37" s="81"/>
      <c r="AQ37" s="79">
        <v>192</v>
      </c>
      <c r="AR37" s="80"/>
      <c r="AS37" s="81"/>
      <c r="AT37" s="39"/>
      <c r="AU37" s="79">
        <v>193</v>
      </c>
      <c r="AV37" s="80"/>
      <c r="AW37" s="81"/>
      <c r="AX37" s="79">
        <v>194</v>
      </c>
      <c r="AY37" s="80"/>
      <c r="AZ37" s="81"/>
      <c r="BA37" s="39"/>
      <c r="BB37" s="79">
        <v>195</v>
      </c>
      <c r="BC37" s="80"/>
      <c r="BD37" s="81"/>
      <c r="BE37" s="79">
        <v>196</v>
      </c>
      <c r="BF37" s="80"/>
      <c r="BG37" s="81"/>
      <c r="BH37" s="39"/>
      <c r="BI37" s="79">
        <v>197</v>
      </c>
      <c r="BJ37" s="80"/>
      <c r="BK37" s="81"/>
      <c r="BL37" s="79">
        <v>198</v>
      </c>
      <c r="BM37" s="80"/>
      <c r="BN37" s="81"/>
      <c r="BO37" s="40"/>
      <c r="BP37" s="79">
        <v>199</v>
      </c>
      <c r="BQ37" s="80"/>
      <c r="BR37" s="81"/>
      <c r="BS37" s="79">
        <v>200</v>
      </c>
      <c r="BT37" s="80"/>
      <c r="BU37" s="82"/>
    </row>
    <row r="38" spans="2:73" ht="53.25" customHeight="1" x14ac:dyDescent="0.25"/>
    <row r="39" spans="2:73" ht="53.25" customHeight="1" thickBot="1" x14ac:dyDescent="0.3"/>
    <row r="40" spans="2:73" ht="54" customHeight="1" x14ac:dyDescent="0.25">
      <c r="B40" s="86" t="s">
        <v>328</v>
      </c>
      <c r="C40" s="84"/>
      <c r="D40" s="84"/>
      <c r="E40" s="84" t="s">
        <v>465</v>
      </c>
      <c r="F40" s="84"/>
      <c r="G40" s="84"/>
      <c r="H40" s="41"/>
      <c r="I40" s="84" t="s">
        <v>506</v>
      </c>
      <c r="J40" s="84"/>
      <c r="K40" s="84"/>
      <c r="L40" s="84" t="s">
        <v>366</v>
      </c>
      <c r="M40" s="84"/>
      <c r="N40" s="84"/>
      <c r="O40" s="41"/>
      <c r="P40" s="84" t="s">
        <v>463</v>
      </c>
      <c r="Q40" s="84"/>
      <c r="R40" s="84"/>
      <c r="S40" s="84" t="s">
        <v>446</v>
      </c>
      <c r="T40" s="84"/>
      <c r="U40" s="84"/>
      <c r="V40" s="41"/>
      <c r="W40" s="84" t="s">
        <v>317</v>
      </c>
      <c r="X40" s="84"/>
      <c r="Y40" s="84"/>
      <c r="Z40" s="84" t="s">
        <v>518</v>
      </c>
      <c r="AA40" s="84"/>
      <c r="AB40" s="84"/>
      <c r="AC40" s="42"/>
      <c r="AD40" s="84" t="s">
        <v>324</v>
      </c>
      <c r="AE40" s="84"/>
      <c r="AF40" s="84"/>
      <c r="AG40" s="84" t="s">
        <v>454</v>
      </c>
      <c r="AH40" s="84"/>
      <c r="AI40" s="85"/>
      <c r="AN40" s="86" t="s">
        <v>355</v>
      </c>
      <c r="AO40" s="84"/>
      <c r="AP40" s="84"/>
      <c r="AQ40" s="84" t="s">
        <v>468</v>
      </c>
      <c r="AR40" s="84"/>
      <c r="AS40" s="84"/>
      <c r="AT40" s="41"/>
      <c r="AU40" s="84" t="s">
        <v>358</v>
      </c>
      <c r="AV40" s="84"/>
      <c r="AW40" s="84"/>
      <c r="AX40" s="84" t="s">
        <v>278</v>
      </c>
      <c r="AY40" s="84"/>
      <c r="AZ40" s="84"/>
      <c r="BA40" s="41"/>
      <c r="BB40" s="84" t="s">
        <v>406</v>
      </c>
      <c r="BC40" s="84"/>
      <c r="BD40" s="84"/>
      <c r="BE40" s="84" t="s">
        <v>512</v>
      </c>
      <c r="BF40" s="84"/>
      <c r="BG40" s="84"/>
      <c r="BH40" s="41"/>
      <c r="BI40" s="84" t="s">
        <v>368</v>
      </c>
      <c r="BJ40" s="84"/>
      <c r="BK40" s="84"/>
      <c r="BL40" s="84" t="s">
        <v>514</v>
      </c>
      <c r="BM40" s="84"/>
      <c r="BN40" s="84"/>
      <c r="BO40" s="42"/>
      <c r="BP40" s="84" t="s">
        <v>460</v>
      </c>
      <c r="BQ40" s="84"/>
      <c r="BR40" s="84"/>
      <c r="BS40" s="84" t="s">
        <v>455</v>
      </c>
      <c r="BT40" s="84"/>
      <c r="BU40" s="85"/>
    </row>
    <row r="41" spans="2:73" ht="27" customHeight="1" x14ac:dyDescent="0.25">
      <c r="B41" s="78">
        <v>201</v>
      </c>
      <c r="C41" s="74"/>
      <c r="D41" s="75"/>
      <c r="E41" s="73">
        <v>202</v>
      </c>
      <c r="F41" s="74"/>
      <c r="G41" s="75"/>
      <c r="H41" s="34"/>
      <c r="I41" s="73">
        <v>203</v>
      </c>
      <c r="J41" s="74"/>
      <c r="K41" s="75"/>
      <c r="L41" s="73">
        <v>204</v>
      </c>
      <c r="M41" s="74"/>
      <c r="N41" s="75"/>
      <c r="O41" s="34"/>
      <c r="P41" s="73">
        <v>205</v>
      </c>
      <c r="Q41" s="74"/>
      <c r="R41" s="75"/>
      <c r="S41" s="73">
        <v>206</v>
      </c>
      <c r="T41" s="74"/>
      <c r="U41" s="75"/>
      <c r="V41" s="34"/>
      <c r="W41" s="73">
        <v>207</v>
      </c>
      <c r="X41" s="74"/>
      <c r="Y41" s="75"/>
      <c r="Z41" s="73">
        <v>208</v>
      </c>
      <c r="AA41" s="74"/>
      <c r="AB41" s="75"/>
      <c r="AC41" s="33"/>
      <c r="AD41" s="73">
        <v>209</v>
      </c>
      <c r="AE41" s="74"/>
      <c r="AF41" s="75"/>
      <c r="AG41" s="73">
        <v>210</v>
      </c>
      <c r="AH41" s="74"/>
      <c r="AI41" s="77"/>
      <c r="AN41" s="78">
        <v>211</v>
      </c>
      <c r="AO41" s="74"/>
      <c r="AP41" s="75"/>
      <c r="AQ41" s="73">
        <v>212</v>
      </c>
      <c r="AR41" s="74"/>
      <c r="AS41" s="75"/>
      <c r="AT41" s="34"/>
      <c r="AU41" s="73">
        <v>213</v>
      </c>
      <c r="AV41" s="74"/>
      <c r="AW41" s="75"/>
      <c r="AX41" s="73">
        <v>214</v>
      </c>
      <c r="AY41" s="74"/>
      <c r="AZ41" s="75"/>
      <c r="BA41" s="34"/>
      <c r="BB41" s="73">
        <v>215</v>
      </c>
      <c r="BC41" s="74"/>
      <c r="BD41" s="75"/>
      <c r="BE41" s="73">
        <v>216</v>
      </c>
      <c r="BF41" s="74"/>
      <c r="BG41" s="75"/>
      <c r="BH41" s="34"/>
      <c r="BI41" s="73">
        <v>217</v>
      </c>
      <c r="BJ41" s="74"/>
      <c r="BK41" s="75"/>
      <c r="BL41" s="73">
        <v>218</v>
      </c>
      <c r="BM41" s="74"/>
      <c r="BN41" s="75"/>
      <c r="BO41" s="33"/>
      <c r="BP41" s="73">
        <v>219</v>
      </c>
      <c r="BQ41" s="74"/>
      <c r="BR41" s="75"/>
      <c r="BS41" s="73">
        <v>220</v>
      </c>
      <c r="BT41" s="74"/>
      <c r="BU41" s="77"/>
    </row>
    <row r="42" spans="2:73" ht="27" customHeight="1" x14ac:dyDescent="0.25">
      <c r="B42" s="38"/>
      <c r="C42" s="36"/>
      <c r="D42" s="36"/>
      <c r="E42" s="36"/>
      <c r="F42" s="36"/>
      <c r="G42" s="36"/>
      <c r="H42" s="34"/>
      <c r="I42" s="36"/>
      <c r="J42" s="36"/>
      <c r="K42" s="36"/>
      <c r="L42" s="36"/>
      <c r="M42" s="36"/>
      <c r="N42" s="36"/>
      <c r="O42" s="34"/>
      <c r="P42" s="36"/>
      <c r="Q42" s="36"/>
      <c r="R42" s="36"/>
      <c r="S42" s="36"/>
      <c r="T42" s="36"/>
      <c r="U42" s="36"/>
      <c r="V42" s="34"/>
      <c r="W42" s="36"/>
      <c r="X42" s="36"/>
      <c r="Y42" s="36"/>
      <c r="Z42" s="36"/>
      <c r="AA42" s="36"/>
      <c r="AB42" s="36"/>
      <c r="AC42" s="34"/>
      <c r="AD42" s="36"/>
      <c r="AE42" s="36"/>
      <c r="AF42" s="36"/>
      <c r="AG42" s="36"/>
      <c r="AH42" s="36"/>
      <c r="AI42" s="37"/>
      <c r="AN42" s="38"/>
      <c r="AO42" s="36"/>
      <c r="AP42" s="36"/>
      <c r="AQ42" s="36"/>
      <c r="AR42" s="36"/>
      <c r="AS42" s="36"/>
      <c r="AT42" s="34"/>
      <c r="AU42" s="36"/>
      <c r="AV42" s="36"/>
      <c r="AW42" s="36"/>
      <c r="AX42" s="36"/>
      <c r="AY42" s="36"/>
      <c r="AZ42" s="36"/>
      <c r="BA42" s="34"/>
      <c r="BB42" s="36"/>
      <c r="BC42" s="36"/>
      <c r="BD42" s="36"/>
      <c r="BE42" s="36"/>
      <c r="BF42" s="36"/>
      <c r="BG42" s="36"/>
      <c r="BH42" s="34"/>
      <c r="BI42" s="36"/>
      <c r="BJ42" s="36"/>
      <c r="BK42" s="36"/>
      <c r="BL42" s="36"/>
      <c r="BM42" s="36"/>
      <c r="BN42" s="36"/>
      <c r="BO42" s="34"/>
      <c r="BP42" s="36"/>
      <c r="BQ42" s="36"/>
      <c r="BR42" s="36"/>
      <c r="BS42" s="36"/>
      <c r="BT42" s="36"/>
      <c r="BU42" s="37"/>
    </row>
    <row r="43" spans="2:73" ht="54" customHeight="1" x14ac:dyDescent="0.25">
      <c r="B43" s="76" t="s">
        <v>345</v>
      </c>
      <c r="C43" s="71"/>
      <c r="D43" s="71"/>
      <c r="E43" s="71" t="s">
        <v>349</v>
      </c>
      <c r="F43" s="71"/>
      <c r="G43" s="71"/>
      <c r="H43" s="34"/>
      <c r="I43" s="71" t="s">
        <v>462</v>
      </c>
      <c r="J43" s="71"/>
      <c r="K43" s="71"/>
      <c r="L43" s="71" t="s">
        <v>391</v>
      </c>
      <c r="M43" s="71"/>
      <c r="N43" s="71"/>
      <c r="O43" s="34"/>
      <c r="P43" s="71" t="s">
        <v>430</v>
      </c>
      <c r="Q43" s="71"/>
      <c r="R43" s="71"/>
      <c r="S43" s="71" t="s">
        <v>389</v>
      </c>
      <c r="T43" s="71"/>
      <c r="U43" s="71"/>
      <c r="V43" s="34"/>
      <c r="W43" s="71" t="s">
        <v>350</v>
      </c>
      <c r="X43" s="71"/>
      <c r="Y43" s="71"/>
      <c r="Z43" s="71" t="s">
        <v>376</v>
      </c>
      <c r="AA43" s="71"/>
      <c r="AB43" s="71"/>
      <c r="AC43" s="33"/>
      <c r="AD43" s="71" t="s">
        <v>429</v>
      </c>
      <c r="AE43" s="71"/>
      <c r="AF43" s="71"/>
      <c r="AG43" s="71" t="s">
        <v>338</v>
      </c>
      <c r="AH43" s="71"/>
      <c r="AI43" s="72"/>
      <c r="AN43" s="76" t="s">
        <v>467</v>
      </c>
      <c r="AO43" s="71"/>
      <c r="AP43" s="71"/>
      <c r="AQ43" s="71" t="s">
        <v>381</v>
      </c>
      <c r="AR43" s="71"/>
      <c r="AS43" s="71"/>
      <c r="AT43" s="34"/>
      <c r="AU43" s="71" t="s">
        <v>361</v>
      </c>
      <c r="AV43" s="71"/>
      <c r="AW43" s="71"/>
      <c r="AX43" s="71" t="s">
        <v>333</v>
      </c>
      <c r="AY43" s="71"/>
      <c r="AZ43" s="71"/>
      <c r="BA43" s="34"/>
      <c r="BB43" s="71" t="s">
        <v>347</v>
      </c>
      <c r="BC43" s="71"/>
      <c r="BD43" s="71"/>
      <c r="BE43" s="71" t="s">
        <v>372</v>
      </c>
      <c r="BF43" s="71"/>
      <c r="BG43" s="71"/>
      <c r="BH43" s="34"/>
      <c r="BI43" s="71" t="s">
        <v>420</v>
      </c>
      <c r="BJ43" s="71"/>
      <c r="BK43" s="71"/>
      <c r="BL43" s="71" t="s">
        <v>424</v>
      </c>
      <c r="BM43" s="71"/>
      <c r="BN43" s="71"/>
      <c r="BO43" s="33"/>
      <c r="BP43" s="71" t="s">
        <v>384</v>
      </c>
      <c r="BQ43" s="71"/>
      <c r="BR43" s="71"/>
      <c r="BS43" s="71" t="s">
        <v>431</v>
      </c>
      <c r="BT43" s="71"/>
      <c r="BU43" s="72"/>
    </row>
    <row r="44" spans="2:73" ht="27" customHeight="1" x14ac:dyDescent="0.25">
      <c r="B44" s="78">
        <v>221</v>
      </c>
      <c r="C44" s="74"/>
      <c r="D44" s="75"/>
      <c r="E44" s="73">
        <v>222</v>
      </c>
      <c r="F44" s="74"/>
      <c r="G44" s="75"/>
      <c r="H44" s="34"/>
      <c r="I44" s="73">
        <v>223</v>
      </c>
      <c r="J44" s="74"/>
      <c r="K44" s="75"/>
      <c r="L44" s="73">
        <v>224</v>
      </c>
      <c r="M44" s="74"/>
      <c r="N44" s="75"/>
      <c r="O44" s="34"/>
      <c r="P44" s="73">
        <v>225</v>
      </c>
      <c r="Q44" s="74"/>
      <c r="R44" s="75"/>
      <c r="S44" s="73">
        <v>226</v>
      </c>
      <c r="T44" s="74"/>
      <c r="U44" s="75"/>
      <c r="V44" s="34"/>
      <c r="W44" s="73">
        <v>227</v>
      </c>
      <c r="X44" s="74"/>
      <c r="Y44" s="75"/>
      <c r="Z44" s="73">
        <v>228</v>
      </c>
      <c r="AA44" s="74"/>
      <c r="AB44" s="75"/>
      <c r="AC44" s="33"/>
      <c r="AD44" s="73">
        <v>229</v>
      </c>
      <c r="AE44" s="74"/>
      <c r="AF44" s="75"/>
      <c r="AG44" s="73">
        <v>230</v>
      </c>
      <c r="AH44" s="74"/>
      <c r="AI44" s="77"/>
      <c r="AN44" s="78">
        <v>231</v>
      </c>
      <c r="AO44" s="74"/>
      <c r="AP44" s="75"/>
      <c r="AQ44" s="73">
        <v>232</v>
      </c>
      <c r="AR44" s="74"/>
      <c r="AS44" s="75"/>
      <c r="AT44" s="34"/>
      <c r="AU44" s="73">
        <v>233</v>
      </c>
      <c r="AV44" s="74"/>
      <c r="AW44" s="75"/>
      <c r="AX44" s="73">
        <v>234</v>
      </c>
      <c r="AY44" s="74"/>
      <c r="AZ44" s="75"/>
      <c r="BA44" s="34"/>
      <c r="BB44" s="73">
        <v>235</v>
      </c>
      <c r="BC44" s="74"/>
      <c r="BD44" s="75"/>
      <c r="BE44" s="73">
        <v>236</v>
      </c>
      <c r="BF44" s="74"/>
      <c r="BG44" s="75"/>
      <c r="BH44" s="34"/>
      <c r="BI44" s="73">
        <v>237</v>
      </c>
      <c r="BJ44" s="74"/>
      <c r="BK44" s="75"/>
      <c r="BL44" s="73">
        <v>238</v>
      </c>
      <c r="BM44" s="74"/>
      <c r="BN44" s="75"/>
      <c r="BO44" s="33"/>
      <c r="BP44" s="73">
        <v>239</v>
      </c>
      <c r="BQ44" s="74"/>
      <c r="BR44" s="75"/>
      <c r="BS44" s="73">
        <v>240</v>
      </c>
      <c r="BT44" s="74"/>
      <c r="BU44" s="77"/>
    </row>
    <row r="45" spans="2:73" ht="27" customHeight="1" x14ac:dyDescent="0.25">
      <c r="B45" s="38"/>
      <c r="C45" s="36"/>
      <c r="D45" s="36"/>
      <c r="E45" s="36"/>
      <c r="F45" s="36"/>
      <c r="G45" s="36"/>
      <c r="H45" s="34"/>
      <c r="I45" s="36"/>
      <c r="J45" s="36"/>
      <c r="K45" s="36"/>
      <c r="L45" s="36"/>
      <c r="M45" s="36"/>
      <c r="N45" s="36"/>
      <c r="O45" s="34"/>
      <c r="P45" s="36"/>
      <c r="Q45" s="36"/>
      <c r="R45" s="36"/>
      <c r="S45" s="36"/>
      <c r="T45" s="36"/>
      <c r="U45" s="36"/>
      <c r="V45" s="34"/>
      <c r="W45" s="36"/>
      <c r="X45" s="36"/>
      <c r="Y45" s="36"/>
      <c r="Z45" s="36"/>
      <c r="AA45" s="36"/>
      <c r="AB45" s="36"/>
      <c r="AC45" s="34"/>
      <c r="AD45" s="36"/>
      <c r="AE45" s="36"/>
      <c r="AF45" s="36"/>
      <c r="AG45" s="36"/>
      <c r="AH45" s="36"/>
      <c r="AI45" s="37"/>
      <c r="AN45" s="38"/>
      <c r="AO45" s="36"/>
      <c r="AP45" s="36"/>
      <c r="AQ45" s="36"/>
      <c r="AR45" s="36"/>
      <c r="AS45" s="36"/>
      <c r="AT45" s="34"/>
      <c r="AU45" s="36"/>
      <c r="AV45" s="36"/>
      <c r="AW45" s="36"/>
      <c r="AX45" s="36"/>
      <c r="AY45" s="36"/>
      <c r="AZ45" s="36"/>
      <c r="BA45" s="34"/>
      <c r="BB45" s="36"/>
      <c r="BC45" s="36"/>
      <c r="BD45" s="36"/>
      <c r="BE45" s="36"/>
      <c r="BF45" s="36"/>
      <c r="BG45" s="36"/>
      <c r="BH45" s="34"/>
      <c r="BI45" s="36"/>
      <c r="BJ45" s="36"/>
      <c r="BK45" s="36"/>
      <c r="BL45" s="36"/>
      <c r="BM45" s="36"/>
      <c r="BN45" s="36"/>
      <c r="BO45" s="34"/>
      <c r="BP45" s="36"/>
      <c r="BQ45" s="36"/>
      <c r="BR45" s="36"/>
      <c r="BS45" s="36"/>
      <c r="BT45" s="36"/>
      <c r="BU45" s="37"/>
    </row>
    <row r="46" spans="2:73" ht="54" customHeight="1" x14ac:dyDescent="0.25">
      <c r="B46" s="76" t="s">
        <v>405</v>
      </c>
      <c r="C46" s="71"/>
      <c r="D46" s="71"/>
      <c r="E46" s="71" t="s">
        <v>423</v>
      </c>
      <c r="F46" s="71"/>
      <c r="G46" s="71"/>
      <c r="H46" s="34"/>
      <c r="I46" s="71" t="s">
        <v>409</v>
      </c>
      <c r="J46" s="71"/>
      <c r="K46" s="71"/>
      <c r="L46" s="71" t="s">
        <v>362</v>
      </c>
      <c r="M46" s="71"/>
      <c r="N46" s="71"/>
      <c r="O46" s="34"/>
      <c r="P46" s="71" t="s">
        <v>511</v>
      </c>
      <c r="Q46" s="71"/>
      <c r="R46" s="71"/>
      <c r="S46" s="71" t="s">
        <v>407</v>
      </c>
      <c r="T46" s="71"/>
      <c r="U46" s="71"/>
      <c r="V46" s="34"/>
      <c r="W46" s="71" t="s">
        <v>311</v>
      </c>
      <c r="X46" s="71"/>
      <c r="Y46" s="71"/>
      <c r="Z46" s="71" t="s">
        <v>439</v>
      </c>
      <c r="AA46" s="71"/>
      <c r="AB46" s="71"/>
      <c r="AC46" s="33"/>
      <c r="AD46" s="71" t="s">
        <v>403</v>
      </c>
      <c r="AE46" s="71"/>
      <c r="AF46" s="71"/>
      <c r="AG46" s="71" t="s">
        <v>397</v>
      </c>
      <c r="AH46" s="71"/>
      <c r="AI46" s="72"/>
      <c r="AN46" s="76" t="s">
        <v>510</v>
      </c>
      <c r="AO46" s="71"/>
      <c r="AP46" s="71"/>
      <c r="AQ46" s="71" t="s">
        <v>507</v>
      </c>
      <c r="AR46" s="71"/>
      <c r="AS46" s="71"/>
      <c r="AT46" s="34"/>
      <c r="AU46" s="71" t="s">
        <v>319</v>
      </c>
      <c r="AV46" s="71"/>
      <c r="AW46" s="71"/>
      <c r="AX46" s="71" t="s">
        <v>422</v>
      </c>
      <c r="AY46" s="71"/>
      <c r="AZ46" s="71"/>
      <c r="BA46" s="34"/>
      <c r="BB46" s="71" t="s">
        <v>344</v>
      </c>
      <c r="BC46" s="71"/>
      <c r="BD46" s="71"/>
      <c r="BE46" s="71" t="s">
        <v>374</v>
      </c>
      <c r="BF46" s="71"/>
      <c r="BG46" s="71"/>
      <c r="BH46" s="34"/>
      <c r="BI46" s="71" t="s">
        <v>399</v>
      </c>
      <c r="BJ46" s="71"/>
      <c r="BK46" s="71"/>
      <c r="BL46" s="71" t="s">
        <v>326</v>
      </c>
      <c r="BM46" s="71"/>
      <c r="BN46" s="71"/>
      <c r="BO46" s="33"/>
      <c r="BP46" s="71" t="s">
        <v>412</v>
      </c>
      <c r="BQ46" s="71"/>
      <c r="BR46" s="71"/>
      <c r="BS46" s="71" t="s">
        <v>401</v>
      </c>
      <c r="BT46" s="71"/>
      <c r="BU46" s="72"/>
    </row>
    <row r="47" spans="2:73" ht="27" customHeight="1" x14ac:dyDescent="0.25">
      <c r="B47" s="78">
        <v>241</v>
      </c>
      <c r="C47" s="74"/>
      <c r="D47" s="75"/>
      <c r="E47" s="73">
        <v>242</v>
      </c>
      <c r="F47" s="74"/>
      <c r="G47" s="75"/>
      <c r="H47" s="34"/>
      <c r="I47" s="73">
        <v>243</v>
      </c>
      <c r="J47" s="74"/>
      <c r="K47" s="75"/>
      <c r="L47" s="73">
        <v>244</v>
      </c>
      <c r="M47" s="74"/>
      <c r="N47" s="75"/>
      <c r="O47" s="34"/>
      <c r="P47" s="73">
        <v>245</v>
      </c>
      <c r="Q47" s="74"/>
      <c r="R47" s="75"/>
      <c r="S47" s="73">
        <v>246</v>
      </c>
      <c r="T47" s="74"/>
      <c r="U47" s="75"/>
      <c r="V47" s="34"/>
      <c r="W47" s="73">
        <v>247</v>
      </c>
      <c r="X47" s="74"/>
      <c r="Y47" s="75"/>
      <c r="Z47" s="73">
        <v>248</v>
      </c>
      <c r="AA47" s="74"/>
      <c r="AB47" s="75"/>
      <c r="AC47" s="33"/>
      <c r="AD47" s="73">
        <v>249</v>
      </c>
      <c r="AE47" s="74"/>
      <c r="AF47" s="75"/>
      <c r="AG47" s="73">
        <v>250</v>
      </c>
      <c r="AH47" s="74"/>
      <c r="AI47" s="77"/>
      <c r="AN47" s="78">
        <v>251</v>
      </c>
      <c r="AO47" s="74"/>
      <c r="AP47" s="75"/>
      <c r="AQ47" s="73">
        <v>252</v>
      </c>
      <c r="AR47" s="74"/>
      <c r="AS47" s="75"/>
      <c r="AT47" s="34"/>
      <c r="AU47" s="73">
        <v>253</v>
      </c>
      <c r="AV47" s="74"/>
      <c r="AW47" s="75"/>
      <c r="AX47" s="73">
        <v>254</v>
      </c>
      <c r="AY47" s="74"/>
      <c r="AZ47" s="75"/>
      <c r="BA47" s="34"/>
      <c r="BB47" s="73">
        <v>255</v>
      </c>
      <c r="BC47" s="74"/>
      <c r="BD47" s="75"/>
      <c r="BE47" s="73">
        <v>256</v>
      </c>
      <c r="BF47" s="74"/>
      <c r="BG47" s="75"/>
      <c r="BH47" s="34"/>
      <c r="BI47" s="73">
        <v>257</v>
      </c>
      <c r="BJ47" s="74"/>
      <c r="BK47" s="75"/>
      <c r="BL47" s="73">
        <v>258</v>
      </c>
      <c r="BM47" s="74"/>
      <c r="BN47" s="75"/>
      <c r="BO47" s="33"/>
      <c r="BP47" s="73">
        <v>259</v>
      </c>
      <c r="BQ47" s="74"/>
      <c r="BR47" s="75"/>
      <c r="BS47" s="73">
        <v>260</v>
      </c>
      <c r="BT47" s="74"/>
      <c r="BU47" s="77"/>
    </row>
    <row r="48" spans="2:73" ht="27" customHeight="1" x14ac:dyDescent="0.25">
      <c r="B48" s="38"/>
      <c r="C48" s="36"/>
      <c r="D48" s="36"/>
      <c r="E48" s="36"/>
      <c r="F48" s="36"/>
      <c r="G48" s="36"/>
      <c r="H48" s="34"/>
      <c r="I48" s="36"/>
      <c r="J48" s="36"/>
      <c r="K48" s="36"/>
      <c r="L48" s="36"/>
      <c r="M48" s="36"/>
      <c r="N48" s="36"/>
      <c r="O48" s="34"/>
      <c r="P48" s="36"/>
      <c r="Q48" s="36"/>
      <c r="R48" s="36"/>
      <c r="S48" s="36"/>
      <c r="T48" s="36"/>
      <c r="U48" s="36"/>
      <c r="V48" s="34"/>
      <c r="W48" s="36"/>
      <c r="X48" s="36"/>
      <c r="Y48" s="36"/>
      <c r="Z48" s="36"/>
      <c r="AA48" s="36"/>
      <c r="AB48" s="36"/>
      <c r="AC48" s="34"/>
      <c r="AD48" s="36"/>
      <c r="AE48" s="36"/>
      <c r="AF48" s="36"/>
      <c r="AG48" s="36"/>
      <c r="AH48" s="36"/>
      <c r="AI48" s="37"/>
      <c r="AN48" s="38"/>
      <c r="AO48" s="36"/>
      <c r="AP48" s="36"/>
      <c r="AQ48" s="36"/>
      <c r="AR48" s="36"/>
      <c r="AS48" s="36"/>
      <c r="AT48" s="34"/>
      <c r="AU48" s="36"/>
      <c r="AV48" s="36"/>
      <c r="AW48" s="36"/>
      <c r="AX48" s="36"/>
      <c r="AY48" s="36"/>
      <c r="AZ48" s="36"/>
      <c r="BA48" s="34"/>
      <c r="BB48" s="36"/>
      <c r="BC48" s="36"/>
      <c r="BD48" s="36"/>
      <c r="BE48" s="36"/>
      <c r="BF48" s="36"/>
      <c r="BG48" s="36"/>
      <c r="BH48" s="34"/>
      <c r="BI48" s="36"/>
      <c r="BJ48" s="36"/>
      <c r="BK48" s="36"/>
      <c r="BL48" s="36"/>
      <c r="BM48" s="36"/>
      <c r="BN48" s="36"/>
      <c r="BO48" s="34"/>
      <c r="BP48" s="36"/>
      <c r="BQ48" s="36"/>
      <c r="BR48" s="36"/>
      <c r="BS48" s="36"/>
      <c r="BT48" s="36"/>
      <c r="BU48" s="37"/>
    </row>
    <row r="49" spans="2:73" ht="54" customHeight="1" x14ac:dyDescent="0.25">
      <c r="B49" s="76" t="s">
        <v>316</v>
      </c>
      <c r="C49" s="71"/>
      <c r="D49" s="71"/>
      <c r="E49" s="71" t="s">
        <v>371</v>
      </c>
      <c r="F49" s="71"/>
      <c r="G49" s="71"/>
      <c r="H49" s="34"/>
      <c r="I49" s="71" t="s">
        <v>444</v>
      </c>
      <c r="J49" s="71"/>
      <c r="K49" s="71"/>
      <c r="L49" s="71" t="s">
        <v>364</v>
      </c>
      <c r="M49" s="71"/>
      <c r="N49" s="71"/>
      <c r="O49" s="34"/>
      <c r="P49" s="71" t="s">
        <v>367</v>
      </c>
      <c r="Q49" s="71"/>
      <c r="R49" s="71"/>
      <c r="S49" s="71" t="s">
        <v>416</v>
      </c>
      <c r="T49" s="71"/>
      <c r="U49" s="71"/>
      <c r="V49" s="34"/>
      <c r="W49" s="71" t="s">
        <v>365</v>
      </c>
      <c r="X49" s="71"/>
      <c r="Y49" s="71"/>
      <c r="Z49" s="71" t="s">
        <v>428</v>
      </c>
      <c r="AA49" s="71"/>
      <c r="AB49" s="71"/>
      <c r="AC49" s="33"/>
      <c r="AD49" s="71" t="s">
        <v>436</v>
      </c>
      <c r="AE49" s="71"/>
      <c r="AF49" s="71"/>
      <c r="AG49" s="71" t="s">
        <v>396</v>
      </c>
      <c r="AH49" s="71"/>
      <c r="AI49" s="72"/>
      <c r="AN49" s="76" t="s">
        <v>377</v>
      </c>
      <c r="AO49" s="71"/>
      <c r="AP49" s="71"/>
      <c r="AQ49" s="71" t="s">
        <v>395</v>
      </c>
      <c r="AR49" s="71"/>
      <c r="AS49" s="71"/>
      <c r="AT49" s="34"/>
      <c r="AU49" s="71" t="s">
        <v>354</v>
      </c>
      <c r="AV49" s="71"/>
      <c r="AW49" s="71"/>
      <c r="AX49" s="71" t="s">
        <v>388</v>
      </c>
      <c r="AY49" s="71"/>
      <c r="AZ49" s="71"/>
      <c r="BA49" s="34"/>
      <c r="BB49" s="71" t="s">
        <v>427</v>
      </c>
      <c r="BC49" s="71"/>
      <c r="BD49" s="71"/>
      <c r="BE49" s="71" t="s">
        <v>321</v>
      </c>
      <c r="BF49" s="71"/>
      <c r="BG49" s="71"/>
      <c r="BH49" s="34"/>
      <c r="BI49" s="71" t="s">
        <v>359</v>
      </c>
      <c r="BJ49" s="71"/>
      <c r="BK49" s="71"/>
      <c r="BL49" s="71" t="s">
        <v>426</v>
      </c>
      <c r="BM49" s="71"/>
      <c r="BN49" s="71"/>
      <c r="BO49" s="33"/>
      <c r="BP49" s="71" t="s">
        <v>447</v>
      </c>
      <c r="BQ49" s="71"/>
      <c r="BR49" s="71"/>
      <c r="BS49" s="71" t="s">
        <v>453</v>
      </c>
      <c r="BT49" s="71"/>
      <c r="BU49" s="72"/>
    </row>
    <row r="50" spans="2:73" ht="27" customHeight="1" x14ac:dyDescent="0.25">
      <c r="B50" s="78">
        <v>261</v>
      </c>
      <c r="C50" s="74"/>
      <c r="D50" s="75"/>
      <c r="E50" s="73">
        <v>262</v>
      </c>
      <c r="F50" s="74"/>
      <c r="G50" s="75"/>
      <c r="H50" s="34"/>
      <c r="I50" s="73">
        <v>263</v>
      </c>
      <c r="J50" s="74"/>
      <c r="K50" s="75"/>
      <c r="L50" s="73">
        <v>264</v>
      </c>
      <c r="M50" s="74"/>
      <c r="N50" s="75"/>
      <c r="O50" s="34"/>
      <c r="P50" s="73">
        <v>265</v>
      </c>
      <c r="Q50" s="74"/>
      <c r="R50" s="75"/>
      <c r="S50" s="73">
        <v>266</v>
      </c>
      <c r="T50" s="74"/>
      <c r="U50" s="75"/>
      <c r="V50" s="34"/>
      <c r="W50" s="73">
        <v>267</v>
      </c>
      <c r="X50" s="74"/>
      <c r="Y50" s="75"/>
      <c r="Z50" s="73">
        <v>268</v>
      </c>
      <c r="AA50" s="74"/>
      <c r="AB50" s="75"/>
      <c r="AC50" s="33"/>
      <c r="AD50" s="73">
        <v>269</v>
      </c>
      <c r="AE50" s="74"/>
      <c r="AF50" s="75"/>
      <c r="AG50" s="73">
        <v>270</v>
      </c>
      <c r="AH50" s="74"/>
      <c r="AI50" s="77"/>
      <c r="AN50" s="78">
        <v>271</v>
      </c>
      <c r="AO50" s="74"/>
      <c r="AP50" s="75"/>
      <c r="AQ50" s="73">
        <v>272</v>
      </c>
      <c r="AR50" s="74"/>
      <c r="AS50" s="75"/>
      <c r="AT50" s="34"/>
      <c r="AU50" s="73">
        <v>273</v>
      </c>
      <c r="AV50" s="74"/>
      <c r="AW50" s="75"/>
      <c r="AX50" s="73">
        <v>274</v>
      </c>
      <c r="AY50" s="74"/>
      <c r="AZ50" s="75"/>
      <c r="BA50" s="34"/>
      <c r="BB50" s="73">
        <v>275</v>
      </c>
      <c r="BC50" s="74"/>
      <c r="BD50" s="75"/>
      <c r="BE50" s="73">
        <v>276</v>
      </c>
      <c r="BF50" s="74"/>
      <c r="BG50" s="75"/>
      <c r="BH50" s="34"/>
      <c r="BI50" s="73">
        <v>277</v>
      </c>
      <c r="BJ50" s="74"/>
      <c r="BK50" s="75"/>
      <c r="BL50" s="73">
        <v>278</v>
      </c>
      <c r="BM50" s="74"/>
      <c r="BN50" s="75"/>
      <c r="BO50" s="33"/>
      <c r="BP50" s="73">
        <v>279</v>
      </c>
      <c r="BQ50" s="74"/>
      <c r="BR50" s="75"/>
      <c r="BS50" s="73">
        <v>280</v>
      </c>
      <c r="BT50" s="74"/>
      <c r="BU50" s="77"/>
    </row>
    <row r="51" spans="2:73" ht="27" customHeight="1" x14ac:dyDescent="0.25">
      <c r="B51" s="38"/>
      <c r="C51" s="36"/>
      <c r="D51" s="36"/>
      <c r="E51" s="36"/>
      <c r="F51" s="36"/>
      <c r="G51" s="36"/>
      <c r="H51" s="34"/>
      <c r="I51" s="36"/>
      <c r="J51" s="36"/>
      <c r="K51" s="36"/>
      <c r="L51" s="36"/>
      <c r="M51" s="36"/>
      <c r="N51" s="36"/>
      <c r="O51" s="34"/>
      <c r="P51" s="36"/>
      <c r="Q51" s="36"/>
      <c r="R51" s="36"/>
      <c r="S51" s="36"/>
      <c r="T51" s="36"/>
      <c r="U51" s="36"/>
      <c r="V51" s="34"/>
      <c r="W51" s="36"/>
      <c r="X51" s="36"/>
      <c r="Y51" s="36"/>
      <c r="Z51" s="36"/>
      <c r="AA51" s="36"/>
      <c r="AB51" s="36"/>
      <c r="AC51" s="34"/>
      <c r="AD51" s="36"/>
      <c r="AE51" s="36"/>
      <c r="AF51" s="36"/>
      <c r="AG51" s="36"/>
      <c r="AH51" s="36"/>
      <c r="AI51" s="37"/>
      <c r="AN51" s="38"/>
      <c r="AO51" s="36"/>
      <c r="AP51" s="36"/>
      <c r="AQ51" s="36"/>
      <c r="AR51" s="36"/>
      <c r="AS51" s="36"/>
      <c r="AT51" s="34"/>
      <c r="AU51" s="36"/>
      <c r="AV51" s="36"/>
      <c r="AW51" s="36"/>
      <c r="AX51" s="36"/>
      <c r="AY51" s="36"/>
      <c r="AZ51" s="36"/>
      <c r="BA51" s="34"/>
      <c r="BB51" s="36"/>
      <c r="BC51" s="36"/>
      <c r="BD51" s="36"/>
      <c r="BE51" s="36"/>
      <c r="BF51" s="36"/>
      <c r="BG51" s="36"/>
      <c r="BH51" s="34"/>
      <c r="BI51" s="36"/>
      <c r="BJ51" s="36"/>
      <c r="BK51" s="36"/>
      <c r="BL51" s="36"/>
      <c r="BM51" s="36"/>
      <c r="BN51" s="36"/>
      <c r="BO51" s="34"/>
      <c r="BP51" s="36"/>
      <c r="BQ51" s="36"/>
      <c r="BR51" s="36"/>
      <c r="BS51" s="36"/>
      <c r="BT51" s="36"/>
      <c r="BU51" s="37"/>
    </row>
    <row r="52" spans="2:73" ht="54" customHeight="1" x14ac:dyDescent="0.25">
      <c r="B52" s="76" t="s">
        <v>379</v>
      </c>
      <c r="C52" s="71"/>
      <c r="D52" s="71"/>
      <c r="E52" s="71" t="s">
        <v>440</v>
      </c>
      <c r="F52" s="71"/>
      <c r="G52" s="71"/>
      <c r="H52" s="34"/>
      <c r="I52" s="71" t="s">
        <v>461</v>
      </c>
      <c r="J52" s="71"/>
      <c r="K52" s="71"/>
      <c r="L52" s="71" t="s">
        <v>410</v>
      </c>
      <c r="M52" s="71"/>
      <c r="N52" s="71"/>
      <c r="O52" s="34"/>
      <c r="P52" s="71" t="s">
        <v>387</v>
      </c>
      <c r="Q52" s="71"/>
      <c r="R52" s="71"/>
      <c r="S52" s="71" t="s">
        <v>294</v>
      </c>
      <c r="T52" s="71"/>
      <c r="U52" s="71"/>
      <c r="V52" s="34"/>
      <c r="W52" s="71" t="s">
        <v>516</v>
      </c>
      <c r="X52" s="71"/>
      <c r="Y52" s="71"/>
      <c r="Z52" s="71" t="s">
        <v>458</v>
      </c>
      <c r="AA52" s="71"/>
      <c r="AB52" s="71"/>
      <c r="AC52" s="33"/>
      <c r="AD52" s="71" t="s">
        <v>335</v>
      </c>
      <c r="AE52" s="71"/>
      <c r="AF52" s="71"/>
      <c r="AG52" s="71" t="s">
        <v>418</v>
      </c>
      <c r="AH52" s="71"/>
      <c r="AI52" s="72"/>
      <c r="AN52" s="76" t="s">
        <v>330</v>
      </c>
      <c r="AO52" s="71"/>
      <c r="AP52" s="71"/>
      <c r="AQ52" s="71" t="s">
        <v>400</v>
      </c>
      <c r="AR52" s="71"/>
      <c r="AS52" s="71"/>
      <c r="AT52" s="34"/>
      <c r="AU52" s="71" t="s">
        <v>323</v>
      </c>
      <c r="AV52" s="71"/>
      <c r="AW52" s="71"/>
      <c r="AX52" s="71" t="s">
        <v>438</v>
      </c>
      <c r="AY52" s="71"/>
      <c r="AZ52" s="71"/>
      <c r="BA52" s="34"/>
      <c r="BB52" s="71" t="s">
        <v>413</v>
      </c>
      <c r="BC52" s="71"/>
      <c r="BD52" s="71"/>
      <c r="BE52" s="71" t="s">
        <v>432</v>
      </c>
      <c r="BF52" s="71"/>
      <c r="BG52" s="71"/>
      <c r="BH52" s="34"/>
      <c r="BI52" s="71" t="s">
        <v>318</v>
      </c>
      <c r="BJ52" s="71"/>
      <c r="BK52" s="71"/>
      <c r="BL52" s="71" t="s">
        <v>360</v>
      </c>
      <c r="BM52" s="71"/>
      <c r="BN52" s="71"/>
      <c r="BO52" s="33"/>
      <c r="BP52" s="71" t="s">
        <v>390</v>
      </c>
      <c r="BQ52" s="71"/>
      <c r="BR52" s="71"/>
      <c r="BS52" s="71" t="s">
        <v>513</v>
      </c>
      <c r="BT52" s="71"/>
      <c r="BU52" s="72"/>
    </row>
    <row r="53" spans="2:73" ht="27" customHeight="1" x14ac:dyDescent="0.25">
      <c r="B53" s="78">
        <v>281</v>
      </c>
      <c r="C53" s="74"/>
      <c r="D53" s="75"/>
      <c r="E53" s="73">
        <v>282</v>
      </c>
      <c r="F53" s="74"/>
      <c r="G53" s="75"/>
      <c r="H53" s="34"/>
      <c r="I53" s="73">
        <v>283</v>
      </c>
      <c r="J53" s="74"/>
      <c r="K53" s="75"/>
      <c r="L53" s="73">
        <v>284</v>
      </c>
      <c r="M53" s="74"/>
      <c r="N53" s="75"/>
      <c r="O53" s="34"/>
      <c r="P53" s="73">
        <v>285</v>
      </c>
      <c r="Q53" s="74"/>
      <c r="R53" s="75"/>
      <c r="S53" s="73">
        <v>286</v>
      </c>
      <c r="T53" s="74"/>
      <c r="U53" s="75"/>
      <c r="V53" s="34"/>
      <c r="W53" s="73">
        <v>287</v>
      </c>
      <c r="X53" s="74"/>
      <c r="Y53" s="75"/>
      <c r="Z53" s="73">
        <v>288</v>
      </c>
      <c r="AA53" s="74"/>
      <c r="AB53" s="75"/>
      <c r="AC53" s="33"/>
      <c r="AD53" s="73">
        <v>289</v>
      </c>
      <c r="AE53" s="74"/>
      <c r="AF53" s="75"/>
      <c r="AG53" s="73">
        <v>290</v>
      </c>
      <c r="AH53" s="74"/>
      <c r="AI53" s="77"/>
      <c r="AN53" s="78">
        <v>291</v>
      </c>
      <c r="AO53" s="74"/>
      <c r="AP53" s="75"/>
      <c r="AQ53" s="73">
        <v>292</v>
      </c>
      <c r="AR53" s="74"/>
      <c r="AS53" s="75"/>
      <c r="AT53" s="34"/>
      <c r="AU53" s="73">
        <v>293</v>
      </c>
      <c r="AV53" s="74"/>
      <c r="AW53" s="75"/>
      <c r="AX53" s="73">
        <v>294</v>
      </c>
      <c r="AY53" s="74"/>
      <c r="AZ53" s="75"/>
      <c r="BA53" s="34"/>
      <c r="BB53" s="73">
        <v>295</v>
      </c>
      <c r="BC53" s="74"/>
      <c r="BD53" s="75"/>
      <c r="BE53" s="73">
        <v>296</v>
      </c>
      <c r="BF53" s="74"/>
      <c r="BG53" s="75"/>
      <c r="BH53" s="34"/>
      <c r="BI53" s="73">
        <v>297</v>
      </c>
      <c r="BJ53" s="74"/>
      <c r="BK53" s="75"/>
      <c r="BL53" s="73">
        <v>298</v>
      </c>
      <c r="BM53" s="74"/>
      <c r="BN53" s="75"/>
      <c r="BO53" s="33"/>
      <c r="BP53" s="73">
        <v>299</v>
      </c>
      <c r="BQ53" s="74"/>
      <c r="BR53" s="75"/>
      <c r="BS53" s="73">
        <v>300</v>
      </c>
      <c r="BT53" s="74"/>
      <c r="BU53" s="77"/>
    </row>
    <row r="54" spans="2:73" ht="27" customHeight="1" x14ac:dyDescent="0.25">
      <c r="B54" s="38"/>
      <c r="C54" s="36"/>
      <c r="D54" s="36"/>
      <c r="E54" s="36"/>
      <c r="F54" s="36"/>
      <c r="G54" s="36"/>
      <c r="H54" s="34"/>
      <c r="I54" s="36"/>
      <c r="J54" s="36"/>
      <c r="K54" s="36"/>
      <c r="L54" s="36"/>
      <c r="M54" s="36"/>
      <c r="N54" s="36"/>
      <c r="O54" s="34"/>
      <c r="P54" s="36"/>
      <c r="Q54" s="36"/>
      <c r="R54" s="36"/>
      <c r="S54" s="36"/>
      <c r="T54" s="36"/>
      <c r="U54" s="36"/>
      <c r="V54" s="34"/>
      <c r="W54" s="36"/>
      <c r="X54" s="36"/>
      <c r="Y54" s="36"/>
      <c r="Z54" s="36"/>
      <c r="AA54" s="36"/>
      <c r="AB54" s="36"/>
      <c r="AC54" s="34"/>
      <c r="AD54" s="36"/>
      <c r="AE54" s="36"/>
      <c r="AF54" s="36"/>
      <c r="AG54" s="36"/>
      <c r="AH54" s="36"/>
      <c r="AI54" s="37"/>
      <c r="AN54" s="38"/>
      <c r="AO54" s="36"/>
      <c r="AP54" s="36"/>
      <c r="AQ54" s="36"/>
      <c r="AR54" s="36"/>
      <c r="AS54" s="36"/>
      <c r="AT54" s="34"/>
      <c r="AU54" s="36"/>
      <c r="AV54" s="36"/>
      <c r="AW54" s="36"/>
      <c r="AX54" s="36"/>
      <c r="AY54" s="36"/>
      <c r="AZ54" s="36"/>
      <c r="BA54" s="34"/>
      <c r="BB54" s="36"/>
      <c r="BC54" s="36"/>
      <c r="BD54" s="36"/>
      <c r="BE54" s="36"/>
      <c r="BF54" s="36"/>
      <c r="BG54" s="36"/>
      <c r="BH54" s="34"/>
      <c r="BI54" s="36"/>
      <c r="BJ54" s="36"/>
      <c r="BK54" s="36"/>
      <c r="BL54" s="36"/>
      <c r="BM54" s="36"/>
      <c r="BN54" s="36"/>
      <c r="BO54" s="34"/>
      <c r="BP54" s="36"/>
      <c r="BQ54" s="36"/>
      <c r="BR54" s="36"/>
      <c r="BS54" s="36"/>
      <c r="BT54" s="36"/>
      <c r="BU54" s="37"/>
    </row>
    <row r="55" spans="2:73" ht="54" customHeight="1" x14ac:dyDescent="0.25">
      <c r="B55" s="76" t="s">
        <v>375</v>
      </c>
      <c r="C55" s="71"/>
      <c r="D55" s="71"/>
      <c r="E55" s="71" t="s">
        <v>450</v>
      </c>
      <c r="F55" s="71"/>
      <c r="G55" s="71"/>
      <c r="H55" s="34"/>
      <c r="I55" s="71" t="s">
        <v>433</v>
      </c>
      <c r="J55" s="71"/>
      <c r="K55" s="71"/>
      <c r="L55" s="71" t="s">
        <v>445</v>
      </c>
      <c r="M55" s="71"/>
      <c r="N55" s="71"/>
      <c r="O55" s="34"/>
      <c r="P55" s="71" t="s">
        <v>435</v>
      </c>
      <c r="Q55" s="71"/>
      <c r="R55" s="71"/>
      <c r="S55" s="71" t="s">
        <v>380</v>
      </c>
      <c r="T55" s="71"/>
      <c r="U55" s="71"/>
      <c r="V55" s="34"/>
      <c r="W55" s="71" t="s">
        <v>411</v>
      </c>
      <c r="X55" s="71"/>
      <c r="Y55" s="71"/>
      <c r="Z55" s="71" t="s">
        <v>331</v>
      </c>
      <c r="AA55" s="71"/>
      <c r="AB55" s="71"/>
      <c r="AC55" s="33"/>
      <c r="AD55" s="71" t="s">
        <v>325</v>
      </c>
      <c r="AE55" s="71"/>
      <c r="AF55" s="71"/>
      <c r="AG55" s="71" t="s">
        <v>385</v>
      </c>
      <c r="AH55" s="71"/>
      <c r="AI55" s="72"/>
      <c r="AN55" s="76" t="s">
        <v>402</v>
      </c>
      <c r="AO55" s="71"/>
      <c r="AP55" s="71"/>
      <c r="AQ55" s="71" t="s">
        <v>351</v>
      </c>
      <c r="AR55" s="71"/>
      <c r="AS55" s="71"/>
      <c r="AT55" s="34"/>
      <c r="AU55" s="71" t="s">
        <v>419</v>
      </c>
      <c r="AV55" s="71"/>
      <c r="AW55" s="71"/>
      <c r="AX55" s="71" t="s">
        <v>417</v>
      </c>
      <c r="AY55" s="71"/>
      <c r="AZ55" s="71"/>
      <c r="BA55" s="34"/>
      <c r="BB55" s="71" t="s">
        <v>443</v>
      </c>
      <c r="BC55" s="71"/>
      <c r="BD55" s="71"/>
      <c r="BE55" s="71" t="s">
        <v>373</v>
      </c>
      <c r="BF55" s="71"/>
      <c r="BG55" s="71"/>
      <c r="BH55" s="34"/>
      <c r="BI55" s="71" t="s">
        <v>314</v>
      </c>
      <c r="BJ55" s="71"/>
      <c r="BK55" s="71"/>
      <c r="BL55" s="71" t="s">
        <v>398</v>
      </c>
      <c r="BM55" s="71"/>
      <c r="BN55" s="71"/>
      <c r="BO55" s="33"/>
      <c r="BP55" s="71" t="s">
        <v>509</v>
      </c>
      <c r="BQ55" s="71"/>
      <c r="BR55" s="71"/>
      <c r="BS55" s="71" t="s">
        <v>394</v>
      </c>
      <c r="BT55" s="71"/>
      <c r="BU55" s="72"/>
    </row>
    <row r="56" spans="2:73" ht="27" customHeight="1" x14ac:dyDescent="0.25">
      <c r="B56" s="78">
        <v>301</v>
      </c>
      <c r="C56" s="74"/>
      <c r="D56" s="75"/>
      <c r="E56" s="73">
        <v>302</v>
      </c>
      <c r="F56" s="74"/>
      <c r="G56" s="75"/>
      <c r="H56" s="34"/>
      <c r="I56" s="73">
        <v>303</v>
      </c>
      <c r="J56" s="74"/>
      <c r="K56" s="75"/>
      <c r="L56" s="73">
        <v>304</v>
      </c>
      <c r="M56" s="74"/>
      <c r="N56" s="75"/>
      <c r="O56" s="34"/>
      <c r="P56" s="73">
        <v>305</v>
      </c>
      <c r="Q56" s="74"/>
      <c r="R56" s="75"/>
      <c r="S56" s="73">
        <v>306</v>
      </c>
      <c r="T56" s="74"/>
      <c r="U56" s="75"/>
      <c r="V56" s="34"/>
      <c r="W56" s="73">
        <v>307</v>
      </c>
      <c r="X56" s="74"/>
      <c r="Y56" s="75"/>
      <c r="Z56" s="73">
        <v>308</v>
      </c>
      <c r="AA56" s="74"/>
      <c r="AB56" s="75"/>
      <c r="AC56" s="33"/>
      <c r="AD56" s="73">
        <v>309</v>
      </c>
      <c r="AE56" s="74"/>
      <c r="AF56" s="75"/>
      <c r="AG56" s="73">
        <v>310</v>
      </c>
      <c r="AH56" s="74"/>
      <c r="AI56" s="77"/>
      <c r="AN56" s="78">
        <v>311</v>
      </c>
      <c r="AO56" s="74"/>
      <c r="AP56" s="75"/>
      <c r="AQ56" s="73">
        <v>312</v>
      </c>
      <c r="AR56" s="74"/>
      <c r="AS56" s="75"/>
      <c r="AT56" s="34"/>
      <c r="AU56" s="73">
        <v>313</v>
      </c>
      <c r="AV56" s="74"/>
      <c r="AW56" s="75"/>
      <c r="AX56" s="73">
        <v>314</v>
      </c>
      <c r="AY56" s="74"/>
      <c r="AZ56" s="75"/>
      <c r="BA56" s="34"/>
      <c r="BB56" s="73">
        <v>315</v>
      </c>
      <c r="BC56" s="74"/>
      <c r="BD56" s="75"/>
      <c r="BE56" s="73">
        <v>316</v>
      </c>
      <c r="BF56" s="74"/>
      <c r="BG56" s="75"/>
      <c r="BH56" s="34"/>
      <c r="BI56" s="73">
        <v>317</v>
      </c>
      <c r="BJ56" s="74"/>
      <c r="BK56" s="75"/>
      <c r="BL56" s="73">
        <v>318</v>
      </c>
      <c r="BM56" s="74"/>
      <c r="BN56" s="75"/>
      <c r="BO56" s="33"/>
      <c r="BP56" s="73">
        <v>319</v>
      </c>
      <c r="BQ56" s="74"/>
      <c r="BR56" s="75"/>
      <c r="BS56" s="73">
        <v>320</v>
      </c>
      <c r="BT56" s="74"/>
      <c r="BU56" s="77"/>
    </row>
    <row r="57" spans="2:73" ht="27" customHeight="1" x14ac:dyDescent="0.25">
      <c r="B57" s="38"/>
      <c r="C57" s="36"/>
      <c r="D57" s="36"/>
      <c r="E57" s="36"/>
      <c r="F57" s="36"/>
      <c r="G57" s="36"/>
      <c r="H57" s="34"/>
      <c r="I57" s="36"/>
      <c r="J57" s="36"/>
      <c r="K57" s="36"/>
      <c r="L57" s="36"/>
      <c r="M57" s="36"/>
      <c r="N57" s="36"/>
      <c r="O57" s="34"/>
      <c r="P57" s="36"/>
      <c r="Q57" s="36"/>
      <c r="R57" s="36"/>
      <c r="S57" s="36"/>
      <c r="T57" s="36"/>
      <c r="U57" s="36"/>
      <c r="V57" s="34"/>
      <c r="W57" s="36"/>
      <c r="X57" s="36"/>
      <c r="Y57" s="36"/>
      <c r="Z57" s="36"/>
      <c r="AA57" s="36"/>
      <c r="AB57" s="36"/>
      <c r="AC57" s="34"/>
      <c r="AD57" s="36"/>
      <c r="AE57" s="36"/>
      <c r="AF57" s="36"/>
      <c r="AG57" s="36"/>
      <c r="AH57" s="36"/>
      <c r="AI57" s="37"/>
      <c r="AN57" s="38"/>
      <c r="AO57" s="36"/>
      <c r="AP57" s="36"/>
      <c r="AQ57" s="36"/>
      <c r="AR57" s="36"/>
      <c r="AS57" s="36"/>
      <c r="AU57" s="12"/>
      <c r="AV57" s="12"/>
      <c r="AW57" s="12"/>
      <c r="AX57" s="12"/>
      <c r="AY57" s="12"/>
      <c r="AZ57" s="12"/>
      <c r="BB57" s="12"/>
      <c r="BC57" s="12"/>
      <c r="BD57" s="12"/>
      <c r="BE57" s="12"/>
      <c r="BF57" s="12"/>
      <c r="BG57" s="12"/>
      <c r="BI57" s="12"/>
      <c r="BJ57" s="12"/>
      <c r="BK57" s="12"/>
      <c r="BL57" s="12"/>
      <c r="BM57" s="12"/>
      <c r="BN57" s="12"/>
      <c r="BP57" s="12"/>
      <c r="BQ57" s="12"/>
      <c r="BR57" s="12"/>
      <c r="BS57" s="12"/>
      <c r="BT57" s="12"/>
      <c r="BU57" s="31"/>
    </row>
    <row r="58" spans="2:73" ht="54" customHeight="1" x14ac:dyDescent="0.25">
      <c r="B58" s="76" t="s">
        <v>515</v>
      </c>
      <c r="C58" s="71"/>
      <c r="D58" s="71"/>
      <c r="E58" s="71" t="s">
        <v>517</v>
      </c>
      <c r="F58" s="71"/>
      <c r="G58" s="71"/>
      <c r="H58" s="34"/>
      <c r="I58" s="71" t="s">
        <v>421</v>
      </c>
      <c r="J58" s="71"/>
      <c r="K58" s="71"/>
      <c r="L58" s="71" t="s">
        <v>456</v>
      </c>
      <c r="M58" s="71"/>
      <c r="N58" s="71"/>
      <c r="O58" s="34"/>
      <c r="P58" s="71" t="s">
        <v>332</v>
      </c>
      <c r="Q58" s="71"/>
      <c r="R58" s="71"/>
      <c r="S58" s="71" t="s">
        <v>370</v>
      </c>
      <c r="T58" s="71"/>
      <c r="U58" s="71"/>
      <c r="V58" s="34"/>
      <c r="W58" s="71" t="s">
        <v>457</v>
      </c>
      <c r="X58" s="71"/>
      <c r="Y58" s="71"/>
      <c r="Z58" s="71" t="s">
        <v>448</v>
      </c>
      <c r="AA58" s="71"/>
      <c r="AB58" s="71"/>
      <c r="AC58" s="33"/>
      <c r="AD58" s="71" t="s">
        <v>378</v>
      </c>
      <c r="AE58" s="71"/>
      <c r="AF58" s="71"/>
      <c r="AG58" s="71" t="s">
        <v>449</v>
      </c>
      <c r="AH58" s="71"/>
      <c r="AI58" s="72"/>
      <c r="AN58" s="76" t="s">
        <v>315</v>
      </c>
      <c r="AO58" s="71"/>
      <c r="AP58" s="71"/>
      <c r="AQ58" s="71" t="s">
        <v>348</v>
      </c>
      <c r="AR58" s="71"/>
      <c r="AS58" s="71"/>
      <c r="AU58" s="87" t="str">
        <f>VLOOKUP(AU59,'[1]Millet - Plot Contents'!$A$2:$B$1001,2,FALSE)</f>
        <v>M 406</v>
      </c>
      <c r="AV58" s="88"/>
      <c r="AW58" s="89"/>
      <c r="AX58" s="87" t="str">
        <f>VLOOKUP(AX59,'[1]Millet - Plot Contents'!$A$2:$B$1001,2,FALSE)</f>
        <v>M 402</v>
      </c>
      <c r="AY58" s="88"/>
      <c r="AZ58" s="89"/>
      <c r="BA58" s="26"/>
      <c r="BB58" s="87" t="str">
        <f>VLOOKUP(BB59,'[1]Millet - Plot Contents'!$A$2:$B$1001,2,FALSE)</f>
        <v>M 193</v>
      </c>
      <c r="BC58" s="88"/>
      <c r="BD58" s="89"/>
      <c r="BE58" s="87" t="str">
        <f>VLOOKUP(BE59,'[1]Millet - Plot Contents'!$A$2:$B$1001,2,FALSE)</f>
        <v>M 444</v>
      </c>
      <c r="BF58" s="88"/>
      <c r="BG58" s="89"/>
      <c r="BH58" s="26"/>
      <c r="BI58" s="87" t="str">
        <f>VLOOKUP(BI59,'[1]Millet - Plot Contents'!$A$2:$B$1001,2,FALSE)</f>
        <v>M 79</v>
      </c>
      <c r="BJ58" s="88"/>
      <c r="BK58" s="89"/>
      <c r="BL58" s="87" t="str">
        <f>VLOOKUP(BL59,'[1]Millet - Plot Contents'!$A$2:$B$1001,2,FALSE)</f>
        <v>M 389</v>
      </c>
      <c r="BM58" s="88"/>
      <c r="BN58" s="89"/>
      <c r="BO58" s="27"/>
      <c r="BP58" s="87" t="str">
        <f>VLOOKUP(BP59,'[1]Millet - Plot Contents'!$A$2:$B$1001,2,FALSE)</f>
        <v>M 398</v>
      </c>
      <c r="BQ58" s="88"/>
      <c r="BR58" s="89"/>
      <c r="BS58" s="87" t="str">
        <f>VLOOKUP(BS59,'[1]Millet - Plot Contents'!$A$2:$B$1001,2,FALSE)</f>
        <v>M 414</v>
      </c>
      <c r="BT58" s="88"/>
      <c r="BU58" s="89"/>
    </row>
    <row r="59" spans="2:73" ht="27" customHeight="1" x14ac:dyDescent="0.25">
      <c r="B59" s="78">
        <v>321</v>
      </c>
      <c r="C59" s="74"/>
      <c r="D59" s="75"/>
      <c r="E59" s="73">
        <v>322</v>
      </c>
      <c r="F59" s="74"/>
      <c r="G59" s="75"/>
      <c r="H59" s="34"/>
      <c r="I59" s="73">
        <v>323</v>
      </c>
      <c r="J59" s="74"/>
      <c r="K59" s="75"/>
      <c r="L59" s="73">
        <v>324</v>
      </c>
      <c r="M59" s="74"/>
      <c r="N59" s="75"/>
      <c r="O59" s="34"/>
      <c r="P59" s="73">
        <v>325</v>
      </c>
      <c r="Q59" s="74"/>
      <c r="R59" s="75"/>
      <c r="S59" s="73">
        <v>326</v>
      </c>
      <c r="T59" s="74"/>
      <c r="U59" s="75"/>
      <c r="V59" s="34"/>
      <c r="W59" s="73">
        <v>327</v>
      </c>
      <c r="X59" s="74"/>
      <c r="Y59" s="75"/>
      <c r="Z59" s="73">
        <v>328</v>
      </c>
      <c r="AA59" s="74"/>
      <c r="AB59" s="75"/>
      <c r="AC59" s="33"/>
      <c r="AD59" s="73">
        <v>329</v>
      </c>
      <c r="AE59" s="74"/>
      <c r="AF59" s="75"/>
      <c r="AG59" s="73">
        <v>330</v>
      </c>
      <c r="AH59" s="74"/>
      <c r="AI59" s="77"/>
      <c r="AN59" s="78">
        <v>331</v>
      </c>
      <c r="AO59" s="74"/>
      <c r="AP59" s="75"/>
      <c r="AQ59" s="73">
        <v>332</v>
      </c>
      <c r="AR59" s="74"/>
      <c r="AS59" s="75"/>
      <c r="AU59" s="65">
        <v>333</v>
      </c>
      <c r="AV59" s="66"/>
      <c r="AW59" s="67"/>
      <c r="AX59" s="65">
        <v>334</v>
      </c>
      <c r="AY59" s="66"/>
      <c r="AZ59" s="67"/>
      <c r="BA59" s="26"/>
      <c r="BB59" s="65">
        <v>335</v>
      </c>
      <c r="BC59" s="66"/>
      <c r="BD59" s="67"/>
      <c r="BE59" s="65">
        <v>336</v>
      </c>
      <c r="BF59" s="66"/>
      <c r="BG59" s="67"/>
      <c r="BH59" s="26"/>
      <c r="BI59" s="65">
        <v>337</v>
      </c>
      <c r="BJ59" s="66"/>
      <c r="BK59" s="67"/>
      <c r="BL59" s="65">
        <v>338</v>
      </c>
      <c r="BM59" s="66"/>
      <c r="BN59" s="67"/>
      <c r="BO59" s="27"/>
      <c r="BP59" s="65">
        <v>339</v>
      </c>
      <c r="BQ59" s="66"/>
      <c r="BR59" s="67"/>
      <c r="BS59" s="65">
        <v>340</v>
      </c>
      <c r="BT59" s="66"/>
      <c r="BU59" s="68"/>
    </row>
    <row r="60" spans="2:73" ht="27" customHeight="1" x14ac:dyDescent="0.25">
      <c r="B60" s="32"/>
      <c r="C60" s="12"/>
      <c r="D60" s="12"/>
      <c r="E60" s="12"/>
      <c r="F60" s="12"/>
      <c r="G60" s="12"/>
      <c r="I60" s="12"/>
      <c r="J60" s="12"/>
      <c r="K60" s="12"/>
      <c r="L60" s="12"/>
      <c r="M60" s="12"/>
      <c r="N60" s="12"/>
      <c r="P60" s="12"/>
      <c r="Q60" s="12"/>
      <c r="R60" s="12"/>
      <c r="S60" s="12"/>
      <c r="T60" s="12"/>
      <c r="U60" s="12"/>
      <c r="W60" s="12"/>
      <c r="X60" s="12"/>
      <c r="Y60" s="12"/>
      <c r="Z60" s="12"/>
      <c r="AA60" s="12"/>
      <c r="AB60" s="12"/>
      <c r="AD60" s="12"/>
      <c r="AE60" s="12"/>
      <c r="AF60" s="12"/>
      <c r="AG60" s="12"/>
      <c r="AH60" s="12"/>
      <c r="AI60" s="31"/>
      <c r="AN60" s="32"/>
      <c r="AO60" s="12"/>
      <c r="AP60" s="12"/>
      <c r="AQ60" s="12"/>
      <c r="AR60" s="12"/>
      <c r="AS60" s="12"/>
      <c r="AU60" s="29"/>
      <c r="AV60" s="29"/>
      <c r="AW60" s="29"/>
      <c r="AX60" s="29"/>
      <c r="AY60" s="29"/>
      <c r="AZ60" s="29"/>
      <c r="BA60" s="26"/>
      <c r="BB60" s="29"/>
      <c r="BC60" s="29"/>
      <c r="BD60" s="29"/>
      <c r="BE60" s="29"/>
      <c r="BF60" s="29"/>
      <c r="BG60" s="29"/>
      <c r="BH60" s="26"/>
      <c r="BI60" s="29"/>
      <c r="BJ60" s="29"/>
      <c r="BK60" s="29"/>
      <c r="BL60" s="29"/>
      <c r="BM60" s="29"/>
      <c r="BN60" s="29"/>
      <c r="BO60" s="26"/>
      <c r="BP60" s="29"/>
      <c r="BQ60" s="29"/>
      <c r="BR60" s="29"/>
      <c r="BS60" s="29"/>
      <c r="BT60" s="29"/>
      <c r="BU60" s="30"/>
    </row>
    <row r="61" spans="2:73" ht="54" customHeight="1" x14ac:dyDescent="0.25">
      <c r="B61" s="60" t="s">
        <v>319</v>
      </c>
      <c r="C61" s="61"/>
      <c r="D61" s="61"/>
      <c r="E61" s="61" t="s">
        <v>316</v>
      </c>
      <c r="F61" s="61"/>
      <c r="G61" s="61"/>
      <c r="H61" s="26"/>
      <c r="I61" s="61" t="s">
        <v>351</v>
      </c>
      <c r="J61" s="61"/>
      <c r="K61" s="61"/>
      <c r="L61" s="61" t="s">
        <v>353</v>
      </c>
      <c r="M61" s="61"/>
      <c r="N61" s="61"/>
      <c r="O61" s="26"/>
      <c r="P61" s="61" t="s">
        <v>323</v>
      </c>
      <c r="Q61" s="61"/>
      <c r="R61" s="61"/>
      <c r="S61" s="61" t="s">
        <v>514</v>
      </c>
      <c r="T61" s="61"/>
      <c r="U61" s="61"/>
      <c r="V61" s="26"/>
      <c r="W61" s="61" t="s">
        <v>369</v>
      </c>
      <c r="X61" s="61"/>
      <c r="Y61" s="61"/>
      <c r="Z61" s="61" t="s">
        <v>349</v>
      </c>
      <c r="AA61" s="61"/>
      <c r="AB61" s="61"/>
      <c r="AC61" s="27"/>
      <c r="AD61" s="61" t="s">
        <v>278</v>
      </c>
      <c r="AE61" s="61"/>
      <c r="AF61" s="61"/>
      <c r="AG61" s="61" t="s">
        <v>380</v>
      </c>
      <c r="AH61" s="61"/>
      <c r="AI61" s="70"/>
      <c r="AN61" s="60" t="s">
        <v>456</v>
      </c>
      <c r="AO61" s="61"/>
      <c r="AP61" s="61"/>
      <c r="AQ61" s="61" t="s">
        <v>442</v>
      </c>
      <c r="AR61" s="61"/>
      <c r="AS61" s="61"/>
      <c r="AT61" s="26"/>
      <c r="AU61" s="61" t="s">
        <v>387</v>
      </c>
      <c r="AV61" s="61"/>
      <c r="AW61" s="61"/>
      <c r="AX61" s="61" t="s">
        <v>401</v>
      </c>
      <c r="AY61" s="61"/>
      <c r="AZ61" s="61"/>
      <c r="BA61" s="26"/>
      <c r="BB61" s="61" t="s">
        <v>519</v>
      </c>
      <c r="BC61" s="61"/>
      <c r="BD61" s="61"/>
      <c r="BE61" s="61" t="s">
        <v>362</v>
      </c>
      <c r="BF61" s="61"/>
      <c r="BG61" s="61"/>
      <c r="BH61" s="26"/>
      <c r="BI61" s="61" t="s">
        <v>364</v>
      </c>
      <c r="BJ61" s="61"/>
      <c r="BK61" s="61"/>
      <c r="BL61" s="61" t="s">
        <v>452</v>
      </c>
      <c r="BM61" s="61"/>
      <c r="BN61" s="61"/>
      <c r="BO61" s="27"/>
      <c r="BP61" s="61" t="s">
        <v>368</v>
      </c>
      <c r="BQ61" s="61"/>
      <c r="BR61" s="61"/>
      <c r="BS61" s="61" t="s">
        <v>419</v>
      </c>
      <c r="BT61" s="61"/>
      <c r="BU61" s="70"/>
    </row>
    <row r="62" spans="2:73" ht="27" customHeight="1" x14ac:dyDescent="0.25">
      <c r="B62" s="69">
        <v>341</v>
      </c>
      <c r="C62" s="66"/>
      <c r="D62" s="67"/>
      <c r="E62" s="65">
        <v>342</v>
      </c>
      <c r="F62" s="66"/>
      <c r="G62" s="67"/>
      <c r="H62" s="26"/>
      <c r="I62" s="65">
        <v>343</v>
      </c>
      <c r="J62" s="66"/>
      <c r="K62" s="67"/>
      <c r="L62" s="65">
        <v>344</v>
      </c>
      <c r="M62" s="66"/>
      <c r="N62" s="67"/>
      <c r="O62" s="26"/>
      <c r="P62" s="65">
        <v>345</v>
      </c>
      <c r="Q62" s="66"/>
      <c r="R62" s="67"/>
      <c r="S62" s="65">
        <v>346</v>
      </c>
      <c r="T62" s="66"/>
      <c r="U62" s="67"/>
      <c r="V62" s="26"/>
      <c r="W62" s="65">
        <v>347</v>
      </c>
      <c r="X62" s="66"/>
      <c r="Y62" s="67"/>
      <c r="Z62" s="65">
        <v>348</v>
      </c>
      <c r="AA62" s="66"/>
      <c r="AB62" s="67"/>
      <c r="AC62" s="27"/>
      <c r="AD62" s="65">
        <v>349</v>
      </c>
      <c r="AE62" s="66"/>
      <c r="AF62" s="67"/>
      <c r="AG62" s="65">
        <v>350</v>
      </c>
      <c r="AH62" s="66"/>
      <c r="AI62" s="68"/>
      <c r="AN62" s="69">
        <v>351</v>
      </c>
      <c r="AO62" s="66"/>
      <c r="AP62" s="67"/>
      <c r="AQ62" s="65">
        <v>352</v>
      </c>
      <c r="AR62" s="66"/>
      <c r="AS62" s="67"/>
      <c r="AT62" s="26"/>
      <c r="AU62" s="65">
        <v>353</v>
      </c>
      <c r="AV62" s="66"/>
      <c r="AW62" s="67"/>
      <c r="AX62" s="65">
        <v>354</v>
      </c>
      <c r="AY62" s="66"/>
      <c r="AZ62" s="67"/>
      <c r="BA62" s="26"/>
      <c r="BB62" s="65">
        <v>355</v>
      </c>
      <c r="BC62" s="66"/>
      <c r="BD62" s="67"/>
      <c r="BE62" s="65">
        <v>356</v>
      </c>
      <c r="BF62" s="66"/>
      <c r="BG62" s="67"/>
      <c r="BH62" s="26"/>
      <c r="BI62" s="65">
        <v>357</v>
      </c>
      <c r="BJ62" s="66"/>
      <c r="BK62" s="67"/>
      <c r="BL62" s="65">
        <v>358</v>
      </c>
      <c r="BM62" s="66"/>
      <c r="BN62" s="67"/>
      <c r="BO62" s="27"/>
      <c r="BP62" s="65">
        <v>359</v>
      </c>
      <c r="BQ62" s="66"/>
      <c r="BR62" s="67"/>
      <c r="BS62" s="65">
        <v>360</v>
      </c>
      <c r="BT62" s="66"/>
      <c r="BU62" s="68"/>
    </row>
    <row r="63" spans="2:73" ht="27" customHeight="1" x14ac:dyDescent="0.25">
      <c r="B63" s="28"/>
      <c r="C63" s="29"/>
      <c r="D63" s="29"/>
      <c r="E63" s="29"/>
      <c r="F63" s="29"/>
      <c r="G63" s="29"/>
      <c r="H63" s="26"/>
      <c r="I63" s="29"/>
      <c r="J63" s="29"/>
      <c r="K63" s="29"/>
      <c r="L63" s="29"/>
      <c r="M63" s="29"/>
      <c r="N63" s="29"/>
      <c r="O63" s="26"/>
      <c r="P63" s="29"/>
      <c r="Q63" s="29"/>
      <c r="R63" s="29"/>
      <c r="S63" s="29"/>
      <c r="T63" s="29"/>
      <c r="U63" s="29"/>
      <c r="V63" s="26"/>
      <c r="W63" s="29"/>
      <c r="X63" s="29"/>
      <c r="Y63" s="29"/>
      <c r="Z63" s="29"/>
      <c r="AA63" s="29"/>
      <c r="AB63" s="29"/>
      <c r="AC63" s="26"/>
      <c r="AD63" s="29"/>
      <c r="AE63" s="29"/>
      <c r="AF63" s="29"/>
      <c r="AG63" s="29"/>
      <c r="AH63" s="29"/>
      <c r="AI63" s="30"/>
      <c r="AN63" s="28"/>
      <c r="AO63" s="29"/>
      <c r="AP63" s="29"/>
      <c r="AQ63" s="29"/>
      <c r="AR63" s="29"/>
      <c r="AS63" s="29"/>
      <c r="AT63" s="26"/>
      <c r="AU63" s="29"/>
      <c r="AV63" s="29"/>
      <c r="AW63" s="29"/>
      <c r="AX63" s="29"/>
      <c r="AY63" s="29"/>
      <c r="AZ63" s="29"/>
      <c r="BA63" s="26"/>
      <c r="BB63" s="29"/>
      <c r="BC63" s="29"/>
      <c r="BD63" s="29"/>
      <c r="BE63" s="29"/>
      <c r="BF63" s="29"/>
      <c r="BG63" s="29"/>
      <c r="BH63" s="26"/>
      <c r="BI63" s="29"/>
      <c r="BJ63" s="29"/>
      <c r="BK63" s="29"/>
      <c r="BL63" s="29"/>
      <c r="BM63" s="29"/>
      <c r="BN63" s="29"/>
      <c r="BO63" s="26"/>
      <c r="BP63" s="29"/>
      <c r="BQ63" s="29"/>
      <c r="BR63" s="29"/>
      <c r="BS63" s="29"/>
      <c r="BT63" s="29"/>
      <c r="BU63" s="30"/>
    </row>
    <row r="64" spans="2:73" ht="54" customHeight="1" x14ac:dyDescent="0.25">
      <c r="B64" s="60" t="s">
        <v>328</v>
      </c>
      <c r="C64" s="61"/>
      <c r="D64" s="61"/>
      <c r="E64" s="61" t="s">
        <v>372</v>
      </c>
      <c r="F64" s="61"/>
      <c r="G64" s="61"/>
      <c r="H64" s="26"/>
      <c r="I64" s="61" t="s">
        <v>463</v>
      </c>
      <c r="J64" s="61"/>
      <c r="K64" s="61"/>
      <c r="L64" s="61" t="s">
        <v>461</v>
      </c>
      <c r="M64" s="61"/>
      <c r="N64" s="61"/>
      <c r="O64" s="26"/>
      <c r="P64" s="61" t="s">
        <v>515</v>
      </c>
      <c r="Q64" s="61"/>
      <c r="R64" s="61"/>
      <c r="S64" s="61" t="s">
        <v>518</v>
      </c>
      <c r="T64" s="61"/>
      <c r="U64" s="61"/>
      <c r="V64" s="26"/>
      <c r="W64" s="61" t="s">
        <v>386</v>
      </c>
      <c r="X64" s="61"/>
      <c r="Y64" s="61"/>
      <c r="Z64" s="61" t="s">
        <v>432</v>
      </c>
      <c r="AA64" s="61"/>
      <c r="AB64" s="61"/>
      <c r="AC64" s="27"/>
      <c r="AD64" s="61" t="s">
        <v>320</v>
      </c>
      <c r="AE64" s="61"/>
      <c r="AF64" s="61"/>
      <c r="AG64" s="61" t="s">
        <v>314</v>
      </c>
      <c r="AH64" s="61"/>
      <c r="AI64" s="70"/>
      <c r="AN64" s="60" t="s">
        <v>520</v>
      </c>
      <c r="AO64" s="61"/>
      <c r="AP64" s="61"/>
      <c r="AQ64" s="61" t="s">
        <v>434</v>
      </c>
      <c r="AR64" s="61"/>
      <c r="AS64" s="61"/>
      <c r="AT64" s="26"/>
      <c r="AU64" s="61" t="s">
        <v>363</v>
      </c>
      <c r="AV64" s="61"/>
      <c r="AW64" s="61"/>
      <c r="AX64" s="61" t="s">
        <v>315</v>
      </c>
      <c r="AY64" s="61"/>
      <c r="AZ64" s="61"/>
      <c r="BA64" s="26"/>
      <c r="BB64" s="61" t="s">
        <v>390</v>
      </c>
      <c r="BC64" s="61"/>
      <c r="BD64" s="61"/>
      <c r="BE64" s="61" t="s">
        <v>431</v>
      </c>
      <c r="BF64" s="61"/>
      <c r="BG64" s="61"/>
      <c r="BH64" s="26"/>
      <c r="BI64" s="61" t="s">
        <v>414</v>
      </c>
      <c r="BJ64" s="61"/>
      <c r="BK64" s="61"/>
      <c r="BL64" s="61" t="s">
        <v>402</v>
      </c>
      <c r="BM64" s="61"/>
      <c r="BN64" s="61"/>
      <c r="BO64" s="27"/>
      <c r="BP64" s="61" t="s">
        <v>389</v>
      </c>
      <c r="BQ64" s="61"/>
      <c r="BR64" s="61"/>
      <c r="BS64" s="61" t="s">
        <v>359</v>
      </c>
      <c r="BT64" s="61"/>
      <c r="BU64" s="70"/>
    </row>
    <row r="65" spans="2:73" ht="27" customHeight="1" x14ac:dyDescent="0.25">
      <c r="B65" s="69">
        <v>361</v>
      </c>
      <c r="C65" s="66"/>
      <c r="D65" s="67"/>
      <c r="E65" s="65">
        <v>362</v>
      </c>
      <c r="F65" s="66"/>
      <c r="G65" s="67"/>
      <c r="H65" s="26"/>
      <c r="I65" s="65">
        <v>363</v>
      </c>
      <c r="J65" s="66"/>
      <c r="K65" s="67"/>
      <c r="L65" s="65">
        <v>364</v>
      </c>
      <c r="M65" s="66"/>
      <c r="N65" s="67"/>
      <c r="O65" s="26"/>
      <c r="P65" s="65">
        <v>365</v>
      </c>
      <c r="Q65" s="66"/>
      <c r="R65" s="67"/>
      <c r="S65" s="65">
        <v>366</v>
      </c>
      <c r="T65" s="66"/>
      <c r="U65" s="67"/>
      <c r="V65" s="26"/>
      <c r="W65" s="65">
        <v>367</v>
      </c>
      <c r="X65" s="66"/>
      <c r="Y65" s="67"/>
      <c r="Z65" s="65">
        <v>368</v>
      </c>
      <c r="AA65" s="66"/>
      <c r="AB65" s="67"/>
      <c r="AC65" s="27"/>
      <c r="AD65" s="65">
        <v>369</v>
      </c>
      <c r="AE65" s="66"/>
      <c r="AF65" s="67"/>
      <c r="AG65" s="65">
        <v>370</v>
      </c>
      <c r="AH65" s="66"/>
      <c r="AI65" s="68"/>
      <c r="AN65" s="69">
        <v>371</v>
      </c>
      <c r="AO65" s="66"/>
      <c r="AP65" s="67"/>
      <c r="AQ65" s="65">
        <v>372</v>
      </c>
      <c r="AR65" s="66"/>
      <c r="AS65" s="67"/>
      <c r="AT65" s="26"/>
      <c r="AU65" s="65">
        <v>373</v>
      </c>
      <c r="AV65" s="66"/>
      <c r="AW65" s="67"/>
      <c r="AX65" s="65">
        <v>374</v>
      </c>
      <c r="AY65" s="66"/>
      <c r="AZ65" s="67"/>
      <c r="BA65" s="26"/>
      <c r="BB65" s="65">
        <v>375</v>
      </c>
      <c r="BC65" s="66"/>
      <c r="BD65" s="67"/>
      <c r="BE65" s="65">
        <v>376</v>
      </c>
      <c r="BF65" s="66"/>
      <c r="BG65" s="67"/>
      <c r="BH65" s="26"/>
      <c r="BI65" s="65">
        <v>377</v>
      </c>
      <c r="BJ65" s="66"/>
      <c r="BK65" s="67"/>
      <c r="BL65" s="65">
        <v>378</v>
      </c>
      <c r="BM65" s="66"/>
      <c r="BN65" s="67"/>
      <c r="BO65" s="27"/>
      <c r="BP65" s="65">
        <v>379</v>
      </c>
      <c r="BQ65" s="66"/>
      <c r="BR65" s="67"/>
      <c r="BS65" s="65">
        <v>380</v>
      </c>
      <c r="BT65" s="66"/>
      <c r="BU65" s="68"/>
    </row>
    <row r="66" spans="2:73" ht="27" customHeight="1" x14ac:dyDescent="0.25">
      <c r="B66" s="28"/>
      <c r="C66" s="29"/>
      <c r="D66" s="29"/>
      <c r="E66" s="29"/>
      <c r="F66" s="29"/>
      <c r="G66" s="29"/>
      <c r="H66" s="26"/>
      <c r="I66" s="29"/>
      <c r="J66" s="29"/>
      <c r="K66" s="29"/>
      <c r="L66" s="29"/>
      <c r="M66" s="29"/>
      <c r="N66" s="29"/>
      <c r="O66" s="26"/>
      <c r="P66" s="29"/>
      <c r="Q66" s="29"/>
      <c r="R66" s="29"/>
      <c r="S66" s="29"/>
      <c r="T66" s="29"/>
      <c r="U66" s="29"/>
      <c r="V66" s="26"/>
      <c r="W66" s="29"/>
      <c r="X66" s="29"/>
      <c r="Y66" s="29"/>
      <c r="Z66" s="29"/>
      <c r="AA66" s="29"/>
      <c r="AB66" s="29"/>
      <c r="AC66" s="26"/>
      <c r="AD66" s="29"/>
      <c r="AE66" s="29"/>
      <c r="AF66" s="29"/>
      <c r="AG66" s="29"/>
      <c r="AH66" s="29"/>
      <c r="AI66" s="30"/>
      <c r="AN66" s="28"/>
      <c r="AO66" s="29"/>
      <c r="AP66" s="29"/>
      <c r="AQ66" s="29"/>
      <c r="AR66" s="29"/>
      <c r="AS66" s="29"/>
      <c r="AT66" s="26"/>
      <c r="AU66" s="29"/>
      <c r="AV66" s="29"/>
      <c r="AW66" s="29"/>
      <c r="AX66" s="29"/>
      <c r="AY66" s="29"/>
      <c r="AZ66" s="29"/>
      <c r="BA66" s="26"/>
      <c r="BB66" s="29"/>
      <c r="BC66" s="29"/>
      <c r="BD66" s="29"/>
      <c r="BE66" s="29"/>
      <c r="BF66" s="29"/>
      <c r="BG66" s="29"/>
      <c r="BH66" s="26"/>
      <c r="BI66" s="29"/>
      <c r="BJ66" s="29"/>
      <c r="BK66" s="29"/>
      <c r="BL66" s="29"/>
      <c r="BM66" s="29"/>
      <c r="BN66" s="29"/>
      <c r="BO66" s="26"/>
      <c r="BP66" s="29"/>
      <c r="BQ66" s="29"/>
      <c r="BR66" s="29"/>
      <c r="BS66" s="29"/>
      <c r="BT66" s="29"/>
      <c r="BU66" s="30"/>
    </row>
    <row r="67" spans="2:73" ht="54" customHeight="1" x14ac:dyDescent="0.25">
      <c r="B67" s="60" t="s">
        <v>381</v>
      </c>
      <c r="C67" s="61"/>
      <c r="D67" s="61"/>
      <c r="E67" s="61" t="s">
        <v>330</v>
      </c>
      <c r="F67" s="61"/>
      <c r="G67" s="61"/>
      <c r="H67" s="26"/>
      <c r="I67" s="61" t="s">
        <v>392</v>
      </c>
      <c r="J67" s="61"/>
      <c r="K67" s="61"/>
      <c r="L67" s="61" t="s">
        <v>506</v>
      </c>
      <c r="M67" s="61"/>
      <c r="N67" s="61"/>
      <c r="O67" s="26"/>
      <c r="P67" s="61" t="s">
        <v>373</v>
      </c>
      <c r="Q67" s="61"/>
      <c r="R67" s="61"/>
      <c r="S67" s="61" t="s">
        <v>377</v>
      </c>
      <c r="T67" s="61"/>
      <c r="U67" s="61"/>
      <c r="V67" s="26"/>
      <c r="W67" s="61" t="s">
        <v>468</v>
      </c>
      <c r="X67" s="61"/>
      <c r="Y67" s="61"/>
      <c r="Z67" s="61" t="s">
        <v>324</v>
      </c>
      <c r="AA67" s="61"/>
      <c r="AB67" s="61"/>
      <c r="AC67" s="27"/>
      <c r="AD67" s="61" t="s">
        <v>433</v>
      </c>
      <c r="AE67" s="61"/>
      <c r="AF67" s="61"/>
      <c r="AG67" s="61" t="s">
        <v>411</v>
      </c>
      <c r="AH67" s="61"/>
      <c r="AI67" s="70"/>
      <c r="AN67" s="60" t="s">
        <v>415</v>
      </c>
      <c r="AO67" s="61"/>
      <c r="AP67" s="61"/>
      <c r="AQ67" s="61" t="s">
        <v>426</v>
      </c>
      <c r="AR67" s="61"/>
      <c r="AS67" s="61"/>
      <c r="AT67" s="26"/>
      <c r="AU67" s="61" t="s">
        <v>521</v>
      </c>
      <c r="AV67" s="61"/>
      <c r="AW67" s="61"/>
      <c r="AX67" s="61" t="s">
        <v>430</v>
      </c>
      <c r="AY67" s="61"/>
      <c r="AZ67" s="61"/>
      <c r="BA67" s="26"/>
      <c r="BB67" s="61" t="s">
        <v>317</v>
      </c>
      <c r="BC67" s="61"/>
      <c r="BD67" s="61"/>
      <c r="BE67" s="61" t="s">
        <v>409</v>
      </c>
      <c r="BF67" s="61"/>
      <c r="BG67" s="61"/>
      <c r="BH67" s="26"/>
      <c r="BI67" s="61" t="s">
        <v>460</v>
      </c>
      <c r="BJ67" s="61"/>
      <c r="BK67" s="61"/>
      <c r="BL67" s="61" t="s">
        <v>428</v>
      </c>
      <c r="BM67" s="61"/>
      <c r="BN67" s="61"/>
      <c r="BO67" s="27"/>
      <c r="BP67" s="61" t="s">
        <v>439</v>
      </c>
      <c r="BQ67" s="61"/>
      <c r="BR67" s="61"/>
      <c r="BS67" s="61" t="s">
        <v>391</v>
      </c>
      <c r="BT67" s="61"/>
      <c r="BU67" s="70"/>
    </row>
    <row r="68" spans="2:73" ht="27" customHeight="1" x14ac:dyDescent="0.25">
      <c r="B68" s="69">
        <v>381</v>
      </c>
      <c r="C68" s="66"/>
      <c r="D68" s="67"/>
      <c r="E68" s="65">
        <v>382</v>
      </c>
      <c r="F68" s="66"/>
      <c r="G68" s="67"/>
      <c r="H68" s="26"/>
      <c r="I68" s="65">
        <v>383</v>
      </c>
      <c r="J68" s="66"/>
      <c r="K68" s="67"/>
      <c r="L68" s="65">
        <v>384</v>
      </c>
      <c r="M68" s="66"/>
      <c r="N68" s="67"/>
      <c r="O68" s="26"/>
      <c r="P68" s="65">
        <v>385</v>
      </c>
      <c r="Q68" s="66"/>
      <c r="R68" s="67"/>
      <c r="S68" s="65">
        <v>386</v>
      </c>
      <c r="T68" s="66"/>
      <c r="U68" s="67"/>
      <c r="V68" s="26"/>
      <c r="W68" s="65">
        <v>387</v>
      </c>
      <c r="X68" s="66"/>
      <c r="Y68" s="67"/>
      <c r="Z68" s="65">
        <v>388</v>
      </c>
      <c r="AA68" s="66"/>
      <c r="AB68" s="67"/>
      <c r="AC68" s="27"/>
      <c r="AD68" s="65">
        <v>389</v>
      </c>
      <c r="AE68" s="66"/>
      <c r="AF68" s="67"/>
      <c r="AG68" s="65">
        <v>390</v>
      </c>
      <c r="AH68" s="66"/>
      <c r="AI68" s="68"/>
      <c r="AN68" s="69">
        <v>391</v>
      </c>
      <c r="AO68" s="66"/>
      <c r="AP68" s="67"/>
      <c r="AQ68" s="65">
        <v>392</v>
      </c>
      <c r="AR68" s="66"/>
      <c r="AS68" s="67"/>
      <c r="AT68" s="26"/>
      <c r="AU68" s="65">
        <v>393</v>
      </c>
      <c r="AV68" s="66"/>
      <c r="AW68" s="67"/>
      <c r="AX68" s="65">
        <v>394</v>
      </c>
      <c r="AY68" s="66"/>
      <c r="AZ68" s="67"/>
      <c r="BA68" s="26"/>
      <c r="BB68" s="65">
        <v>395</v>
      </c>
      <c r="BC68" s="66"/>
      <c r="BD68" s="67"/>
      <c r="BE68" s="65">
        <v>396</v>
      </c>
      <c r="BF68" s="66"/>
      <c r="BG68" s="67"/>
      <c r="BH68" s="26"/>
      <c r="BI68" s="65">
        <v>397</v>
      </c>
      <c r="BJ68" s="66"/>
      <c r="BK68" s="67"/>
      <c r="BL68" s="65">
        <v>398</v>
      </c>
      <c r="BM68" s="66"/>
      <c r="BN68" s="67"/>
      <c r="BO68" s="27"/>
      <c r="BP68" s="65">
        <v>399</v>
      </c>
      <c r="BQ68" s="66"/>
      <c r="BR68" s="67"/>
      <c r="BS68" s="65">
        <v>400</v>
      </c>
      <c r="BT68" s="66"/>
      <c r="BU68" s="68"/>
    </row>
    <row r="69" spans="2:73" ht="27" customHeight="1" x14ac:dyDescent="0.25">
      <c r="B69" s="28"/>
      <c r="C69" s="29"/>
      <c r="D69" s="29"/>
      <c r="E69" s="29"/>
      <c r="F69" s="29"/>
      <c r="G69" s="29"/>
      <c r="H69" s="26"/>
      <c r="I69" s="29"/>
      <c r="J69" s="29"/>
      <c r="K69" s="29"/>
      <c r="L69" s="29"/>
      <c r="M69" s="29"/>
      <c r="N69" s="29"/>
      <c r="O69" s="26"/>
      <c r="P69" s="29"/>
      <c r="Q69" s="29"/>
      <c r="R69" s="29"/>
      <c r="S69" s="29"/>
      <c r="T69" s="29"/>
      <c r="U69" s="29"/>
      <c r="V69" s="26"/>
      <c r="W69" s="29"/>
      <c r="X69" s="29"/>
      <c r="Y69" s="29"/>
      <c r="Z69" s="29"/>
      <c r="AA69" s="29"/>
      <c r="AB69" s="29"/>
      <c r="AC69" s="26"/>
      <c r="AD69" s="29"/>
      <c r="AE69" s="29"/>
      <c r="AF69" s="29"/>
      <c r="AG69" s="29"/>
      <c r="AH69" s="29"/>
      <c r="AI69" s="30"/>
      <c r="AN69" s="28"/>
      <c r="AO69" s="29"/>
      <c r="AP69" s="29"/>
      <c r="AQ69" s="29"/>
      <c r="AR69" s="29"/>
      <c r="AS69" s="29"/>
      <c r="AT69" s="26"/>
      <c r="AU69" s="29"/>
      <c r="AV69" s="29"/>
      <c r="AW69" s="29"/>
      <c r="AX69" s="29"/>
      <c r="AY69" s="29"/>
      <c r="AZ69" s="29"/>
      <c r="BA69" s="26"/>
      <c r="BB69" s="29"/>
      <c r="BC69" s="29"/>
      <c r="BD69" s="29"/>
      <c r="BE69" s="29"/>
      <c r="BF69" s="29"/>
      <c r="BG69" s="29"/>
      <c r="BH69" s="26"/>
      <c r="BI69" s="29"/>
      <c r="BJ69" s="29"/>
      <c r="BK69" s="29"/>
      <c r="BL69" s="29"/>
      <c r="BM69" s="29"/>
      <c r="BN69" s="29"/>
      <c r="BO69" s="26"/>
      <c r="BP69" s="29"/>
      <c r="BQ69" s="29"/>
      <c r="BR69" s="29"/>
      <c r="BS69" s="29"/>
      <c r="BT69" s="29"/>
      <c r="BU69" s="30"/>
    </row>
    <row r="70" spans="2:73" ht="54" customHeight="1" x14ac:dyDescent="0.25">
      <c r="B70" s="60" t="s">
        <v>446</v>
      </c>
      <c r="C70" s="61"/>
      <c r="D70" s="61"/>
      <c r="E70" s="61" t="s">
        <v>374</v>
      </c>
      <c r="F70" s="61"/>
      <c r="G70" s="61"/>
      <c r="H70" s="26"/>
      <c r="I70" s="61" t="s">
        <v>356</v>
      </c>
      <c r="J70" s="61"/>
      <c r="K70" s="61"/>
      <c r="L70" s="61" t="s">
        <v>454</v>
      </c>
      <c r="M70" s="61"/>
      <c r="N70" s="61"/>
      <c r="O70" s="26"/>
      <c r="P70" s="61" t="s">
        <v>342</v>
      </c>
      <c r="Q70" s="61"/>
      <c r="R70" s="61"/>
      <c r="S70" s="61" t="s">
        <v>332</v>
      </c>
      <c r="T70" s="61"/>
      <c r="U70" s="61"/>
      <c r="V70" s="26"/>
      <c r="W70" s="61" t="s">
        <v>395</v>
      </c>
      <c r="X70" s="61"/>
      <c r="Y70" s="61"/>
      <c r="Z70" s="61" t="s">
        <v>416</v>
      </c>
      <c r="AA70" s="61"/>
      <c r="AB70" s="61"/>
      <c r="AC70" s="27"/>
      <c r="AD70" s="61" t="s">
        <v>360</v>
      </c>
      <c r="AE70" s="61"/>
      <c r="AF70" s="61"/>
      <c r="AG70" s="61" t="s">
        <v>371</v>
      </c>
      <c r="AH70" s="61"/>
      <c r="AI70" s="70"/>
      <c r="AN70" s="60" t="s">
        <v>306</v>
      </c>
      <c r="AO70" s="61"/>
      <c r="AP70" s="61"/>
      <c r="AQ70" s="61" t="s">
        <v>406</v>
      </c>
      <c r="AR70" s="61"/>
      <c r="AS70" s="61"/>
      <c r="AT70" s="26"/>
      <c r="AU70" s="61" t="s">
        <v>345</v>
      </c>
      <c r="AV70" s="61"/>
      <c r="AW70" s="61"/>
      <c r="AX70" s="61" t="s">
        <v>453</v>
      </c>
      <c r="AY70" s="61"/>
      <c r="AZ70" s="61"/>
      <c r="BA70" s="26"/>
      <c r="BB70" s="61" t="s">
        <v>333</v>
      </c>
      <c r="BC70" s="61"/>
      <c r="BD70" s="61"/>
      <c r="BE70" s="61" t="s">
        <v>382</v>
      </c>
      <c r="BF70" s="61"/>
      <c r="BG70" s="61"/>
      <c r="BH70" s="26"/>
      <c r="BI70" s="61" t="s">
        <v>413</v>
      </c>
      <c r="BJ70" s="61"/>
      <c r="BK70" s="61"/>
      <c r="BL70" s="61" t="s">
        <v>427</v>
      </c>
      <c r="BM70" s="61"/>
      <c r="BN70" s="61"/>
      <c r="BO70" s="27"/>
      <c r="BP70" s="61" t="s">
        <v>338</v>
      </c>
      <c r="BQ70" s="61"/>
      <c r="BR70" s="61"/>
      <c r="BS70" s="61" t="s">
        <v>516</v>
      </c>
      <c r="BT70" s="61"/>
      <c r="BU70" s="70"/>
    </row>
    <row r="71" spans="2:73" ht="27" customHeight="1" x14ac:dyDescent="0.25">
      <c r="B71" s="69">
        <v>401</v>
      </c>
      <c r="C71" s="66"/>
      <c r="D71" s="67"/>
      <c r="E71" s="65">
        <v>402</v>
      </c>
      <c r="F71" s="66"/>
      <c r="G71" s="67"/>
      <c r="H71" s="26"/>
      <c r="I71" s="65">
        <v>403</v>
      </c>
      <c r="J71" s="66"/>
      <c r="K71" s="67"/>
      <c r="L71" s="65">
        <v>404</v>
      </c>
      <c r="M71" s="66"/>
      <c r="N71" s="67"/>
      <c r="O71" s="26"/>
      <c r="P71" s="65">
        <v>405</v>
      </c>
      <c r="Q71" s="66"/>
      <c r="R71" s="67"/>
      <c r="S71" s="65">
        <v>406</v>
      </c>
      <c r="T71" s="66"/>
      <c r="U71" s="67"/>
      <c r="V71" s="26"/>
      <c r="W71" s="65">
        <v>407</v>
      </c>
      <c r="X71" s="66"/>
      <c r="Y71" s="67"/>
      <c r="Z71" s="65">
        <v>408</v>
      </c>
      <c r="AA71" s="66"/>
      <c r="AB71" s="67"/>
      <c r="AC71" s="27"/>
      <c r="AD71" s="65">
        <v>409</v>
      </c>
      <c r="AE71" s="66"/>
      <c r="AF71" s="67"/>
      <c r="AG71" s="65">
        <v>410</v>
      </c>
      <c r="AH71" s="66"/>
      <c r="AI71" s="68"/>
      <c r="AN71" s="69">
        <v>411</v>
      </c>
      <c r="AO71" s="66"/>
      <c r="AP71" s="67"/>
      <c r="AQ71" s="65">
        <v>412</v>
      </c>
      <c r="AR71" s="66"/>
      <c r="AS71" s="67"/>
      <c r="AT71" s="26"/>
      <c r="AU71" s="65">
        <v>413</v>
      </c>
      <c r="AV71" s="66"/>
      <c r="AW71" s="67"/>
      <c r="AX71" s="65">
        <v>414</v>
      </c>
      <c r="AY71" s="66"/>
      <c r="AZ71" s="67"/>
      <c r="BA71" s="26"/>
      <c r="BB71" s="65">
        <v>415</v>
      </c>
      <c r="BC71" s="66"/>
      <c r="BD71" s="67"/>
      <c r="BE71" s="65">
        <v>416</v>
      </c>
      <c r="BF71" s="66"/>
      <c r="BG71" s="67"/>
      <c r="BH71" s="26"/>
      <c r="BI71" s="65">
        <v>417</v>
      </c>
      <c r="BJ71" s="66"/>
      <c r="BK71" s="67"/>
      <c r="BL71" s="65">
        <v>418</v>
      </c>
      <c r="BM71" s="66"/>
      <c r="BN71" s="67"/>
      <c r="BO71" s="27"/>
      <c r="BP71" s="65">
        <v>419</v>
      </c>
      <c r="BQ71" s="66"/>
      <c r="BR71" s="67"/>
      <c r="BS71" s="65">
        <v>420</v>
      </c>
      <c r="BT71" s="66"/>
      <c r="BU71" s="68"/>
    </row>
    <row r="72" spans="2:73" ht="27" customHeight="1" x14ac:dyDescent="0.25">
      <c r="B72" s="28"/>
      <c r="C72" s="29"/>
      <c r="D72" s="29"/>
      <c r="E72" s="29"/>
      <c r="F72" s="29"/>
      <c r="G72" s="29"/>
      <c r="H72" s="26"/>
      <c r="I72" s="29"/>
      <c r="J72" s="29"/>
      <c r="K72" s="29"/>
      <c r="L72" s="29"/>
      <c r="M72" s="29"/>
      <c r="N72" s="29"/>
      <c r="O72" s="26"/>
      <c r="P72" s="29"/>
      <c r="Q72" s="29"/>
      <c r="R72" s="29"/>
      <c r="S72" s="29"/>
      <c r="T72" s="29"/>
      <c r="U72" s="29"/>
      <c r="V72" s="26"/>
      <c r="W72" s="29"/>
      <c r="X72" s="29"/>
      <c r="Y72" s="29"/>
      <c r="Z72" s="29"/>
      <c r="AA72" s="29"/>
      <c r="AB72" s="29"/>
      <c r="AC72" s="26"/>
      <c r="AD72" s="29"/>
      <c r="AE72" s="29"/>
      <c r="AF72" s="29"/>
      <c r="AG72" s="29"/>
      <c r="AH72" s="29"/>
      <c r="AI72" s="30"/>
      <c r="AN72" s="28"/>
      <c r="AO72" s="29"/>
      <c r="AP72" s="29"/>
      <c r="AQ72" s="29"/>
      <c r="AR72" s="29"/>
      <c r="AS72" s="29"/>
      <c r="AT72" s="26"/>
      <c r="AU72" s="29"/>
      <c r="AV72" s="29"/>
      <c r="AW72" s="29"/>
      <c r="AX72" s="29"/>
      <c r="AY72" s="29"/>
      <c r="AZ72" s="29"/>
      <c r="BA72" s="26"/>
      <c r="BB72" s="29"/>
      <c r="BC72" s="29"/>
      <c r="BD72" s="29"/>
      <c r="BE72" s="29"/>
      <c r="BF72" s="29"/>
      <c r="BG72" s="29"/>
      <c r="BH72" s="26"/>
      <c r="BI72" s="29"/>
      <c r="BJ72" s="29"/>
      <c r="BK72" s="29"/>
      <c r="BL72" s="29"/>
      <c r="BM72" s="29"/>
      <c r="BN72" s="29"/>
      <c r="BO72" s="26"/>
      <c r="BP72" s="29"/>
      <c r="BQ72" s="29"/>
      <c r="BR72" s="29"/>
      <c r="BS72" s="29"/>
      <c r="BT72" s="29"/>
      <c r="BU72" s="30"/>
    </row>
    <row r="73" spans="2:73" ht="54" customHeight="1" x14ac:dyDescent="0.25">
      <c r="B73" s="60" t="s">
        <v>352</v>
      </c>
      <c r="C73" s="61"/>
      <c r="D73" s="61"/>
      <c r="E73" s="61" t="s">
        <v>440</v>
      </c>
      <c r="F73" s="61"/>
      <c r="G73" s="61"/>
      <c r="H73" s="26"/>
      <c r="I73" s="61" t="s">
        <v>335</v>
      </c>
      <c r="J73" s="61"/>
      <c r="K73" s="61"/>
      <c r="L73" s="61" t="s">
        <v>513</v>
      </c>
      <c r="M73" s="61"/>
      <c r="N73" s="61"/>
      <c r="O73" s="26"/>
      <c r="P73" s="61" t="s">
        <v>508</v>
      </c>
      <c r="Q73" s="61"/>
      <c r="R73" s="61"/>
      <c r="S73" s="61" t="s">
        <v>445</v>
      </c>
      <c r="T73" s="61"/>
      <c r="U73" s="61"/>
      <c r="V73" s="26"/>
      <c r="W73" s="61" t="s">
        <v>318</v>
      </c>
      <c r="X73" s="61"/>
      <c r="Y73" s="61"/>
      <c r="Z73" s="61" t="s">
        <v>375</v>
      </c>
      <c r="AA73" s="61"/>
      <c r="AB73" s="61"/>
      <c r="AC73" s="27"/>
      <c r="AD73" s="61" t="s">
        <v>467</v>
      </c>
      <c r="AE73" s="61"/>
      <c r="AF73" s="61"/>
      <c r="AG73" s="61" t="s">
        <v>422</v>
      </c>
      <c r="AH73" s="61"/>
      <c r="AI73" s="70"/>
      <c r="AN73" s="60" t="s">
        <v>347</v>
      </c>
      <c r="AO73" s="61"/>
      <c r="AP73" s="61"/>
      <c r="AQ73" s="61" t="s">
        <v>403</v>
      </c>
      <c r="AR73" s="61"/>
      <c r="AS73" s="61"/>
      <c r="AT73" s="26"/>
      <c r="AU73" s="61" t="s">
        <v>449</v>
      </c>
      <c r="AV73" s="61"/>
      <c r="AW73" s="61"/>
      <c r="AX73" s="61" t="s">
        <v>441</v>
      </c>
      <c r="AY73" s="61"/>
      <c r="AZ73" s="61"/>
      <c r="BA73" s="26"/>
      <c r="BB73" s="61" t="s">
        <v>509</v>
      </c>
      <c r="BC73" s="61"/>
      <c r="BD73" s="61"/>
      <c r="BE73" s="61" t="s">
        <v>455</v>
      </c>
      <c r="BF73" s="61"/>
      <c r="BG73" s="61"/>
      <c r="BH73" s="26"/>
      <c r="BI73" s="61" t="s">
        <v>379</v>
      </c>
      <c r="BJ73" s="61"/>
      <c r="BK73" s="61"/>
      <c r="BL73" s="61" t="s">
        <v>437</v>
      </c>
      <c r="BM73" s="61"/>
      <c r="BN73" s="61"/>
      <c r="BO73" s="27"/>
      <c r="BP73" s="61" t="s">
        <v>423</v>
      </c>
      <c r="BQ73" s="61"/>
      <c r="BR73" s="61"/>
      <c r="BS73" s="61" t="s">
        <v>329</v>
      </c>
      <c r="BT73" s="61"/>
      <c r="BU73" s="70"/>
    </row>
    <row r="74" spans="2:73" ht="27" customHeight="1" x14ac:dyDescent="0.25">
      <c r="B74" s="69">
        <v>421</v>
      </c>
      <c r="C74" s="66"/>
      <c r="D74" s="67"/>
      <c r="E74" s="65">
        <v>422</v>
      </c>
      <c r="F74" s="66"/>
      <c r="G74" s="67"/>
      <c r="H74" s="26"/>
      <c r="I74" s="65">
        <v>423</v>
      </c>
      <c r="J74" s="66"/>
      <c r="K74" s="67"/>
      <c r="L74" s="65">
        <v>424</v>
      </c>
      <c r="M74" s="66"/>
      <c r="N74" s="67"/>
      <c r="O74" s="26"/>
      <c r="P74" s="65">
        <v>425</v>
      </c>
      <c r="Q74" s="66"/>
      <c r="R74" s="67"/>
      <c r="S74" s="65">
        <v>426</v>
      </c>
      <c r="T74" s="66"/>
      <c r="U74" s="67"/>
      <c r="V74" s="26"/>
      <c r="W74" s="65">
        <v>427</v>
      </c>
      <c r="X74" s="66"/>
      <c r="Y74" s="67"/>
      <c r="Z74" s="65">
        <v>428</v>
      </c>
      <c r="AA74" s="66"/>
      <c r="AB74" s="67"/>
      <c r="AC74" s="27"/>
      <c r="AD74" s="65">
        <v>429</v>
      </c>
      <c r="AE74" s="66"/>
      <c r="AF74" s="67"/>
      <c r="AG74" s="65">
        <v>430</v>
      </c>
      <c r="AH74" s="66"/>
      <c r="AI74" s="68"/>
      <c r="AN74" s="69">
        <v>431</v>
      </c>
      <c r="AO74" s="66"/>
      <c r="AP74" s="67"/>
      <c r="AQ74" s="65">
        <v>432</v>
      </c>
      <c r="AR74" s="66"/>
      <c r="AS74" s="67"/>
      <c r="AT74" s="26"/>
      <c r="AU74" s="65">
        <v>433</v>
      </c>
      <c r="AV74" s="66"/>
      <c r="AW74" s="67"/>
      <c r="AX74" s="65">
        <v>434</v>
      </c>
      <c r="AY74" s="66"/>
      <c r="AZ74" s="67"/>
      <c r="BA74" s="26"/>
      <c r="BB74" s="65">
        <v>435</v>
      </c>
      <c r="BC74" s="66"/>
      <c r="BD74" s="67"/>
      <c r="BE74" s="65">
        <v>436</v>
      </c>
      <c r="BF74" s="66"/>
      <c r="BG74" s="67"/>
      <c r="BH74" s="26"/>
      <c r="BI74" s="65">
        <v>437</v>
      </c>
      <c r="BJ74" s="66"/>
      <c r="BK74" s="67"/>
      <c r="BL74" s="65">
        <v>438</v>
      </c>
      <c r="BM74" s="66"/>
      <c r="BN74" s="67"/>
      <c r="BO74" s="27"/>
      <c r="BP74" s="65">
        <v>439</v>
      </c>
      <c r="BQ74" s="66"/>
      <c r="BR74" s="67"/>
      <c r="BS74" s="65">
        <v>440</v>
      </c>
      <c r="BT74" s="66"/>
      <c r="BU74" s="68"/>
    </row>
    <row r="75" spans="2:73" ht="27" customHeight="1" x14ac:dyDescent="0.25">
      <c r="B75" s="28"/>
      <c r="C75" s="29"/>
      <c r="D75" s="29"/>
      <c r="E75" s="29"/>
      <c r="F75" s="29"/>
      <c r="G75" s="29"/>
      <c r="H75" s="26"/>
      <c r="I75" s="29"/>
      <c r="J75" s="29"/>
      <c r="K75" s="29"/>
      <c r="L75" s="29"/>
      <c r="M75" s="29"/>
      <c r="N75" s="29"/>
      <c r="O75" s="26"/>
      <c r="P75" s="29"/>
      <c r="Q75" s="29"/>
      <c r="R75" s="29"/>
      <c r="S75" s="29"/>
      <c r="T75" s="29"/>
      <c r="U75" s="29"/>
      <c r="V75" s="26"/>
      <c r="W75" s="29"/>
      <c r="X75" s="29"/>
      <c r="Y75" s="29"/>
      <c r="Z75" s="29"/>
      <c r="AA75" s="29"/>
      <c r="AB75" s="29"/>
      <c r="AC75" s="26"/>
      <c r="AD75" s="29"/>
      <c r="AE75" s="29"/>
      <c r="AF75" s="29"/>
      <c r="AG75" s="29"/>
      <c r="AH75" s="29"/>
      <c r="AI75" s="30"/>
      <c r="AN75" s="28"/>
      <c r="AO75" s="29"/>
      <c r="AP75" s="29"/>
      <c r="AQ75" s="29"/>
      <c r="AR75" s="29"/>
      <c r="AS75" s="29"/>
      <c r="AT75" s="26"/>
      <c r="AU75" s="29"/>
      <c r="AV75" s="29"/>
      <c r="AW75" s="29"/>
      <c r="AX75" s="29"/>
      <c r="AY75" s="29"/>
      <c r="AZ75" s="29"/>
      <c r="BA75" s="26"/>
      <c r="BB75" s="29"/>
      <c r="BC75" s="29"/>
      <c r="BD75" s="29"/>
      <c r="BE75" s="29"/>
      <c r="BF75" s="29"/>
      <c r="BG75" s="29"/>
      <c r="BH75" s="26"/>
      <c r="BI75" s="29"/>
      <c r="BJ75" s="29"/>
      <c r="BK75" s="29"/>
      <c r="BL75" s="29"/>
      <c r="BM75" s="29"/>
      <c r="BN75" s="29"/>
      <c r="BO75" s="26"/>
      <c r="BP75" s="29"/>
      <c r="BQ75" s="29"/>
      <c r="BR75" s="29"/>
      <c r="BS75" s="29"/>
      <c r="BT75" s="29"/>
      <c r="BU75" s="30"/>
    </row>
    <row r="76" spans="2:73" ht="54" customHeight="1" x14ac:dyDescent="0.25">
      <c r="B76" s="60" t="s">
        <v>361</v>
      </c>
      <c r="C76" s="61"/>
      <c r="D76" s="61"/>
      <c r="E76" s="61" t="s">
        <v>510</v>
      </c>
      <c r="F76" s="61"/>
      <c r="G76" s="61"/>
      <c r="H76" s="26"/>
      <c r="I76" s="61" t="s">
        <v>436</v>
      </c>
      <c r="J76" s="61"/>
      <c r="K76" s="61"/>
      <c r="L76" s="61" t="s">
        <v>417</v>
      </c>
      <c r="M76" s="61"/>
      <c r="N76" s="61"/>
      <c r="O76" s="26"/>
      <c r="P76" s="61" t="s">
        <v>396</v>
      </c>
      <c r="Q76" s="61"/>
      <c r="R76" s="61"/>
      <c r="S76" s="61" t="s">
        <v>344</v>
      </c>
      <c r="T76" s="61"/>
      <c r="U76" s="61"/>
      <c r="V76" s="26"/>
      <c r="W76" s="61" t="s">
        <v>311</v>
      </c>
      <c r="X76" s="61"/>
      <c r="Y76" s="61"/>
      <c r="Z76" s="61" t="s">
        <v>448</v>
      </c>
      <c r="AA76" s="61"/>
      <c r="AB76" s="61"/>
      <c r="AC76" s="27"/>
      <c r="AD76" s="61" t="s">
        <v>365</v>
      </c>
      <c r="AE76" s="61"/>
      <c r="AF76" s="61"/>
      <c r="AG76" s="61" t="s">
        <v>438</v>
      </c>
      <c r="AH76" s="61"/>
      <c r="AI76" s="70"/>
      <c r="AN76" s="60" t="s">
        <v>507</v>
      </c>
      <c r="AO76" s="61"/>
      <c r="AP76" s="61"/>
      <c r="AQ76" s="61" t="s">
        <v>459</v>
      </c>
      <c r="AR76" s="61"/>
      <c r="AS76" s="61"/>
      <c r="AT76" s="26"/>
      <c r="AU76" s="61" t="s">
        <v>443</v>
      </c>
      <c r="AV76" s="61"/>
      <c r="AW76" s="61"/>
      <c r="AX76" s="61" t="s">
        <v>425</v>
      </c>
      <c r="AY76" s="61"/>
      <c r="AZ76" s="61"/>
      <c r="BA76" s="26"/>
      <c r="BB76" s="61" t="s">
        <v>385</v>
      </c>
      <c r="BC76" s="61"/>
      <c r="BD76" s="61"/>
      <c r="BE76" s="61" t="s">
        <v>410</v>
      </c>
      <c r="BF76" s="61"/>
      <c r="BG76" s="61"/>
      <c r="BH76" s="26"/>
      <c r="BI76" s="61" t="s">
        <v>354</v>
      </c>
      <c r="BJ76" s="61"/>
      <c r="BK76" s="61"/>
      <c r="BL76" s="61" t="s">
        <v>383</v>
      </c>
      <c r="BM76" s="61"/>
      <c r="BN76" s="61"/>
      <c r="BO76" s="27"/>
      <c r="BP76" s="61" t="s">
        <v>450</v>
      </c>
      <c r="BQ76" s="61"/>
      <c r="BR76" s="61"/>
      <c r="BS76" s="61" t="s">
        <v>464</v>
      </c>
      <c r="BT76" s="61"/>
      <c r="BU76" s="70"/>
    </row>
    <row r="77" spans="2:73" ht="27" customHeight="1" x14ac:dyDescent="0.25">
      <c r="B77" s="69">
        <v>441</v>
      </c>
      <c r="C77" s="66"/>
      <c r="D77" s="67"/>
      <c r="E77" s="65">
        <v>442</v>
      </c>
      <c r="F77" s="66"/>
      <c r="G77" s="67"/>
      <c r="H77" s="26"/>
      <c r="I77" s="65">
        <v>443</v>
      </c>
      <c r="J77" s="66"/>
      <c r="K77" s="67"/>
      <c r="L77" s="65">
        <v>444</v>
      </c>
      <c r="M77" s="66"/>
      <c r="N77" s="67"/>
      <c r="O77" s="26"/>
      <c r="P77" s="65">
        <v>445</v>
      </c>
      <c r="Q77" s="66"/>
      <c r="R77" s="67"/>
      <c r="S77" s="65">
        <v>446</v>
      </c>
      <c r="T77" s="66"/>
      <c r="U77" s="67"/>
      <c r="V77" s="26"/>
      <c r="W77" s="65">
        <v>447</v>
      </c>
      <c r="X77" s="66"/>
      <c r="Y77" s="67"/>
      <c r="Z77" s="65">
        <v>448</v>
      </c>
      <c r="AA77" s="66"/>
      <c r="AB77" s="67"/>
      <c r="AC77" s="27"/>
      <c r="AD77" s="65">
        <v>449</v>
      </c>
      <c r="AE77" s="66"/>
      <c r="AF77" s="67"/>
      <c r="AG77" s="65">
        <v>450</v>
      </c>
      <c r="AH77" s="66"/>
      <c r="AI77" s="68"/>
      <c r="AN77" s="69">
        <v>451</v>
      </c>
      <c r="AO77" s="66"/>
      <c r="AP77" s="67"/>
      <c r="AQ77" s="65">
        <v>452</v>
      </c>
      <c r="AR77" s="66"/>
      <c r="AS77" s="67"/>
      <c r="AT77" s="26"/>
      <c r="AU77" s="65">
        <v>453</v>
      </c>
      <c r="AV77" s="66"/>
      <c r="AW77" s="67"/>
      <c r="AX77" s="65">
        <v>454</v>
      </c>
      <c r="AY77" s="66"/>
      <c r="AZ77" s="67"/>
      <c r="BA77" s="26"/>
      <c r="BB77" s="65">
        <v>455</v>
      </c>
      <c r="BC77" s="66"/>
      <c r="BD77" s="67"/>
      <c r="BE77" s="65">
        <v>456</v>
      </c>
      <c r="BF77" s="66"/>
      <c r="BG77" s="67"/>
      <c r="BH77" s="26"/>
      <c r="BI77" s="65">
        <v>457</v>
      </c>
      <c r="BJ77" s="66"/>
      <c r="BK77" s="67"/>
      <c r="BL77" s="65">
        <v>458</v>
      </c>
      <c r="BM77" s="66"/>
      <c r="BN77" s="67"/>
      <c r="BO77" s="27"/>
      <c r="BP77" s="65">
        <v>459</v>
      </c>
      <c r="BQ77" s="66"/>
      <c r="BR77" s="67"/>
      <c r="BS77" s="65">
        <v>460</v>
      </c>
      <c r="BT77" s="66"/>
      <c r="BU77" s="68"/>
    </row>
    <row r="78" spans="2:73" ht="27" customHeight="1" x14ac:dyDescent="0.25">
      <c r="B78" s="28"/>
      <c r="C78" s="29"/>
      <c r="D78" s="29"/>
      <c r="E78" s="29"/>
      <c r="F78" s="29"/>
      <c r="G78" s="29"/>
      <c r="H78" s="26"/>
      <c r="I78" s="29"/>
      <c r="J78" s="29"/>
      <c r="K78" s="29"/>
      <c r="L78" s="29"/>
      <c r="M78" s="29"/>
      <c r="N78" s="29"/>
      <c r="O78" s="26"/>
      <c r="P78" s="29"/>
      <c r="Q78" s="29"/>
      <c r="R78" s="29"/>
      <c r="S78" s="29"/>
      <c r="T78" s="29"/>
      <c r="U78" s="29"/>
      <c r="V78" s="26"/>
      <c r="W78" s="29"/>
      <c r="X78" s="29"/>
      <c r="Y78" s="29"/>
      <c r="Z78" s="29"/>
      <c r="AA78" s="29"/>
      <c r="AB78" s="29"/>
      <c r="AC78" s="26"/>
      <c r="AD78" s="29"/>
      <c r="AE78" s="29"/>
      <c r="AF78" s="29"/>
      <c r="AG78" s="29"/>
      <c r="AH78" s="29"/>
      <c r="AI78" s="30"/>
      <c r="AN78" s="28"/>
      <c r="AO78" s="29"/>
      <c r="AP78" s="29"/>
      <c r="AQ78" s="29"/>
      <c r="AR78" s="29"/>
      <c r="AS78" s="29"/>
      <c r="AT78" s="26"/>
      <c r="AU78" s="29"/>
      <c r="AV78" s="29"/>
      <c r="AW78" s="29"/>
      <c r="AX78" s="29"/>
      <c r="AY78" s="29"/>
      <c r="AZ78" s="29"/>
      <c r="BA78" s="26"/>
      <c r="BB78" s="29"/>
      <c r="BC78" s="29"/>
      <c r="BD78" s="29"/>
      <c r="BE78" s="29"/>
      <c r="BF78" s="29"/>
      <c r="BG78" s="29"/>
      <c r="BH78" s="26"/>
      <c r="BI78" s="29"/>
      <c r="BJ78" s="29"/>
      <c r="BK78" s="29"/>
      <c r="BL78" s="29"/>
      <c r="BM78" s="29"/>
      <c r="BN78" s="29"/>
      <c r="BO78" s="26"/>
      <c r="BP78" s="29"/>
      <c r="BQ78" s="29"/>
      <c r="BR78" s="29"/>
      <c r="BS78" s="29"/>
      <c r="BT78" s="29"/>
      <c r="BU78" s="30"/>
    </row>
    <row r="79" spans="2:73" ht="54" customHeight="1" x14ac:dyDescent="0.25">
      <c r="B79" s="60" t="s">
        <v>511</v>
      </c>
      <c r="C79" s="61"/>
      <c r="D79" s="61"/>
      <c r="E79" s="61" t="s">
        <v>331</v>
      </c>
      <c r="F79" s="61"/>
      <c r="G79" s="61"/>
      <c r="H79" s="26"/>
      <c r="I79" s="61" t="s">
        <v>435</v>
      </c>
      <c r="J79" s="61"/>
      <c r="K79" s="61"/>
      <c r="L79" s="61" t="s">
        <v>462</v>
      </c>
      <c r="M79" s="61"/>
      <c r="N79" s="61"/>
      <c r="O79" s="26"/>
      <c r="P79" s="61" t="s">
        <v>458</v>
      </c>
      <c r="Q79" s="61"/>
      <c r="R79" s="61"/>
      <c r="S79" s="61" t="s">
        <v>424</v>
      </c>
      <c r="T79" s="61"/>
      <c r="U79" s="61"/>
      <c r="V79" s="26"/>
      <c r="W79" s="61" t="s">
        <v>384</v>
      </c>
      <c r="X79" s="61"/>
      <c r="Y79" s="61"/>
      <c r="Z79" s="61" t="s">
        <v>405</v>
      </c>
      <c r="AA79" s="61"/>
      <c r="AB79" s="61"/>
      <c r="AC79" s="27"/>
      <c r="AD79" s="61" t="s">
        <v>512</v>
      </c>
      <c r="AE79" s="61"/>
      <c r="AF79" s="61"/>
      <c r="AG79" s="61" t="s">
        <v>418</v>
      </c>
      <c r="AH79" s="61"/>
      <c r="AI79" s="70"/>
      <c r="AN79" s="60" t="s">
        <v>340</v>
      </c>
      <c r="AO79" s="61"/>
      <c r="AP79" s="61"/>
      <c r="AQ79" s="61" t="s">
        <v>447</v>
      </c>
      <c r="AR79" s="61"/>
      <c r="AS79" s="61"/>
      <c r="AT79" s="26"/>
      <c r="AU79" s="61" t="s">
        <v>376</v>
      </c>
      <c r="AV79" s="61"/>
      <c r="AW79" s="61"/>
      <c r="AX79" s="61" t="s">
        <v>451</v>
      </c>
      <c r="AY79" s="61"/>
      <c r="AZ79" s="61"/>
      <c r="BA79" s="26"/>
      <c r="BB79" s="61" t="s">
        <v>399</v>
      </c>
      <c r="BC79" s="61"/>
      <c r="BD79" s="61"/>
      <c r="BE79" s="61" t="s">
        <v>378</v>
      </c>
      <c r="BF79" s="61"/>
      <c r="BG79" s="61"/>
      <c r="BH79" s="26"/>
      <c r="BI79" s="61" t="s">
        <v>366</v>
      </c>
      <c r="BJ79" s="61"/>
      <c r="BK79" s="61"/>
      <c r="BL79" s="61" t="s">
        <v>358</v>
      </c>
      <c r="BM79" s="61"/>
      <c r="BN79" s="61"/>
      <c r="BO79" s="27"/>
      <c r="BP79" s="61" t="s">
        <v>294</v>
      </c>
      <c r="BQ79" s="61"/>
      <c r="BR79" s="61"/>
      <c r="BS79" s="61" t="s">
        <v>367</v>
      </c>
      <c r="BT79" s="61"/>
      <c r="BU79" s="70"/>
    </row>
    <row r="80" spans="2:73" ht="27" customHeight="1" x14ac:dyDescent="0.25">
      <c r="B80" s="69">
        <v>461</v>
      </c>
      <c r="C80" s="66"/>
      <c r="D80" s="67"/>
      <c r="E80" s="65">
        <v>462</v>
      </c>
      <c r="F80" s="66"/>
      <c r="G80" s="67"/>
      <c r="H80" s="26"/>
      <c r="I80" s="65">
        <v>463</v>
      </c>
      <c r="J80" s="66"/>
      <c r="K80" s="67"/>
      <c r="L80" s="65">
        <v>464</v>
      </c>
      <c r="M80" s="66"/>
      <c r="N80" s="67"/>
      <c r="O80" s="26"/>
      <c r="P80" s="65">
        <v>465</v>
      </c>
      <c r="Q80" s="66"/>
      <c r="R80" s="67"/>
      <c r="S80" s="65">
        <v>466</v>
      </c>
      <c r="T80" s="66"/>
      <c r="U80" s="67"/>
      <c r="V80" s="26"/>
      <c r="W80" s="65">
        <v>467</v>
      </c>
      <c r="X80" s="66"/>
      <c r="Y80" s="67"/>
      <c r="Z80" s="65">
        <v>468</v>
      </c>
      <c r="AA80" s="66"/>
      <c r="AB80" s="67"/>
      <c r="AC80" s="27"/>
      <c r="AD80" s="65">
        <v>469</v>
      </c>
      <c r="AE80" s="66"/>
      <c r="AF80" s="67"/>
      <c r="AG80" s="65">
        <v>470</v>
      </c>
      <c r="AH80" s="66"/>
      <c r="AI80" s="68"/>
      <c r="AN80" s="69">
        <v>471</v>
      </c>
      <c r="AO80" s="66"/>
      <c r="AP80" s="67"/>
      <c r="AQ80" s="65">
        <v>472</v>
      </c>
      <c r="AR80" s="66"/>
      <c r="AS80" s="67"/>
      <c r="AT80" s="26"/>
      <c r="AU80" s="65">
        <v>473</v>
      </c>
      <c r="AV80" s="66"/>
      <c r="AW80" s="67"/>
      <c r="AX80" s="65">
        <v>474</v>
      </c>
      <c r="AY80" s="66"/>
      <c r="AZ80" s="67"/>
      <c r="BA80" s="26"/>
      <c r="BB80" s="65">
        <v>475</v>
      </c>
      <c r="BC80" s="66"/>
      <c r="BD80" s="67"/>
      <c r="BE80" s="65">
        <v>476</v>
      </c>
      <c r="BF80" s="66"/>
      <c r="BG80" s="67"/>
      <c r="BH80" s="26"/>
      <c r="BI80" s="65">
        <v>477</v>
      </c>
      <c r="BJ80" s="66"/>
      <c r="BK80" s="67"/>
      <c r="BL80" s="65">
        <v>478</v>
      </c>
      <c r="BM80" s="66"/>
      <c r="BN80" s="67"/>
      <c r="BO80" s="27"/>
      <c r="BP80" s="65">
        <v>479</v>
      </c>
      <c r="BQ80" s="66"/>
      <c r="BR80" s="67"/>
      <c r="BS80" s="65">
        <v>480</v>
      </c>
      <c r="BT80" s="66"/>
      <c r="BU80" s="68"/>
    </row>
    <row r="81" spans="2:73" ht="27" customHeight="1" x14ac:dyDescent="0.25">
      <c r="B81" s="28"/>
      <c r="C81" s="29"/>
      <c r="D81" s="29"/>
      <c r="E81" s="29"/>
      <c r="F81" s="29"/>
      <c r="G81" s="29"/>
      <c r="H81" s="26"/>
      <c r="I81" s="29"/>
      <c r="J81" s="29"/>
      <c r="K81" s="29"/>
      <c r="L81" s="29"/>
      <c r="M81" s="29"/>
      <c r="N81" s="29"/>
      <c r="O81" s="26"/>
      <c r="P81" s="29"/>
      <c r="Q81" s="29"/>
      <c r="R81" s="29"/>
      <c r="S81" s="29"/>
      <c r="T81" s="29"/>
      <c r="U81" s="29"/>
      <c r="V81" s="26"/>
      <c r="W81" s="29"/>
      <c r="X81" s="29"/>
      <c r="Y81" s="29"/>
      <c r="Z81" s="29"/>
      <c r="AA81" s="29"/>
      <c r="AB81" s="29"/>
      <c r="AC81" s="26"/>
      <c r="AD81" s="29"/>
      <c r="AE81" s="29"/>
      <c r="AF81" s="29"/>
      <c r="AG81" s="29"/>
      <c r="AH81" s="29"/>
      <c r="AI81" s="30"/>
      <c r="AN81" s="28"/>
      <c r="AO81" s="29"/>
      <c r="AP81" s="29"/>
      <c r="AQ81" s="29"/>
      <c r="AR81" s="29"/>
      <c r="AS81" s="29"/>
      <c r="AT81" s="26"/>
      <c r="AU81" s="29"/>
      <c r="AV81" s="29"/>
      <c r="AW81" s="29"/>
      <c r="AX81" s="29"/>
      <c r="AY81" s="29"/>
      <c r="AZ81" s="29"/>
      <c r="BA81" s="26"/>
      <c r="BB81" s="29"/>
      <c r="BC81" s="29"/>
      <c r="BD81" s="29"/>
      <c r="BE81" s="29"/>
      <c r="BF81" s="29"/>
      <c r="BG81" s="29"/>
      <c r="BH81" s="26"/>
      <c r="BI81" s="29"/>
      <c r="BJ81" s="29"/>
      <c r="BK81" s="29"/>
      <c r="BL81" s="29"/>
      <c r="BM81" s="29"/>
      <c r="BN81" s="29"/>
      <c r="BP81" s="12"/>
      <c r="BQ81" s="12"/>
      <c r="BR81" s="12"/>
      <c r="BS81" s="12"/>
      <c r="BT81" s="12"/>
      <c r="BU81" s="31"/>
    </row>
    <row r="82" spans="2:73" ht="54" customHeight="1" x14ac:dyDescent="0.25">
      <c r="B82" s="60" t="s">
        <v>465</v>
      </c>
      <c r="C82" s="61"/>
      <c r="D82" s="61"/>
      <c r="E82" s="61" t="s">
        <v>429</v>
      </c>
      <c r="F82" s="61"/>
      <c r="G82" s="61"/>
      <c r="H82" s="26"/>
      <c r="I82" s="61" t="s">
        <v>393</v>
      </c>
      <c r="J82" s="61"/>
      <c r="K82" s="61"/>
      <c r="L82" s="61" t="s">
        <v>325</v>
      </c>
      <c r="M82" s="61"/>
      <c r="N82" s="61"/>
      <c r="O82" s="26"/>
      <c r="P82" s="61" t="s">
        <v>357</v>
      </c>
      <c r="Q82" s="61"/>
      <c r="R82" s="61"/>
      <c r="S82" s="61" t="s">
        <v>326</v>
      </c>
      <c r="T82" s="61"/>
      <c r="U82" s="61"/>
      <c r="V82" s="26"/>
      <c r="W82" s="61" t="s">
        <v>457</v>
      </c>
      <c r="X82" s="61"/>
      <c r="Y82" s="61"/>
      <c r="Z82" s="61" t="s">
        <v>420</v>
      </c>
      <c r="AA82" s="61"/>
      <c r="AB82" s="61"/>
      <c r="AC82" s="27"/>
      <c r="AD82" s="61" t="s">
        <v>404</v>
      </c>
      <c r="AE82" s="61"/>
      <c r="AF82" s="61"/>
      <c r="AG82" s="61" t="s">
        <v>444</v>
      </c>
      <c r="AH82" s="61"/>
      <c r="AI82" s="70"/>
      <c r="AN82" s="60" t="s">
        <v>350</v>
      </c>
      <c r="AO82" s="61"/>
      <c r="AP82" s="61"/>
      <c r="AQ82" s="61" t="s">
        <v>355</v>
      </c>
      <c r="AR82" s="61"/>
      <c r="AS82" s="61"/>
      <c r="AT82" s="26"/>
      <c r="AU82" s="61" t="s">
        <v>370</v>
      </c>
      <c r="AV82" s="61"/>
      <c r="AW82" s="61"/>
      <c r="AX82" s="61" t="s">
        <v>412</v>
      </c>
      <c r="AY82" s="61"/>
      <c r="AZ82" s="61"/>
      <c r="BA82" s="26"/>
      <c r="BB82" s="61" t="s">
        <v>398</v>
      </c>
      <c r="BC82" s="61"/>
      <c r="BD82" s="61"/>
      <c r="BE82" s="61" t="s">
        <v>348</v>
      </c>
      <c r="BF82" s="61"/>
      <c r="BG82" s="61"/>
      <c r="BH82" s="26"/>
      <c r="BI82" s="61" t="s">
        <v>408</v>
      </c>
      <c r="BJ82" s="61"/>
      <c r="BK82" s="61"/>
      <c r="BL82" s="61" t="s">
        <v>517</v>
      </c>
      <c r="BM82" s="61"/>
      <c r="BN82" s="61"/>
      <c r="BO82" s="43"/>
      <c r="BP82" s="71" t="s">
        <v>355</v>
      </c>
      <c r="BQ82" s="71"/>
      <c r="BR82" s="71"/>
      <c r="BS82" s="71" t="s">
        <v>428</v>
      </c>
      <c r="BT82" s="71"/>
      <c r="BU82" s="72"/>
    </row>
    <row r="83" spans="2:73" ht="27" customHeight="1" x14ac:dyDescent="0.25">
      <c r="B83" s="69">
        <v>481</v>
      </c>
      <c r="C83" s="66"/>
      <c r="D83" s="67"/>
      <c r="E83" s="65">
        <v>482</v>
      </c>
      <c r="F83" s="66"/>
      <c r="G83" s="67"/>
      <c r="H83" s="26"/>
      <c r="I83" s="65">
        <v>483</v>
      </c>
      <c r="J83" s="66"/>
      <c r="K83" s="67"/>
      <c r="L83" s="65">
        <v>484</v>
      </c>
      <c r="M83" s="66"/>
      <c r="N83" s="67"/>
      <c r="O83" s="26"/>
      <c r="P83" s="65">
        <v>485</v>
      </c>
      <c r="Q83" s="66"/>
      <c r="R83" s="67"/>
      <c r="S83" s="65">
        <v>486</v>
      </c>
      <c r="T83" s="66"/>
      <c r="U83" s="67"/>
      <c r="V83" s="26"/>
      <c r="W83" s="65">
        <v>487</v>
      </c>
      <c r="X83" s="66"/>
      <c r="Y83" s="67"/>
      <c r="Z83" s="65">
        <v>488</v>
      </c>
      <c r="AA83" s="66"/>
      <c r="AB83" s="67"/>
      <c r="AC83" s="27"/>
      <c r="AD83" s="65">
        <v>489</v>
      </c>
      <c r="AE83" s="66"/>
      <c r="AF83" s="67"/>
      <c r="AG83" s="65">
        <v>490</v>
      </c>
      <c r="AH83" s="66"/>
      <c r="AI83" s="68"/>
      <c r="AN83" s="69">
        <v>491</v>
      </c>
      <c r="AO83" s="66"/>
      <c r="AP83" s="67"/>
      <c r="AQ83" s="65">
        <v>492</v>
      </c>
      <c r="AR83" s="66"/>
      <c r="AS83" s="67"/>
      <c r="AT83" s="26"/>
      <c r="AU83" s="65">
        <v>493</v>
      </c>
      <c r="AV83" s="66"/>
      <c r="AW83" s="67"/>
      <c r="AX83" s="65">
        <v>494</v>
      </c>
      <c r="AY83" s="66"/>
      <c r="AZ83" s="67"/>
      <c r="BA83" s="26"/>
      <c r="BB83" s="65">
        <v>495</v>
      </c>
      <c r="BC83" s="66"/>
      <c r="BD83" s="67"/>
      <c r="BE83" s="65">
        <v>496</v>
      </c>
      <c r="BF83" s="66"/>
      <c r="BG83" s="67"/>
      <c r="BH83" s="26"/>
      <c r="BI83" s="65">
        <v>497</v>
      </c>
      <c r="BJ83" s="66"/>
      <c r="BK83" s="67"/>
      <c r="BL83" s="65">
        <v>498</v>
      </c>
      <c r="BM83" s="66"/>
      <c r="BN83" s="67"/>
      <c r="BO83" s="43"/>
      <c r="BP83" s="73">
        <v>499</v>
      </c>
      <c r="BQ83" s="74"/>
      <c r="BR83" s="75"/>
      <c r="BS83" s="73">
        <v>500</v>
      </c>
      <c r="BT83" s="74"/>
      <c r="BU83" s="77"/>
    </row>
    <row r="84" spans="2:73" ht="27" customHeight="1" x14ac:dyDescent="0.25">
      <c r="B84" s="32"/>
      <c r="C84" s="12"/>
      <c r="D84" s="12"/>
      <c r="E84" s="12"/>
      <c r="F84" s="12"/>
      <c r="G84" s="12"/>
      <c r="I84" s="12"/>
      <c r="J84" s="12"/>
      <c r="K84" s="12"/>
      <c r="L84" s="12"/>
      <c r="M84" s="12"/>
      <c r="N84" s="12"/>
      <c r="P84" s="12"/>
      <c r="Q84" s="12"/>
      <c r="R84" s="12"/>
      <c r="S84" s="12"/>
      <c r="T84" s="12"/>
      <c r="U84" s="12"/>
      <c r="W84" s="12"/>
      <c r="X84" s="12"/>
      <c r="Y84" s="12"/>
      <c r="Z84" s="12"/>
      <c r="AA84" s="12"/>
      <c r="AB84" s="12"/>
      <c r="AD84" s="12"/>
      <c r="AE84" s="12"/>
      <c r="AF84" s="12"/>
      <c r="AG84" s="12"/>
      <c r="AH84" s="12"/>
      <c r="AI84" s="31"/>
      <c r="AN84" s="32"/>
      <c r="AO84" s="12"/>
      <c r="AP84" s="12"/>
      <c r="AQ84" s="12"/>
      <c r="AR84" s="12"/>
      <c r="AS84" s="12"/>
      <c r="AU84" s="12"/>
      <c r="AV84" s="12"/>
      <c r="AW84" s="12"/>
      <c r="AX84" s="12"/>
      <c r="AY84" s="12"/>
      <c r="AZ84" s="12"/>
      <c r="BB84" s="12"/>
      <c r="BC84" s="12"/>
      <c r="BD84" s="12"/>
      <c r="BE84" s="12"/>
      <c r="BF84" s="12"/>
      <c r="BG84" s="12"/>
      <c r="BI84" s="12"/>
      <c r="BJ84" s="12"/>
      <c r="BK84" s="12"/>
      <c r="BL84" s="12"/>
      <c r="BM84" s="12"/>
      <c r="BN84" s="12"/>
      <c r="BP84" s="36"/>
      <c r="BQ84" s="36"/>
      <c r="BR84" s="36"/>
      <c r="BS84" s="36"/>
      <c r="BT84" s="36"/>
      <c r="BU84" s="37"/>
    </row>
    <row r="85" spans="2:73" ht="54" customHeight="1" x14ac:dyDescent="0.25">
      <c r="B85" s="76" t="s">
        <v>338</v>
      </c>
      <c r="C85" s="71"/>
      <c r="D85" s="71"/>
      <c r="E85" s="71" t="s">
        <v>437</v>
      </c>
      <c r="F85" s="71"/>
      <c r="G85" s="71"/>
      <c r="H85" s="34"/>
      <c r="I85" s="71" t="s">
        <v>350</v>
      </c>
      <c r="J85" s="71"/>
      <c r="K85" s="71"/>
      <c r="L85" s="71" t="s">
        <v>377</v>
      </c>
      <c r="M85" s="71"/>
      <c r="N85" s="71"/>
      <c r="O85" s="34"/>
      <c r="P85" s="71" t="s">
        <v>458</v>
      </c>
      <c r="Q85" s="71"/>
      <c r="R85" s="71"/>
      <c r="S85" s="71" t="s">
        <v>381</v>
      </c>
      <c r="T85" s="71"/>
      <c r="U85" s="71"/>
      <c r="V85" s="34"/>
      <c r="W85" s="71" t="s">
        <v>422</v>
      </c>
      <c r="X85" s="71"/>
      <c r="Y85" s="71"/>
      <c r="Z85" s="71" t="s">
        <v>511</v>
      </c>
      <c r="AA85" s="71"/>
      <c r="AB85" s="71"/>
      <c r="AC85" s="33"/>
      <c r="AD85" s="71" t="s">
        <v>393</v>
      </c>
      <c r="AE85" s="71"/>
      <c r="AF85" s="71"/>
      <c r="AG85" s="71" t="s">
        <v>351</v>
      </c>
      <c r="AH85" s="71"/>
      <c r="AI85" s="72"/>
      <c r="AN85" s="76" t="s">
        <v>425</v>
      </c>
      <c r="AO85" s="71"/>
      <c r="AP85" s="71"/>
      <c r="AQ85" s="71" t="s">
        <v>360</v>
      </c>
      <c r="AR85" s="71"/>
      <c r="AS85" s="71"/>
      <c r="AT85" s="34"/>
      <c r="AU85" s="71" t="s">
        <v>520</v>
      </c>
      <c r="AV85" s="71"/>
      <c r="AW85" s="71"/>
      <c r="AX85" s="71" t="s">
        <v>506</v>
      </c>
      <c r="AY85" s="71"/>
      <c r="AZ85" s="71"/>
      <c r="BA85" s="34"/>
      <c r="BB85" s="71" t="s">
        <v>371</v>
      </c>
      <c r="BC85" s="71"/>
      <c r="BD85" s="71"/>
      <c r="BE85" s="71" t="s">
        <v>433</v>
      </c>
      <c r="BF85" s="71"/>
      <c r="BG85" s="71"/>
      <c r="BH85" s="34"/>
      <c r="BI85" s="71" t="s">
        <v>454</v>
      </c>
      <c r="BJ85" s="71"/>
      <c r="BK85" s="71"/>
      <c r="BL85" s="71" t="s">
        <v>429</v>
      </c>
      <c r="BM85" s="71"/>
      <c r="BN85" s="71"/>
      <c r="BO85" s="33"/>
      <c r="BP85" s="71" t="s">
        <v>354</v>
      </c>
      <c r="BQ85" s="71"/>
      <c r="BR85" s="71"/>
      <c r="BS85" s="71" t="s">
        <v>438</v>
      </c>
      <c r="BT85" s="71"/>
      <c r="BU85" s="72"/>
    </row>
    <row r="86" spans="2:73" ht="27" customHeight="1" x14ac:dyDescent="0.25">
      <c r="B86" s="78">
        <v>501</v>
      </c>
      <c r="C86" s="74"/>
      <c r="D86" s="75"/>
      <c r="E86" s="73">
        <v>502</v>
      </c>
      <c r="F86" s="74"/>
      <c r="G86" s="75"/>
      <c r="H86" s="34"/>
      <c r="I86" s="73">
        <v>503</v>
      </c>
      <c r="J86" s="74"/>
      <c r="K86" s="75"/>
      <c r="L86" s="73">
        <v>504</v>
      </c>
      <c r="M86" s="74"/>
      <c r="N86" s="75"/>
      <c r="O86" s="34"/>
      <c r="P86" s="73">
        <v>505</v>
      </c>
      <c r="Q86" s="74"/>
      <c r="R86" s="75"/>
      <c r="S86" s="73">
        <v>506</v>
      </c>
      <c r="T86" s="74"/>
      <c r="U86" s="75"/>
      <c r="V86" s="34"/>
      <c r="W86" s="73">
        <v>507</v>
      </c>
      <c r="X86" s="74"/>
      <c r="Y86" s="75"/>
      <c r="Z86" s="73">
        <v>508</v>
      </c>
      <c r="AA86" s="74"/>
      <c r="AB86" s="75"/>
      <c r="AC86" s="33"/>
      <c r="AD86" s="73">
        <v>509</v>
      </c>
      <c r="AE86" s="74"/>
      <c r="AF86" s="75"/>
      <c r="AG86" s="73">
        <v>510</v>
      </c>
      <c r="AH86" s="74"/>
      <c r="AI86" s="77"/>
      <c r="AN86" s="78">
        <v>511</v>
      </c>
      <c r="AO86" s="74"/>
      <c r="AP86" s="75"/>
      <c r="AQ86" s="73">
        <v>512</v>
      </c>
      <c r="AR86" s="74"/>
      <c r="AS86" s="75"/>
      <c r="AT86" s="34"/>
      <c r="AU86" s="73">
        <v>513</v>
      </c>
      <c r="AV86" s="74"/>
      <c r="AW86" s="75"/>
      <c r="AX86" s="73">
        <v>514</v>
      </c>
      <c r="AY86" s="74"/>
      <c r="AZ86" s="75"/>
      <c r="BA86" s="34"/>
      <c r="BB86" s="73">
        <v>515</v>
      </c>
      <c r="BC86" s="74"/>
      <c r="BD86" s="75"/>
      <c r="BE86" s="73">
        <v>516</v>
      </c>
      <c r="BF86" s="74"/>
      <c r="BG86" s="75"/>
      <c r="BH86" s="34"/>
      <c r="BI86" s="73">
        <v>517</v>
      </c>
      <c r="BJ86" s="74"/>
      <c r="BK86" s="75"/>
      <c r="BL86" s="73">
        <v>518</v>
      </c>
      <c r="BM86" s="74"/>
      <c r="BN86" s="75"/>
      <c r="BO86" s="33"/>
      <c r="BP86" s="73">
        <v>519</v>
      </c>
      <c r="BQ86" s="74"/>
      <c r="BR86" s="75"/>
      <c r="BS86" s="73">
        <v>520</v>
      </c>
      <c r="BT86" s="74"/>
      <c r="BU86" s="77"/>
    </row>
    <row r="87" spans="2:73" ht="27" customHeight="1" x14ac:dyDescent="0.25">
      <c r="B87" s="38"/>
      <c r="C87" s="36"/>
      <c r="D87" s="36"/>
      <c r="E87" s="36"/>
      <c r="F87" s="36"/>
      <c r="G87" s="36"/>
      <c r="H87" s="34"/>
      <c r="I87" s="36"/>
      <c r="J87" s="36"/>
      <c r="K87" s="36"/>
      <c r="L87" s="36"/>
      <c r="M87" s="36"/>
      <c r="N87" s="36"/>
      <c r="O87" s="34"/>
      <c r="P87" s="36"/>
      <c r="Q87" s="36"/>
      <c r="R87" s="36"/>
      <c r="S87" s="36"/>
      <c r="T87" s="36"/>
      <c r="U87" s="36"/>
      <c r="V87" s="34"/>
      <c r="W87" s="36"/>
      <c r="X87" s="36"/>
      <c r="Y87" s="36"/>
      <c r="Z87" s="36"/>
      <c r="AA87" s="36"/>
      <c r="AB87" s="36"/>
      <c r="AC87" s="34"/>
      <c r="AD87" s="36"/>
      <c r="AE87" s="36"/>
      <c r="AF87" s="36"/>
      <c r="AG87" s="36"/>
      <c r="AH87" s="36"/>
      <c r="AI87" s="37"/>
      <c r="AN87" s="38"/>
      <c r="AO87" s="36"/>
      <c r="AP87" s="36"/>
      <c r="AQ87" s="36"/>
      <c r="AR87" s="36"/>
      <c r="AS87" s="36"/>
      <c r="AT87" s="34"/>
      <c r="AU87" s="36"/>
      <c r="AV87" s="36"/>
      <c r="AW87" s="36"/>
      <c r="AX87" s="36"/>
      <c r="AY87" s="36"/>
      <c r="AZ87" s="36"/>
      <c r="BA87" s="34"/>
      <c r="BB87" s="36"/>
      <c r="BC87" s="36"/>
      <c r="BD87" s="36"/>
      <c r="BE87" s="36"/>
      <c r="BF87" s="36"/>
      <c r="BG87" s="36"/>
      <c r="BH87" s="34"/>
      <c r="BI87" s="36"/>
      <c r="BJ87" s="36"/>
      <c r="BK87" s="36"/>
      <c r="BL87" s="36"/>
      <c r="BM87" s="36"/>
      <c r="BN87" s="36"/>
      <c r="BO87" s="34"/>
      <c r="BP87" s="36"/>
      <c r="BQ87" s="36"/>
      <c r="BR87" s="36"/>
      <c r="BS87" s="36"/>
      <c r="BT87" s="36"/>
      <c r="BU87" s="37"/>
    </row>
    <row r="88" spans="2:73" ht="54" customHeight="1" x14ac:dyDescent="0.25">
      <c r="B88" s="76" t="s">
        <v>450</v>
      </c>
      <c r="C88" s="71"/>
      <c r="D88" s="71"/>
      <c r="E88" s="71" t="s">
        <v>325</v>
      </c>
      <c r="F88" s="71"/>
      <c r="G88" s="71"/>
      <c r="H88" s="34"/>
      <c r="I88" s="71" t="s">
        <v>404</v>
      </c>
      <c r="J88" s="71"/>
      <c r="K88" s="71"/>
      <c r="L88" s="71" t="s">
        <v>328</v>
      </c>
      <c r="M88" s="71"/>
      <c r="N88" s="71"/>
      <c r="O88" s="34"/>
      <c r="P88" s="71" t="s">
        <v>362</v>
      </c>
      <c r="Q88" s="71"/>
      <c r="R88" s="71"/>
      <c r="S88" s="71" t="s">
        <v>444</v>
      </c>
      <c r="T88" s="71"/>
      <c r="U88" s="71"/>
      <c r="V88" s="34"/>
      <c r="W88" s="71" t="s">
        <v>440</v>
      </c>
      <c r="X88" s="71"/>
      <c r="Y88" s="71"/>
      <c r="Z88" s="71" t="s">
        <v>345</v>
      </c>
      <c r="AA88" s="71"/>
      <c r="AB88" s="71"/>
      <c r="AC88" s="33"/>
      <c r="AD88" s="71" t="s">
        <v>321</v>
      </c>
      <c r="AE88" s="71"/>
      <c r="AF88" s="71"/>
      <c r="AG88" s="71" t="s">
        <v>452</v>
      </c>
      <c r="AH88" s="71"/>
      <c r="AI88" s="72"/>
      <c r="AN88" s="76" t="s">
        <v>396</v>
      </c>
      <c r="AO88" s="71"/>
      <c r="AP88" s="71"/>
      <c r="AQ88" s="71" t="s">
        <v>376</v>
      </c>
      <c r="AR88" s="71"/>
      <c r="AS88" s="71"/>
      <c r="AT88" s="34"/>
      <c r="AU88" s="71" t="s">
        <v>388</v>
      </c>
      <c r="AV88" s="71"/>
      <c r="AW88" s="71"/>
      <c r="AX88" s="71" t="s">
        <v>448</v>
      </c>
      <c r="AY88" s="71"/>
      <c r="AZ88" s="71"/>
      <c r="BA88" s="34"/>
      <c r="BB88" s="71" t="s">
        <v>323</v>
      </c>
      <c r="BC88" s="71"/>
      <c r="BD88" s="71"/>
      <c r="BE88" s="71" t="s">
        <v>369</v>
      </c>
      <c r="BF88" s="71"/>
      <c r="BG88" s="71"/>
      <c r="BH88" s="34"/>
      <c r="BI88" s="71" t="s">
        <v>384</v>
      </c>
      <c r="BJ88" s="71"/>
      <c r="BK88" s="71"/>
      <c r="BL88" s="71" t="s">
        <v>311</v>
      </c>
      <c r="BM88" s="71"/>
      <c r="BN88" s="71"/>
      <c r="BO88" s="33"/>
      <c r="BP88" s="71" t="s">
        <v>379</v>
      </c>
      <c r="BQ88" s="71"/>
      <c r="BR88" s="71"/>
      <c r="BS88" s="71" t="s">
        <v>294</v>
      </c>
      <c r="BT88" s="71"/>
      <c r="BU88" s="72"/>
    </row>
    <row r="89" spans="2:73" ht="27" customHeight="1" x14ac:dyDescent="0.25">
      <c r="B89" s="78">
        <v>521</v>
      </c>
      <c r="C89" s="74"/>
      <c r="D89" s="75"/>
      <c r="E89" s="73">
        <v>522</v>
      </c>
      <c r="F89" s="74"/>
      <c r="G89" s="75"/>
      <c r="H89" s="34"/>
      <c r="I89" s="73">
        <v>523</v>
      </c>
      <c r="J89" s="74"/>
      <c r="K89" s="75"/>
      <c r="L89" s="73">
        <v>524</v>
      </c>
      <c r="M89" s="74"/>
      <c r="N89" s="75"/>
      <c r="O89" s="34"/>
      <c r="P89" s="73">
        <v>525</v>
      </c>
      <c r="Q89" s="74"/>
      <c r="R89" s="75"/>
      <c r="S89" s="73">
        <v>526</v>
      </c>
      <c r="T89" s="74"/>
      <c r="U89" s="75"/>
      <c r="V89" s="34"/>
      <c r="W89" s="73">
        <v>527</v>
      </c>
      <c r="X89" s="74"/>
      <c r="Y89" s="75"/>
      <c r="Z89" s="73">
        <v>528</v>
      </c>
      <c r="AA89" s="74"/>
      <c r="AB89" s="75"/>
      <c r="AC89" s="33"/>
      <c r="AD89" s="73">
        <v>529</v>
      </c>
      <c r="AE89" s="74"/>
      <c r="AF89" s="75"/>
      <c r="AG89" s="73">
        <v>530</v>
      </c>
      <c r="AH89" s="74"/>
      <c r="AI89" s="77"/>
      <c r="AN89" s="78">
        <v>531</v>
      </c>
      <c r="AO89" s="74"/>
      <c r="AP89" s="75"/>
      <c r="AQ89" s="73">
        <v>532</v>
      </c>
      <c r="AR89" s="74"/>
      <c r="AS89" s="75"/>
      <c r="AT89" s="34"/>
      <c r="AU89" s="73">
        <v>533</v>
      </c>
      <c r="AV89" s="74"/>
      <c r="AW89" s="75"/>
      <c r="AX89" s="73">
        <v>534</v>
      </c>
      <c r="AY89" s="74"/>
      <c r="AZ89" s="75"/>
      <c r="BA89" s="34"/>
      <c r="BB89" s="73">
        <v>535</v>
      </c>
      <c r="BC89" s="74"/>
      <c r="BD89" s="75"/>
      <c r="BE89" s="73">
        <v>536</v>
      </c>
      <c r="BF89" s="74"/>
      <c r="BG89" s="75"/>
      <c r="BH89" s="34"/>
      <c r="BI89" s="73">
        <v>537</v>
      </c>
      <c r="BJ89" s="74"/>
      <c r="BK89" s="75"/>
      <c r="BL89" s="73">
        <v>538</v>
      </c>
      <c r="BM89" s="74"/>
      <c r="BN89" s="75"/>
      <c r="BO89" s="33"/>
      <c r="BP89" s="73">
        <v>539</v>
      </c>
      <c r="BQ89" s="74"/>
      <c r="BR89" s="75"/>
      <c r="BS89" s="73">
        <v>540</v>
      </c>
      <c r="BT89" s="74"/>
      <c r="BU89" s="77"/>
    </row>
    <row r="90" spans="2:73" ht="27" customHeight="1" x14ac:dyDescent="0.25">
      <c r="B90" s="38"/>
      <c r="C90" s="36"/>
      <c r="D90" s="36"/>
      <c r="E90" s="36"/>
      <c r="F90" s="36"/>
      <c r="G90" s="36"/>
      <c r="H90" s="34"/>
      <c r="I90" s="36"/>
      <c r="J90" s="36"/>
      <c r="K90" s="36"/>
      <c r="L90" s="36"/>
      <c r="M90" s="36"/>
      <c r="N90" s="36"/>
      <c r="O90" s="34"/>
      <c r="P90" s="36"/>
      <c r="Q90" s="36"/>
      <c r="R90" s="36"/>
      <c r="S90" s="36"/>
      <c r="T90" s="36"/>
      <c r="U90" s="36"/>
      <c r="V90" s="34"/>
      <c r="W90" s="36"/>
      <c r="X90" s="36"/>
      <c r="Y90" s="36"/>
      <c r="Z90" s="36"/>
      <c r="AA90" s="36"/>
      <c r="AB90" s="36"/>
      <c r="AC90" s="34"/>
      <c r="AD90" s="36"/>
      <c r="AE90" s="36"/>
      <c r="AF90" s="36"/>
      <c r="AG90" s="36"/>
      <c r="AH90" s="36"/>
      <c r="AI90" s="37"/>
      <c r="AN90" s="38"/>
      <c r="AO90" s="36"/>
      <c r="AP90" s="36"/>
      <c r="AQ90" s="36"/>
      <c r="AR90" s="36"/>
      <c r="AS90" s="36"/>
      <c r="AT90" s="34"/>
      <c r="AU90" s="36"/>
      <c r="AV90" s="36"/>
      <c r="AW90" s="36"/>
      <c r="AX90" s="36"/>
      <c r="AY90" s="36"/>
      <c r="AZ90" s="36"/>
      <c r="BA90" s="34"/>
      <c r="BB90" s="36"/>
      <c r="BC90" s="36"/>
      <c r="BD90" s="36"/>
      <c r="BE90" s="36"/>
      <c r="BF90" s="36"/>
      <c r="BG90" s="36"/>
      <c r="BH90" s="34"/>
      <c r="BI90" s="36"/>
      <c r="BJ90" s="36"/>
      <c r="BK90" s="36"/>
      <c r="BL90" s="36"/>
      <c r="BM90" s="36"/>
      <c r="BN90" s="36"/>
      <c r="BO90" s="34"/>
      <c r="BP90" s="36"/>
      <c r="BQ90" s="36"/>
      <c r="BR90" s="36"/>
      <c r="BS90" s="36"/>
      <c r="BT90" s="36"/>
      <c r="BU90" s="37"/>
    </row>
    <row r="91" spans="2:73" ht="54" customHeight="1" x14ac:dyDescent="0.25">
      <c r="B91" s="76" t="s">
        <v>419</v>
      </c>
      <c r="C91" s="71"/>
      <c r="D91" s="71"/>
      <c r="E91" s="71" t="s">
        <v>401</v>
      </c>
      <c r="F91" s="71"/>
      <c r="G91" s="71"/>
      <c r="H91" s="34"/>
      <c r="I91" s="71" t="s">
        <v>399</v>
      </c>
      <c r="J91" s="71"/>
      <c r="K91" s="71"/>
      <c r="L91" s="71" t="s">
        <v>387</v>
      </c>
      <c r="M91" s="71"/>
      <c r="N91" s="71"/>
      <c r="O91" s="34"/>
      <c r="P91" s="71" t="s">
        <v>447</v>
      </c>
      <c r="Q91" s="71"/>
      <c r="R91" s="71"/>
      <c r="S91" s="71" t="s">
        <v>363</v>
      </c>
      <c r="T91" s="71"/>
      <c r="U91" s="71"/>
      <c r="V91" s="34"/>
      <c r="W91" s="71" t="s">
        <v>446</v>
      </c>
      <c r="X91" s="71"/>
      <c r="Y91" s="71"/>
      <c r="Z91" s="71" t="s">
        <v>390</v>
      </c>
      <c r="AA91" s="71"/>
      <c r="AB91" s="71"/>
      <c r="AC91" s="33"/>
      <c r="AD91" s="71" t="s">
        <v>397</v>
      </c>
      <c r="AE91" s="71"/>
      <c r="AF91" s="71"/>
      <c r="AG91" s="71" t="s">
        <v>370</v>
      </c>
      <c r="AH91" s="71"/>
      <c r="AI91" s="72"/>
      <c r="AN91" s="76" t="s">
        <v>375</v>
      </c>
      <c r="AO91" s="71"/>
      <c r="AP91" s="71"/>
      <c r="AQ91" s="71" t="s">
        <v>378</v>
      </c>
      <c r="AR91" s="71"/>
      <c r="AS91" s="71"/>
      <c r="AT91" s="34"/>
      <c r="AU91" s="71" t="s">
        <v>365</v>
      </c>
      <c r="AV91" s="71"/>
      <c r="AW91" s="71"/>
      <c r="AX91" s="71" t="s">
        <v>466</v>
      </c>
      <c r="AY91" s="71"/>
      <c r="AZ91" s="71"/>
      <c r="BA91" s="34"/>
      <c r="BB91" s="71" t="s">
        <v>361</v>
      </c>
      <c r="BC91" s="71"/>
      <c r="BD91" s="71"/>
      <c r="BE91" s="71" t="s">
        <v>462</v>
      </c>
      <c r="BF91" s="71"/>
      <c r="BG91" s="71"/>
      <c r="BH91" s="34"/>
      <c r="BI91" s="71" t="s">
        <v>392</v>
      </c>
      <c r="BJ91" s="71"/>
      <c r="BK91" s="71"/>
      <c r="BL91" s="71" t="s">
        <v>357</v>
      </c>
      <c r="BM91" s="71"/>
      <c r="BN91" s="71"/>
      <c r="BO91" s="33"/>
      <c r="BP91" s="71" t="s">
        <v>508</v>
      </c>
      <c r="BQ91" s="71"/>
      <c r="BR91" s="71"/>
      <c r="BS91" s="71" t="s">
        <v>320</v>
      </c>
      <c r="BT91" s="71"/>
      <c r="BU91" s="72"/>
    </row>
    <row r="92" spans="2:73" ht="27" customHeight="1" x14ac:dyDescent="0.25">
      <c r="B92" s="78">
        <v>541</v>
      </c>
      <c r="C92" s="74"/>
      <c r="D92" s="75"/>
      <c r="E92" s="73">
        <v>542</v>
      </c>
      <c r="F92" s="74"/>
      <c r="G92" s="75"/>
      <c r="H92" s="34"/>
      <c r="I92" s="73">
        <v>543</v>
      </c>
      <c r="J92" s="74"/>
      <c r="K92" s="75"/>
      <c r="L92" s="73">
        <v>544</v>
      </c>
      <c r="M92" s="74"/>
      <c r="N92" s="75"/>
      <c r="O92" s="34"/>
      <c r="P92" s="73">
        <v>545</v>
      </c>
      <c r="Q92" s="74"/>
      <c r="R92" s="75"/>
      <c r="S92" s="73">
        <v>546</v>
      </c>
      <c r="T92" s="74"/>
      <c r="U92" s="75"/>
      <c r="V92" s="34"/>
      <c r="W92" s="73">
        <v>547</v>
      </c>
      <c r="X92" s="74"/>
      <c r="Y92" s="75"/>
      <c r="Z92" s="73">
        <v>548</v>
      </c>
      <c r="AA92" s="74"/>
      <c r="AB92" s="75"/>
      <c r="AC92" s="33"/>
      <c r="AD92" s="73">
        <v>549</v>
      </c>
      <c r="AE92" s="74"/>
      <c r="AF92" s="75"/>
      <c r="AG92" s="73">
        <v>550</v>
      </c>
      <c r="AH92" s="74"/>
      <c r="AI92" s="77"/>
      <c r="AN92" s="78">
        <v>551</v>
      </c>
      <c r="AO92" s="74"/>
      <c r="AP92" s="75"/>
      <c r="AQ92" s="73">
        <v>552</v>
      </c>
      <c r="AR92" s="74"/>
      <c r="AS92" s="75"/>
      <c r="AT92" s="34"/>
      <c r="AU92" s="73">
        <v>553</v>
      </c>
      <c r="AV92" s="74"/>
      <c r="AW92" s="75"/>
      <c r="AX92" s="73">
        <v>554</v>
      </c>
      <c r="AY92" s="74"/>
      <c r="AZ92" s="75"/>
      <c r="BA92" s="34"/>
      <c r="BB92" s="73">
        <v>555</v>
      </c>
      <c r="BC92" s="74"/>
      <c r="BD92" s="75"/>
      <c r="BE92" s="73">
        <v>556</v>
      </c>
      <c r="BF92" s="74"/>
      <c r="BG92" s="75"/>
      <c r="BH92" s="34"/>
      <c r="BI92" s="73">
        <v>557</v>
      </c>
      <c r="BJ92" s="74"/>
      <c r="BK92" s="75"/>
      <c r="BL92" s="73">
        <v>558</v>
      </c>
      <c r="BM92" s="74"/>
      <c r="BN92" s="75"/>
      <c r="BO92" s="33"/>
      <c r="BP92" s="73">
        <v>559</v>
      </c>
      <c r="BQ92" s="74"/>
      <c r="BR92" s="75"/>
      <c r="BS92" s="73">
        <v>560</v>
      </c>
      <c r="BT92" s="74"/>
      <c r="BU92" s="77"/>
    </row>
    <row r="93" spans="2:73" ht="27" customHeight="1" x14ac:dyDescent="0.25">
      <c r="B93" s="38"/>
      <c r="C93" s="36"/>
      <c r="D93" s="36"/>
      <c r="E93" s="36"/>
      <c r="F93" s="36"/>
      <c r="G93" s="36"/>
      <c r="H93" s="34"/>
      <c r="I93" s="36"/>
      <c r="J93" s="36"/>
      <c r="K93" s="36"/>
      <c r="L93" s="36"/>
      <c r="M93" s="36"/>
      <c r="N93" s="36"/>
      <c r="O93" s="34"/>
      <c r="P93" s="36"/>
      <c r="Q93" s="36"/>
      <c r="R93" s="36"/>
      <c r="S93" s="36"/>
      <c r="T93" s="36"/>
      <c r="U93" s="36"/>
      <c r="V93" s="34"/>
      <c r="W93" s="36"/>
      <c r="X93" s="36"/>
      <c r="Y93" s="36"/>
      <c r="Z93" s="36"/>
      <c r="AA93" s="36"/>
      <c r="AB93" s="36"/>
      <c r="AC93" s="34"/>
      <c r="AD93" s="36"/>
      <c r="AE93" s="36"/>
      <c r="AF93" s="36"/>
      <c r="AG93" s="36"/>
      <c r="AH93" s="36"/>
      <c r="AI93" s="37"/>
      <c r="AN93" s="38"/>
      <c r="AO93" s="36"/>
      <c r="AP93" s="36"/>
      <c r="AQ93" s="36"/>
      <c r="AR93" s="36"/>
      <c r="AS93" s="36"/>
      <c r="AT93" s="34"/>
      <c r="AU93" s="36"/>
      <c r="AV93" s="36"/>
      <c r="AW93" s="36"/>
      <c r="AX93" s="36"/>
      <c r="AY93" s="36"/>
      <c r="AZ93" s="36"/>
      <c r="BA93" s="34"/>
      <c r="BB93" s="36"/>
      <c r="BC93" s="36"/>
      <c r="BD93" s="36"/>
      <c r="BE93" s="36"/>
      <c r="BF93" s="36"/>
      <c r="BG93" s="36"/>
      <c r="BH93" s="34"/>
      <c r="BI93" s="36"/>
      <c r="BJ93" s="36"/>
      <c r="BK93" s="36"/>
      <c r="BL93" s="36"/>
      <c r="BM93" s="36"/>
      <c r="BN93" s="36"/>
      <c r="BO93" s="34"/>
      <c r="BP93" s="36"/>
      <c r="BQ93" s="36"/>
      <c r="BR93" s="36"/>
      <c r="BS93" s="36"/>
      <c r="BT93" s="36"/>
      <c r="BU93" s="37"/>
    </row>
    <row r="94" spans="2:73" ht="54" customHeight="1" x14ac:dyDescent="0.25">
      <c r="B94" s="76" t="s">
        <v>319</v>
      </c>
      <c r="C94" s="71"/>
      <c r="D94" s="71"/>
      <c r="E94" s="71" t="s">
        <v>316</v>
      </c>
      <c r="F94" s="71"/>
      <c r="G94" s="71"/>
      <c r="H94" s="34"/>
      <c r="I94" s="71" t="s">
        <v>513</v>
      </c>
      <c r="J94" s="71"/>
      <c r="K94" s="71"/>
      <c r="L94" s="71" t="s">
        <v>413</v>
      </c>
      <c r="M94" s="71"/>
      <c r="N94" s="71"/>
      <c r="O94" s="34"/>
      <c r="P94" s="71" t="s">
        <v>352</v>
      </c>
      <c r="Q94" s="71"/>
      <c r="R94" s="71"/>
      <c r="S94" s="71" t="s">
        <v>409</v>
      </c>
      <c r="T94" s="71"/>
      <c r="U94" s="71"/>
      <c r="V94" s="34"/>
      <c r="W94" s="71" t="s">
        <v>383</v>
      </c>
      <c r="X94" s="71"/>
      <c r="Y94" s="71"/>
      <c r="Z94" s="71" t="s">
        <v>398</v>
      </c>
      <c r="AA94" s="71"/>
      <c r="AB94" s="71"/>
      <c r="AC94" s="33"/>
      <c r="AD94" s="71" t="s">
        <v>427</v>
      </c>
      <c r="AE94" s="71"/>
      <c r="AF94" s="71"/>
      <c r="AG94" s="71" t="s">
        <v>342</v>
      </c>
      <c r="AH94" s="71"/>
      <c r="AI94" s="72"/>
      <c r="AN94" s="76" t="s">
        <v>426</v>
      </c>
      <c r="AO94" s="71"/>
      <c r="AP94" s="71"/>
      <c r="AQ94" s="71" t="s">
        <v>430</v>
      </c>
      <c r="AR94" s="71"/>
      <c r="AS94" s="71"/>
      <c r="AT94" s="34"/>
      <c r="AU94" s="71" t="s">
        <v>358</v>
      </c>
      <c r="AV94" s="71"/>
      <c r="AW94" s="71"/>
      <c r="AX94" s="71" t="s">
        <v>432</v>
      </c>
      <c r="AY94" s="71"/>
      <c r="AZ94" s="71"/>
      <c r="BA94" s="34"/>
      <c r="BB94" s="71" t="s">
        <v>516</v>
      </c>
      <c r="BC94" s="71"/>
      <c r="BD94" s="71"/>
      <c r="BE94" s="71" t="s">
        <v>467</v>
      </c>
      <c r="BF94" s="71"/>
      <c r="BG94" s="71"/>
      <c r="BH94" s="34"/>
      <c r="BI94" s="71" t="s">
        <v>465</v>
      </c>
      <c r="BJ94" s="71"/>
      <c r="BK94" s="71"/>
      <c r="BL94" s="71" t="s">
        <v>420</v>
      </c>
      <c r="BM94" s="71"/>
      <c r="BN94" s="71"/>
      <c r="BO94" s="33"/>
      <c r="BP94" s="71" t="s">
        <v>424</v>
      </c>
      <c r="BQ94" s="71"/>
      <c r="BR94" s="71"/>
      <c r="BS94" s="71" t="s">
        <v>331</v>
      </c>
      <c r="BT94" s="71"/>
      <c r="BU94" s="72"/>
    </row>
    <row r="95" spans="2:73" ht="27" customHeight="1" x14ac:dyDescent="0.25">
      <c r="B95" s="78">
        <v>561</v>
      </c>
      <c r="C95" s="74"/>
      <c r="D95" s="75"/>
      <c r="E95" s="73">
        <v>562</v>
      </c>
      <c r="F95" s="74"/>
      <c r="G95" s="75"/>
      <c r="H95" s="34"/>
      <c r="I95" s="73">
        <v>563</v>
      </c>
      <c r="J95" s="74"/>
      <c r="K95" s="75"/>
      <c r="L95" s="73">
        <v>564</v>
      </c>
      <c r="M95" s="74"/>
      <c r="N95" s="75"/>
      <c r="O95" s="34"/>
      <c r="P95" s="73">
        <v>565</v>
      </c>
      <c r="Q95" s="74"/>
      <c r="R95" s="75"/>
      <c r="S95" s="73">
        <v>566</v>
      </c>
      <c r="T95" s="74"/>
      <c r="U95" s="75"/>
      <c r="V95" s="34"/>
      <c r="W95" s="73">
        <v>567</v>
      </c>
      <c r="X95" s="74"/>
      <c r="Y95" s="75"/>
      <c r="Z95" s="73">
        <v>568</v>
      </c>
      <c r="AA95" s="74"/>
      <c r="AB95" s="75"/>
      <c r="AC95" s="33"/>
      <c r="AD95" s="73">
        <v>569</v>
      </c>
      <c r="AE95" s="74"/>
      <c r="AF95" s="75"/>
      <c r="AG95" s="73">
        <v>570</v>
      </c>
      <c r="AH95" s="74"/>
      <c r="AI95" s="77"/>
      <c r="AN95" s="78">
        <v>571</v>
      </c>
      <c r="AO95" s="74"/>
      <c r="AP95" s="75"/>
      <c r="AQ95" s="73">
        <v>572</v>
      </c>
      <c r="AR95" s="74"/>
      <c r="AS95" s="75"/>
      <c r="AT95" s="34"/>
      <c r="AU95" s="73">
        <v>573</v>
      </c>
      <c r="AV95" s="74"/>
      <c r="AW95" s="75"/>
      <c r="AX95" s="73">
        <v>574</v>
      </c>
      <c r="AY95" s="74"/>
      <c r="AZ95" s="75"/>
      <c r="BA95" s="34"/>
      <c r="BB95" s="73">
        <v>575</v>
      </c>
      <c r="BC95" s="74"/>
      <c r="BD95" s="75"/>
      <c r="BE95" s="73">
        <v>576</v>
      </c>
      <c r="BF95" s="74"/>
      <c r="BG95" s="75"/>
      <c r="BH95" s="34"/>
      <c r="BI95" s="73">
        <v>577</v>
      </c>
      <c r="BJ95" s="74"/>
      <c r="BK95" s="75"/>
      <c r="BL95" s="73">
        <v>578</v>
      </c>
      <c r="BM95" s="74"/>
      <c r="BN95" s="75"/>
      <c r="BO95" s="33"/>
      <c r="BP95" s="73">
        <v>579</v>
      </c>
      <c r="BQ95" s="74"/>
      <c r="BR95" s="75"/>
      <c r="BS95" s="73">
        <v>580</v>
      </c>
      <c r="BT95" s="74"/>
      <c r="BU95" s="77"/>
    </row>
    <row r="96" spans="2:73" ht="27" customHeight="1" x14ac:dyDescent="0.25">
      <c r="B96" s="38"/>
      <c r="C96" s="36"/>
      <c r="D96" s="36"/>
      <c r="E96" s="36"/>
      <c r="F96" s="36"/>
      <c r="G96" s="36"/>
      <c r="H96" s="34"/>
      <c r="I96" s="36"/>
      <c r="J96" s="36"/>
      <c r="K96" s="36"/>
      <c r="L96" s="36"/>
      <c r="M96" s="36"/>
      <c r="N96" s="36"/>
      <c r="O96" s="34"/>
      <c r="P96" s="36"/>
      <c r="Q96" s="36"/>
      <c r="R96" s="36"/>
      <c r="S96" s="36"/>
      <c r="T96" s="36"/>
      <c r="U96" s="36"/>
      <c r="V96" s="34"/>
      <c r="W96" s="36"/>
      <c r="X96" s="36"/>
      <c r="Y96" s="36"/>
      <c r="Z96" s="36"/>
      <c r="AA96" s="36"/>
      <c r="AB96" s="36"/>
      <c r="AC96" s="34"/>
      <c r="AD96" s="36"/>
      <c r="AE96" s="36"/>
      <c r="AF96" s="36"/>
      <c r="AG96" s="36"/>
      <c r="AH96" s="36"/>
      <c r="AI96" s="37"/>
      <c r="AN96" s="38"/>
      <c r="AO96" s="36"/>
      <c r="AP96" s="36"/>
      <c r="AQ96" s="36"/>
      <c r="AR96" s="36"/>
      <c r="AS96" s="36"/>
      <c r="AT96" s="34"/>
      <c r="AU96" s="36"/>
      <c r="AV96" s="36"/>
      <c r="AW96" s="36"/>
      <c r="AX96" s="36"/>
      <c r="AY96" s="36"/>
      <c r="AZ96" s="36"/>
      <c r="BA96" s="34"/>
      <c r="BB96" s="36"/>
      <c r="BC96" s="36"/>
      <c r="BD96" s="36"/>
      <c r="BE96" s="36"/>
      <c r="BF96" s="36"/>
      <c r="BG96" s="36"/>
      <c r="BH96" s="34"/>
      <c r="BI96" s="36"/>
      <c r="BJ96" s="36"/>
      <c r="BK96" s="36"/>
      <c r="BL96" s="36"/>
      <c r="BM96" s="36"/>
      <c r="BN96" s="36"/>
      <c r="BO96" s="34"/>
      <c r="BP96" s="36"/>
      <c r="BQ96" s="36"/>
      <c r="BR96" s="36"/>
      <c r="BS96" s="36"/>
      <c r="BT96" s="36"/>
      <c r="BU96" s="37"/>
    </row>
    <row r="97" spans="2:73" ht="54" customHeight="1" x14ac:dyDescent="0.25">
      <c r="B97" s="76" t="s">
        <v>518</v>
      </c>
      <c r="C97" s="71"/>
      <c r="D97" s="71"/>
      <c r="E97" s="71" t="s">
        <v>521</v>
      </c>
      <c r="F97" s="71"/>
      <c r="G97" s="71"/>
      <c r="H97" s="34"/>
      <c r="I97" s="71" t="s">
        <v>382</v>
      </c>
      <c r="J97" s="71"/>
      <c r="K97" s="71"/>
      <c r="L97" s="71" t="s">
        <v>335</v>
      </c>
      <c r="M97" s="71"/>
      <c r="N97" s="71"/>
      <c r="O97" s="34"/>
      <c r="P97" s="71" t="s">
        <v>423</v>
      </c>
      <c r="Q97" s="71"/>
      <c r="R97" s="71"/>
      <c r="S97" s="71" t="s">
        <v>415</v>
      </c>
      <c r="T97" s="71"/>
      <c r="U97" s="71"/>
      <c r="V97" s="34"/>
      <c r="W97" s="71" t="s">
        <v>347</v>
      </c>
      <c r="X97" s="71"/>
      <c r="Y97" s="71"/>
      <c r="Z97" s="71" t="s">
        <v>314</v>
      </c>
      <c r="AA97" s="71"/>
      <c r="AB97" s="71"/>
      <c r="AC97" s="33"/>
      <c r="AD97" s="71" t="s">
        <v>344</v>
      </c>
      <c r="AE97" s="71"/>
      <c r="AF97" s="71"/>
      <c r="AG97" s="71" t="s">
        <v>468</v>
      </c>
      <c r="AH97" s="71"/>
      <c r="AI97" s="72"/>
      <c r="AN97" s="76" t="s">
        <v>408</v>
      </c>
      <c r="AO97" s="71"/>
      <c r="AP97" s="71"/>
      <c r="AQ97" s="71" t="s">
        <v>443</v>
      </c>
      <c r="AR97" s="71"/>
      <c r="AS97" s="71"/>
      <c r="AT97" s="34"/>
      <c r="AU97" s="71" t="s">
        <v>417</v>
      </c>
      <c r="AV97" s="71"/>
      <c r="AW97" s="71"/>
      <c r="AX97" s="71" t="s">
        <v>356</v>
      </c>
      <c r="AY97" s="71"/>
      <c r="AZ97" s="71"/>
      <c r="BA97" s="34"/>
      <c r="BB97" s="71" t="s">
        <v>439</v>
      </c>
      <c r="BC97" s="71"/>
      <c r="BD97" s="71"/>
      <c r="BE97" s="71" t="s">
        <v>456</v>
      </c>
      <c r="BF97" s="71"/>
      <c r="BG97" s="71"/>
      <c r="BH97" s="34"/>
      <c r="BI97" s="71" t="s">
        <v>442</v>
      </c>
      <c r="BJ97" s="71"/>
      <c r="BK97" s="71"/>
      <c r="BL97" s="71" t="s">
        <v>349</v>
      </c>
      <c r="BM97" s="71"/>
      <c r="BN97" s="71"/>
      <c r="BO97" s="33"/>
      <c r="BP97" s="71" t="s">
        <v>436</v>
      </c>
      <c r="BQ97" s="71"/>
      <c r="BR97" s="71"/>
      <c r="BS97" s="71" t="s">
        <v>411</v>
      </c>
      <c r="BT97" s="71"/>
      <c r="BU97" s="72"/>
    </row>
    <row r="98" spans="2:73" ht="27" customHeight="1" thickBot="1" x14ac:dyDescent="0.3">
      <c r="B98" s="83">
        <v>581</v>
      </c>
      <c r="C98" s="80"/>
      <c r="D98" s="81"/>
      <c r="E98" s="79">
        <v>582</v>
      </c>
      <c r="F98" s="80"/>
      <c r="G98" s="81"/>
      <c r="H98" s="39"/>
      <c r="I98" s="79">
        <v>583</v>
      </c>
      <c r="J98" s="80"/>
      <c r="K98" s="81"/>
      <c r="L98" s="79">
        <v>584</v>
      </c>
      <c r="M98" s="80"/>
      <c r="N98" s="81"/>
      <c r="O98" s="39"/>
      <c r="P98" s="79">
        <v>585</v>
      </c>
      <c r="Q98" s="80"/>
      <c r="R98" s="81"/>
      <c r="S98" s="79">
        <v>586</v>
      </c>
      <c r="T98" s="80"/>
      <c r="U98" s="81"/>
      <c r="V98" s="39"/>
      <c r="W98" s="79">
        <v>587</v>
      </c>
      <c r="X98" s="80"/>
      <c r="Y98" s="81"/>
      <c r="Z98" s="79">
        <v>588</v>
      </c>
      <c r="AA98" s="80"/>
      <c r="AB98" s="81"/>
      <c r="AC98" s="40"/>
      <c r="AD98" s="79">
        <v>589</v>
      </c>
      <c r="AE98" s="80"/>
      <c r="AF98" s="81"/>
      <c r="AG98" s="79">
        <v>590</v>
      </c>
      <c r="AH98" s="80"/>
      <c r="AI98" s="82"/>
      <c r="AN98" s="83">
        <v>591</v>
      </c>
      <c r="AO98" s="80"/>
      <c r="AP98" s="81"/>
      <c r="AQ98" s="79">
        <v>592</v>
      </c>
      <c r="AR98" s="80"/>
      <c r="AS98" s="81"/>
      <c r="AT98" s="39"/>
      <c r="AU98" s="79">
        <v>593</v>
      </c>
      <c r="AV98" s="80"/>
      <c r="AW98" s="81"/>
      <c r="AX98" s="79">
        <v>594</v>
      </c>
      <c r="AY98" s="80"/>
      <c r="AZ98" s="81"/>
      <c r="BA98" s="39"/>
      <c r="BB98" s="79">
        <v>595</v>
      </c>
      <c r="BC98" s="80"/>
      <c r="BD98" s="81"/>
      <c r="BE98" s="79">
        <v>596</v>
      </c>
      <c r="BF98" s="80"/>
      <c r="BG98" s="81"/>
      <c r="BH98" s="39"/>
      <c r="BI98" s="79">
        <v>597</v>
      </c>
      <c r="BJ98" s="80"/>
      <c r="BK98" s="81"/>
      <c r="BL98" s="79">
        <v>598</v>
      </c>
      <c r="BM98" s="80"/>
      <c r="BN98" s="81"/>
      <c r="BO98" s="40"/>
      <c r="BP98" s="79">
        <v>599</v>
      </c>
      <c r="BQ98" s="80"/>
      <c r="BR98" s="81"/>
      <c r="BS98" s="79">
        <v>600</v>
      </c>
      <c r="BT98" s="80"/>
      <c r="BU98" s="82"/>
    </row>
    <row r="99" spans="2:73" ht="51.75" customHeight="1" x14ac:dyDescent="0.25">
      <c r="B99" s="44"/>
      <c r="C99" s="44"/>
      <c r="D99" s="44"/>
      <c r="E99" s="44"/>
      <c r="F99" s="44"/>
      <c r="G99" s="44"/>
      <c r="I99" s="44"/>
      <c r="J99" s="44"/>
      <c r="K99" s="44"/>
      <c r="L99" s="44"/>
      <c r="M99" s="44"/>
      <c r="N99" s="44"/>
      <c r="P99" s="44"/>
      <c r="Q99" s="44"/>
      <c r="R99" s="44"/>
      <c r="S99" s="44"/>
      <c r="T99" s="44"/>
      <c r="U99" s="44"/>
      <c r="W99" s="44"/>
      <c r="X99" s="44"/>
      <c r="Y99" s="44"/>
      <c r="Z99" s="44"/>
      <c r="AA99" s="44"/>
      <c r="AB99" s="44"/>
      <c r="AD99" s="44"/>
      <c r="AE99" s="44"/>
      <c r="AF99" s="44"/>
      <c r="AG99" s="44"/>
      <c r="AH99" s="44"/>
      <c r="AI99" s="44"/>
      <c r="AN99" s="44"/>
      <c r="AO99" s="44"/>
      <c r="AP99" s="44"/>
      <c r="AQ99" s="44"/>
      <c r="AR99" s="44"/>
      <c r="AS99" s="44"/>
      <c r="AU99" s="44"/>
      <c r="AV99" s="44"/>
      <c r="AW99" s="44"/>
      <c r="AX99" s="44"/>
      <c r="AY99" s="44"/>
      <c r="AZ99" s="44"/>
      <c r="BB99" s="44"/>
      <c r="BC99" s="44"/>
      <c r="BD99" s="44"/>
      <c r="BE99" s="44"/>
      <c r="BF99" s="44"/>
      <c r="BG99" s="44"/>
      <c r="BI99" s="44"/>
      <c r="BJ99" s="44"/>
      <c r="BK99" s="44"/>
      <c r="BL99" s="44"/>
      <c r="BM99" s="44"/>
      <c r="BN99" s="44"/>
      <c r="BP99" s="44"/>
      <c r="BQ99" s="44"/>
      <c r="BR99" s="44"/>
      <c r="BS99" s="44"/>
      <c r="BT99" s="44"/>
      <c r="BU99" s="44"/>
    </row>
    <row r="100" spans="2:73" ht="51.75" customHeight="1" thickBot="1" x14ac:dyDescent="0.3"/>
    <row r="101" spans="2:73" ht="54" customHeight="1" x14ac:dyDescent="0.25">
      <c r="B101" s="86" t="s">
        <v>434</v>
      </c>
      <c r="C101" s="84"/>
      <c r="D101" s="84"/>
      <c r="E101" s="84" t="s">
        <v>368</v>
      </c>
      <c r="F101" s="84"/>
      <c r="G101" s="84"/>
      <c r="H101" s="41"/>
      <c r="I101" s="84" t="s">
        <v>366</v>
      </c>
      <c r="J101" s="84"/>
      <c r="K101" s="84"/>
      <c r="L101" s="84" t="s">
        <v>445</v>
      </c>
      <c r="M101" s="84"/>
      <c r="N101" s="84"/>
      <c r="O101" s="41"/>
      <c r="P101" s="84" t="s">
        <v>414</v>
      </c>
      <c r="Q101" s="84"/>
      <c r="R101" s="84"/>
      <c r="S101" s="84" t="s">
        <v>403</v>
      </c>
      <c r="T101" s="84"/>
      <c r="U101" s="84"/>
      <c r="V101" s="41"/>
      <c r="W101" s="84" t="s">
        <v>385</v>
      </c>
      <c r="X101" s="84"/>
      <c r="Y101" s="84"/>
      <c r="Z101" s="84" t="s">
        <v>353</v>
      </c>
      <c r="AA101" s="84"/>
      <c r="AB101" s="84"/>
      <c r="AC101" s="42"/>
      <c r="AD101" s="84" t="s">
        <v>394</v>
      </c>
      <c r="AE101" s="84"/>
      <c r="AF101" s="84"/>
      <c r="AG101" s="84" t="s">
        <v>435</v>
      </c>
      <c r="AH101" s="84"/>
      <c r="AI101" s="85"/>
      <c r="AN101" s="86" t="s">
        <v>405</v>
      </c>
      <c r="AO101" s="84"/>
      <c r="AP101" s="84"/>
      <c r="AQ101" s="84" t="s">
        <v>359</v>
      </c>
      <c r="AR101" s="84"/>
      <c r="AS101" s="84"/>
      <c r="AT101" s="41"/>
      <c r="AU101" s="84" t="s">
        <v>374</v>
      </c>
      <c r="AV101" s="84"/>
      <c r="AW101" s="84"/>
      <c r="AX101" s="84" t="s">
        <v>389</v>
      </c>
      <c r="AY101" s="84"/>
      <c r="AZ101" s="84"/>
      <c r="BA101" s="41"/>
      <c r="BB101" s="84" t="s">
        <v>348</v>
      </c>
      <c r="BC101" s="84"/>
      <c r="BD101" s="84"/>
      <c r="BE101" s="84" t="s">
        <v>317</v>
      </c>
      <c r="BF101" s="84"/>
      <c r="BG101" s="84"/>
      <c r="BH101" s="41"/>
      <c r="BI101" s="84" t="s">
        <v>329</v>
      </c>
      <c r="BJ101" s="84"/>
      <c r="BK101" s="84"/>
      <c r="BL101" s="84" t="s">
        <v>315</v>
      </c>
      <c r="BM101" s="84"/>
      <c r="BN101" s="84"/>
      <c r="BO101" s="42"/>
      <c r="BP101" s="84" t="s">
        <v>306</v>
      </c>
      <c r="BQ101" s="84"/>
      <c r="BR101" s="84"/>
      <c r="BS101" s="84" t="s">
        <v>459</v>
      </c>
      <c r="BT101" s="84"/>
      <c r="BU101" s="85"/>
    </row>
    <row r="102" spans="2:73" ht="27" customHeight="1" x14ac:dyDescent="0.25">
      <c r="B102" s="78">
        <v>601</v>
      </c>
      <c r="C102" s="74"/>
      <c r="D102" s="75"/>
      <c r="E102" s="73">
        <v>602</v>
      </c>
      <c r="F102" s="74"/>
      <c r="G102" s="75"/>
      <c r="H102" s="34"/>
      <c r="I102" s="73">
        <v>603</v>
      </c>
      <c r="J102" s="74"/>
      <c r="K102" s="75"/>
      <c r="L102" s="73">
        <v>604</v>
      </c>
      <c r="M102" s="74"/>
      <c r="N102" s="75"/>
      <c r="O102" s="34"/>
      <c r="P102" s="73">
        <v>605</v>
      </c>
      <c r="Q102" s="74"/>
      <c r="R102" s="75"/>
      <c r="S102" s="73">
        <v>606</v>
      </c>
      <c r="T102" s="74"/>
      <c r="U102" s="75"/>
      <c r="V102" s="34"/>
      <c r="W102" s="73">
        <v>607</v>
      </c>
      <c r="X102" s="74"/>
      <c r="Y102" s="75"/>
      <c r="Z102" s="73">
        <v>608</v>
      </c>
      <c r="AA102" s="74"/>
      <c r="AB102" s="75"/>
      <c r="AC102" s="33"/>
      <c r="AD102" s="73">
        <v>609</v>
      </c>
      <c r="AE102" s="74"/>
      <c r="AF102" s="75"/>
      <c r="AG102" s="73">
        <v>610</v>
      </c>
      <c r="AH102" s="74"/>
      <c r="AI102" s="77"/>
      <c r="AN102" s="78">
        <v>611</v>
      </c>
      <c r="AO102" s="74"/>
      <c r="AP102" s="75"/>
      <c r="AQ102" s="73">
        <v>612</v>
      </c>
      <c r="AR102" s="74"/>
      <c r="AS102" s="75"/>
      <c r="AT102" s="34"/>
      <c r="AU102" s="73">
        <v>613</v>
      </c>
      <c r="AV102" s="74"/>
      <c r="AW102" s="75"/>
      <c r="AX102" s="73">
        <v>614</v>
      </c>
      <c r="AY102" s="74"/>
      <c r="AZ102" s="75"/>
      <c r="BA102" s="34"/>
      <c r="BB102" s="73">
        <v>615</v>
      </c>
      <c r="BC102" s="74"/>
      <c r="BD102" s="75"/>
      <c r="BE102" s="73">
        <v>616</v>
      </c>
      <c r="BF102" s="74"/>
      <c r="BG102" s="75"/>
      <c r="BH102" s="34"/>
      <c r="BI102" s="73">
        <v>617</v>
      </c>
      <c r="BJ102" s="74"/>
      <c r="BK102" s="75"/>
      <c r="BL102" s="73">
        <v>618</v>
      </c>
      <c r="BM102" s="74"/>
      <c r="BN102" s="75"/>
      <c r="BO102" s="33"/>
      <c r="BP102" s="73">
        <v>619</v>
      </c>
      <c r="BQ102" s="74"/>
      <c r="BR102" s="75"/>
      <c r="BS102" s="73">
        <v>620</v>
      </c>
      <c r="BT102" s="74"/>
      <c r="BU102" s="77"/>
    </row>
    <row r="103" spans="2:73" ht="27" customHeight="1" x14ac:dyDescent="0.25">
      <c r="B103" s="38"/>
      <c r="C103" s="36"/>
      <c r="D103" s="36"/>
      <c r="E103" s="36"/>
      <c r="F103" s="36"/>
      <c r="G103" s="36"/>
      <c r="H103" s="34"/>
      <c r="I103" s="36"/>
      <c r="J103" s="36"/>
      <c r="K103" s="36"/>
      <c r="L103" s="36"/>
      <c r="M103" s="36"/>
      <c r="N103" s="36"/>
      <c r="O103" s="34"/>
      <c r="P103" s="36"/>
      <c r="Q103" s="36"/>
      <c r="R103" s="36"/>
      <c r="S103" s="36"/>
      <c r="T103" s="36"/>
      <c r="U103" s="36"/>
      <c r="V103" s="34"/>
      <c r="W103" s="36"/>
      <c r="X103" s="36"/>
      <c r="Y103" s="36"/>
      <c r="Z103" s="36"/>
      <c r="AA103" s="36"/>
      <c r="AB103" s="36"/>
      <c r="AC103" s="34"/>
      <c r="AD103" s="36"/>
      <c r="AE103" s="36"/>
      <c r="AF103" s="36"/>
      <c r="AG103" s="36"/>
      <c r="AH103" s="36"/>
      <c r="AI103" s="37"/>
      <c r="AN103" s="38"/>
      <c r="AO103" s="36"/>
      <c r="AP103" s="36"/>
      <c r="AQ103" s="36"/>
      <c r="AR103" s="36"/>
      <c r="AS103" s="36"/>
      <c r="AT103" s="34"/>
      <c r="AU103" s="36"/>
      <c r="AV103" s="36"/>
      <c r="AW103" s="36"/>
      <c r="AX103" s="36"/>
      <c r="AY103" s="36"/>
      <c r="AZ103" s="36"/>
      <c r="BA103" s="34"/>
      <c r="BB103" s="36"/>
      <c r="BC103" s="36"/>
      <c r="BD103" s="36"/>
      <c r="BE103" s="36"/>
      <c r="BF103" s="36"/>
      <c r="BG103" s="36"/>
      <c r="BH103" s="34"/>
      <c r="BI103" s="36"/>
      <c r="BJ103" s="36"/>
      <c r="BK103" s="36"/>
      <c r="BL103" s="36"/>
      <c r="BM103" s="36"/>
      <c r="BN103" s="36"/>
      <c r="BO103" s="34"/>
      <c r="BP103" s="36"/>
      <c r="BQ103" s="36"/>
      <c r="BR103" s="36"/>
      <c r="BS103" s="36"/>
      <c r="BT103" s="36"/>
      <c r="BU103" s="37"/>
    </row>
    <row r="104" spans="2:73" ht="54" customHeight="1" x14ac:dyDescent="0.25">
      <c r="B104" s="76" t="s">
        <v>507</v>
      </c>
      <c r="C104" s="71"/>
      <c r="D104" s="71"/>
      <c r="E104" s="71" t="s">
        <v>318</v>
      </c>
      <c r="F104" s="71"/>
      <c r="G104" s="71"/>
      <c r="H104" s="34"/>
      <c r="I104" s="71" t="s">
        <v>326</v>
      </c>
      <c r="J104" s="71"/>
      <c r="K104" s="71"/>
      <c r="L104" s="71" t="s">
        <v>373</v>
      </c>
      <c r="M104" s="71"/>
      <c r="N104" s="71"/>
      <c r="O104" s="34"/>
      <c r="P104" s="71" t="s">
        <v>400</v>
      </c>
      <c r="Q104" s="71"/>
      <c r="R104" s="71"/>
      <c r="S104" s="71" t="s">
        <v>340</v>
      </c>
      <c r="T104" s="71"/>
      <c r="U104" s="71"/>
      <c r="V104" s="34"/>
      <c r="W104" s="71" t="s">
        <v>464</v>
      </c>
      <c r="X104" s="71"/>
      <c r="Y104" s="71"/>
      <c r="Z104" s="71" t="s">
        <v>431</v>
      </c>
      <c r="AA104" s="71"/>
      <c r="AB104" s="71"/>
      <c r="AC104" s="33"/>
      <c r="AD104" s="71" t="s">
        <v>402</v>
      </c>
      <c r="AE104" s="71"/>
      <c r="AF104" s="71"/>
      <c r="AG104" s="71" t="s">
        <v>515</v>
      </c>
      <c r="AH104" s="71"/>
      <c r="AI104" s="72"/>
      <c r="AN104" s="76" t="s">
        <v>510</v>
      </c>
      <c r="AO104" s="71"/>
      <c r="AP104" s="71"/>
      <c r="AQ104" s="71" t="s">
        <v>278</v>
      </c>
      <c r="AR104" s="71"/>
      <c r="AS104" s="71"/>
      <c r="AT104" s="34"/>
      <c r="AU104" s="71" t="s">
        <v>421</v>
      </c>
      <c r="AV104" s="71"/>
      <c r="AW104" s="71"/>
      <c r="AX104" s="71" t="s">
        <v>453</v>
      </c>
      <c r="AY104" s="71"/>
      <c r="AZ104" s="71"/>
      <c r="BA104" s="34"/>
      <c r="BB104" s="71" t="s">
        <v>395</v>
      </c>
      <c r="BC104" s="71"/>
      <c r="BD104" s="71"/>
      <c r="BE104" s="71" t="s">
        <v>517</v>
      </c>
      <c r="BF104" s="71"/>
      <c r="BG104" s="71"/>
      <c r="BH104" s="34"/>
      <c r="BI104" s="71" t="s">
        <v>463</v>
      </c>
      <c r="BJ104" s="71"/>
      <c r="BK104" s="71"/>
      <c r="BL104" s="71" t="s">
        <v>412</v>
      </c>
      <c r="BM104" s="71"/>
      <c r="BN104" s="71"/>
      <c r="BO104" s="33"/>
      <c r="BP104" s="71" t="s">
        <v>386</v>
      </c>
      <c r="BQ104" s="71"/>
      <c r="BR104" s="71"/>
      <c r="BS104" s="71" t="s">
        <v>364</v>
      </c>
      <c r="BT104" s="71"/>
      <c r="BU104" s="72"/>
    </row>
    <row r="105" spans="2:73" ht="27" customHeight="1" x14ac:dyDescent="0.25">
      <c r="B105" s="78">
        <v>621</v>
      </c>
      <c r="C105" s="74"/>
      <c r="D105" s="75"/>
      <c r="E105" s="73">
        <v>622</v>
      </c>
      <c r="F105" s="74"/>
      <c r="G105" s="75"/>
      <c r="H105" s="34"/>
      <c r="I105" s="73">
        <v>623</v>
      </c>
      <c r="J105" s="74"/>
      <c r="K105" s="75"/>
      <c r="L105" s="73">
        <v>624</v>
      </c>
      <c r="M105" s="74"/>
      <c r="N105" s="75"/>
      <c r="O105" s="34"/>
      <c r="P105" s="73">
        <v>625</v>
      </c>
      <c r="Q105" s="74"/>
      <c r="R105" s="75"/>
      <c r="S105" s="73">
        <v>626</v>
      </c>
      <c r="T105" s="74"/>
      <c r="U105" s="75"/>
      <c r="V105" s="34"/>
      <c r="W105" s="73">
        <v>627</v>
      </c>
      <c r="X105" s="74"/>
      <c r="Y105" s="75"/>
      <c r="Z105" s="73">
        <v>628</v>
      </c>
      <c r="AA105" s="74"/>
      <c r="AB105" s="75"/>
      <c r="AC105" s="33"/>
      <c r="AD105" s="73">
        <v>629</v>
      </c>
      <c r="AE105" s="74"/>
      <c r="AF105" s="75"/>
      <c r="AG105" s="73">
        <v>630</v>
      </c>
      <c r="AH105" s="74"/>
      <c r="AI105" s="77"/>
      <c r="AN105" s="78">
        <v>631</v>
      </c>
      <c r="AO105" s="74"/>
      <c r="AP105" s="75"/>
      <c r="AQ105" s="73">
        <v>632</v>
      </c>
      <c r="AR105" s="74"/>
      <c r="AS105" s="75"/>
      <c r="AT105" s="34"/>
      <c r="AU105" s="73">
        <v>633</v>
      </c>
      <c r="AV105" s="74"/>
      <c r="AW105" s="75"/>
      <c r="AX105" s="73">
        <v>634</v>
      </c>
      <c r="AY105" s="74"/>
      <c r="AZ105" s="75"/>
      <c r="BA105" s="34"/>
      <c r="BB105" s="73">
        <v>635</v>
      </c>
      <c r="BC105" s="74"/>
      <c r="BD105" s="75"/>
      <c r="BE105" s="73">
        <v>636</v>
      </c>
      <c r="BF105" s="74"/>
      <c r="BG105" s="75"/>
      <c r="BH105" s="34"/>
      <c r="BI105" s="73">
        <v>637</v>
      </c>
      <c r="BJ105" s="74"/>
      <c r="BK105" s="75"/>
      <c r="BL105" s="73">
        <v>638</v>
      </c>
      <c r="BM105" s="74"/>
      <c r="BN105" s="75"/>
      <c r="BO105" s="33"/>
      <c r="BP105" s="73">
        <v>639</v>
      </c>
      <c r="BQ105" s="74"/>
      <c r="BR105" s="75"/>
      <c r="BS105" s="73">
        <v>640</v>
      </c>
      <c r="BT105" s="74"/>
      <c r="BU105" s="77"/>
    </row>
    <row r="106" spans="2:73" ht="27" customHeight="1" x14ac:dyDescent="0.25">
      <c r="B106" s="38"/>
      <c r="C106" s="36"/>
      <c r="D106" s="36"/>
      <c r="E106" s="36"/>
      <c r="F106" s="36"/>
      <c r="G106" s="36"/>
      <c r="H106" s="34"/>
      <c r="I106" s="36"/>
      <c r="J106" s="36"/>
      <c r="K106" s="36"/>
      <c r="L106" s="36"/>
      <c r="M106" s="36"/>
      <c r="N106" s="36"/>
      <c r="O106" s="34"/>
      <c r="P106" s="36"/>
      <c r="Q106" s="36"/>
      <c r="R106" s="36"/>
      <c r="S106" s="36"/>
      <c r="T106" s="36"/>
      <c r="U106" s="36"/>
      <c r="V106" s="34"/>
      <c r="W106" s="36"/>
      <c r="X106" s="36"/>
      <c r="Y106" s="36"/>
      <c r="Z106" s="36"/>
      <c r="AA106" s="36"/>
      <c r="AB106" s="36"/>
      <c r="AC106" s="34"/>
      <c r="AD106" s="36"/>
      <c r="AE106" s="36"/>
      <c r="AF106" s="36"/>
      <c r="AG106" s="36"/>
      <c r="AH106" s="36"/>
      <c r="AI106" s="37"/>
      <c r="AN106" s="38"/>
      <c r="AO106" s="36"/>
      <c r="AP106" s="36"/>
      <c r="AQ106" s="36"/>
      <c r="AR106" s="36"/>
      <c r="AS106" s="36"/>
      <c r="AT106" s="34"/>
      <c r="AU106" s="36"/>
      <c r="AV106" s="36"/>
      <c r="AW106" s="36"/>
      <c r="AX106" s="36"/>
      <c r="AY106" s="36"/>
      <c r="AZ106" s="36"/>
      <c r="BA106" s="34"/>
      <c r="BB106" s="36"/>
      <c r="BC106" s="36"/>
      <c r="BD106" s="36"/>
      <c r="BE106" s="36"/>
      <c r="BF106" s="36"/>
      <c r="BG106" s="36"/>
      <c r="BH106" s="34"/>
      <c r="BI106" s="36"/>
      <c r="BJ106" s="36"/>
      <c r="BK106" s="36"/>
      <c r="BL106" s="36"/>
      <c r="BM106" s="36"/>
      <c r="BN106" s="36"/>
      <c r="BO106" s="34"/>
      <c r="BP106" s="36"/>
      <c r="BQ106" s="36"/>
      <c r="BR106" s="36"/>
      <c r="BS106" s="36"/>
      <c r="BT106" s="36"/>
      <c r="BU106" s="37"/>
    </row>
    <row r="107" spans="2:73" ht="54" customHeight="1" x14ac:dyDescent="0.25">
      <c r="B107" s="76" t="s">
        <v>460</v>
      </c>
      <c r="C107" s="71"/>
      <c r="D107" s="71"/>
      <c r="E107" s="71" t="s">
        <v>406</v>
      </c>
      <c r="F107" s="71"/>
      <c r="G107" s="71"/>
      <c r="H107" s="34"/>
      <c r="I107" s="71" t="s">
        <v>372</v>
      </c>
      <c r="J107" s="71"/>
      <c r="K107" s="71"/>
      <c r="L107" s="71" t="s">
        <v>519</v>
      </c>
      <c r="M107" s="71"/>
      <c r="N107" s="71"/>
      <c r="O107" s="34"/>
      <c r="P107" s="71" t="s">
        <v>455</v>
      </c>
      <c r="Q107" s="71"/>
      <c r="R107" s="71"/>
      <c r="S107" s="71" t="s">
        <v>333</v>
      </c>
      <c r="T107" s="71"/>
      <c r="U107" s="71"/>
      <c r="V107" s="34"/>
      <c r="W107" s="71" t="s">
        <v>410</v>
      </c>
      <c r="X107" s="71"/>
      <c r="Y107" s="71"/>
      <c r="Z107" s="71" t="s">
        <v>391</v>
      </c>
      <c r="AA107" s="71"/>
      <c r="AB107" s="71"/>
      <c r="AC107" s="33"/>
      <c r="AD107" s="71" t="s">
        <v>330</v>
      </c>
      <c r="AE107" s="71"/>
      <c r="AF107" s="71"/>
      <c r="AG107" s="71" t="s">
        <v>407</v>
      </c>
      <c r="AH107" s="71"/>
      <c r="AI107" s="72"/>
      <c r="AN107" s="76" t="s">
        <v>461</v>
      </c>
      <c r="AO107" s="71"/>
      <c r="AP107" s="71"/>
      <c r="AQ107" s="71" t="s">
        <v>509</v>
      </c>
      <c r="AR107" s="71"/>
      <c r="AS107" s="71"/>
      <c r="AT107" s="34"/>
      <c r="AU107" s="71" t="s">
        <v>514</v>
      </c>
      <c r="AV107" s="71"/>
      <c r="AW107" s="71"/>
      <c r="AX107" s="71" t="s">
        <v>332</v>
      </c>
      <c r="AY107" s="71"/>
      <c r="AZ107" s="71"/>
      <c r="BA107" s="34"/>
      <c r="BB107" s="71" t="s">
        <v>380</v>
      </c>
      <c r="BC107" s="71"/>
      <c r="BD107" s="71"/>
      <c r="BE107" s="71" t="s">
        <v>441</v>
      </c>
      <c r="BF107" s="71"/>
      <c r="BG107" s="71"/>
      <c r="BH107" s="34"/>
      <c r="BI107" s="71" t="s">
        <v>512</v>
      </c>
      <c r="BJ107" s="71"/>
      <c r="BK107" s="71"/>
      <c r="BL107" s="71" t="s">
        <v>457</v>
      </c>
      <c r="BM107" s="71"/>
      <c r="BN107" s="71"/>
      <c r="BO107" s="33"/>
      <c r="BP107" s="71" t="s">
        <v>324</v>
      </c>
      <c r="BQ107" s="71"/>
      <c r="BR107" s="71"/>
      <c r="BS107" s="71" t="s">
        <v>418</v>
      </c>
      <c r="BT107" s="71"/>
      <c r="BU107" s="72"/>
    </row>
    <row r="108" spans="2:73" ht="27" customHeight="1" x14ac:dyDescent="0.25">
      <c r="B108" s="78">
        <v>641</v>
      </c>
      <c r="C108" s="74"/>
      <c r="D108" s="75"/>
      <c r="E108" s="73">
        <v>642</v>
      </c>
      <c r="F108" s="74"/>
      <c r="G108" s="75"/>
      <c r="H108" s="34"/>
      <c r="I108" s="73">
        <v>643</v>
      </c>
      <c r="J108" s="74"/>
      <c r="K108" s="75"/>
      <c r="L108" s="73">
        <v>644</v>
      </c>
      <c r="M108" s="74"/>
      <c r="N108" s="75"/>
      <c r="O108" s="34"/>
      <c r="P108" s="73">
        <v>645</v>
      </c>
      <c r="Q108" s="74"/>
      <c r="R108" s="75"/>
      <c r="S108" s="73">
        <v>646</v>
      </c>
      <c r="T108" s="74"/>
      <c r="U108" s="75"/>
      <c r="V108" s="34"/>
      <c r="W108" s="73">
        <v>647</v>
      </c>
      <c r="X108" s="74"/>
      <c r="Y108" s="75"/>
      <c r="Z108" s="73">
        <v>648</v>
      </c>
      <c r="AA108" s="74"/>
      <c r="AB108" s="75"/>
      <c r="AC108" s="33"/>
      <c r="AD108" s="73">
        <v>649</v>
      </c>
      <c r="AE108" s="74"/>
      <c r="AF108" s="75"/>
      <c r="AG108" s="73">
        <v>650</v>
      </c>
      <c r="AH108" s="74"/>
      <c r="AI108" s="77"/>
      <c r="AN108" s="78">
        <v>651</v>
      </c>
      <c r="AO108" s="74"/>
      <c r="AP108" s="75"/>
      <c r="AQ108" s="73">
        <v>652</v>
      </c>
      <c r="AR108" s="74"/>
      <c r="AS108" s="75"/>
      <c r="AT108" s="34"/>
      <c r="AU108" s="73">
        <v>653</v>
      </c>
      <c r="AV108" s="74"/>
      <c r="AW108" s="75"/>
      <c r="AX108" s="73">
        <v>654</v>
      </c>
      <c r="AY108" s="74"/>
      <c r="AZ108" s="75"/>
      <c r="BA108" s="34"/>
      <c r="BB108" s="73">
        <v>655</v>
      </c>
      <c r="BC108" s="74"/>
      <c r="BD108" s="75"/>
      <c r="BE108" s="73">
        <v>656</v>
      </c>
      <c r="BF108" s="74"/>
      <c r="BG108" s="75"/>
      <c r="BH108" s="34"/>
      <c r="BI108" s="73">
        <v>657</v>
      </c>
      <c r="BJ108" s="74"/>
      <c r="BK108" s="75"/>
      <c r="BL108" s="73">
        <v>658</v>
      </c>
      <c r="BM108" s="74"/>
      <c r="BN108" s="75"/>
      <c r="BO108" s="33"/>
      <c r="BP108" s="73">
        <v>659</v>
      </c>
      <c r="BQ108" s="74"/>
      <c r="BR108" s="75"/>
      <c r="BS108" s="73">
        <v>660</v>
      </c>
      <c r="BT108" s="74"/>
      <c r="BU108" s="77"/>
    </row>
    <row r="109" spans="2:73" ht="27" customHeight="1" x14ac:dyDescent="0.25">
      <c r="B109" s="38"/>
      <c r="C109" s="36"/>
      <c r="D109" s="36"/>
      <c r="E109" s="36"/>
      <c r="F109" s="36"/>
      <c r="G109" s="36"/>
      <c r="H109" s="34"/>
      <c r="I109" s="36"/>
      <c r="J109" s="36"/>
      <c r="K109" s="36"/>
      <c r="L109" s="36"/>
      <c r="M109" s="36"/>
      <c r="N109" s="36"/>
      <c r="P109" s="12"/>
      <c r="Q109" s="12"/>
      <c r="R109" s="12"/>
      <c r="S109" s="12"/>
      <c r="T109" s="12"/>
      <c r="U109" s="12"/>
      <c r="W109" s="12"/>
      <c r="X109" s="12"/>
      <c r="Y109" s="12"/>
      <c r="Z109" s="12"/>
      <c r="AA109" s="12"/>
      <c r="AB109" s="12"/>
      <c r="AD109" s="12"/>
      <c r="AE109" s="12"/>
      <c r="AF109" s="12"/>
      <c r="AG109" s="12"/>
      <c r="AH109" s="12"/>
      <c r="AI109" s="31"/>
      <c r="AN109" s="32"/>
      <c r="AO109" s="12"/>
      <c r="AP109" s="12"/>
      <c r="AQ109" s="12"/>
      <c r="AR109" s="12"/>
      <c r="AS109" s="12"/>
      <c r="AU109" s="12"/>
      <c r="AV109" s="12"/>
      <c r="AW109" s="12"/>
      <c r="AX109" s="12"/>
      <c r="AY109" s="12"/>
      <c r="AZ109" s="12"/>
      <c r="BB109" s="12"/>
      <c r="BC109" s="12"/>
      <c r="BD109" s="12"/>
      <c r="BE109" s="12"/>
      <c r="BF109" s="12"/>
      <c r="BG109" s="12"/>
      <c r="BI109" s="12"/>
      <c r="BJ109" s="12"/>
      <c r="BK109" s="12"/>
      <c r="BL109" s="12"/>
      <c r="BM109" s="12"/>
      <c r="BN109" s="12"/>
      <c r="BP109" s="12"/>
      <c r="BQ109" s="12"/>
      <c r="BR109" s="12"/>
      <c r="BS109" s="12"/>
      <c r="BT109" s="12"/>
      <c r="BU109" s="31"/>
    </row>
    <row r="110" spans="2:73" ht="54" customHeight="1" x14ac:dyDescent="0.25">
      <c r="B110" s="76" t="s">
        <v>451</v>
      </c>
      <c r="C110" s="71"/>
      <c r="D110" s="71"/>
      <c r="E110" s="71" t="s">
        <v>449</v>
      </c>
      <c r="F110" s="71"/>
      <c r="G110" s="71"/>
      <c r="H110" s="34"/>
      <c r="I110" s="71" t="s">
        <v>416</v>
      </c>
      <c r="J110" s="71"/>
      <c r="K110" s="71"/>
      <c r="L110" s="71" t="s">
        <v>367</v>
      </c>
      <c r="M110" s="71"/>
      <c r="N110" s="71"/>
      <c r="P110" s="61" t="s">
        <v>399</v>
      </c>
      <c r="Q110" s="61"/>
      <c r="R110" s="61"/>
      <c r="S110" s="61" t="s">
        <v>377</v>
      </c>
      <c r="T110" s="61"/>
      <c r="U110" s="61"/>
      <c r="V110" s="26"/>
      <c r="W110" s="61" t="s">
        <v>380</v>
      </c>
      <c r="X110" s="61"/>
      <c r="Y110" s="61"/>
      <c r="Z110" s="61" t="s">
        <v>450</v>
      </c>
      <c r="AA110" s="61"/>
      <c r="AB110" s="61"/>
      <c r="AC110" s="27"/>
      <c r="AD110" s="61" t="s">
        <v>519</v>
      </c>
      <c r="AE110" s="61"/>
      <c r="AF110" s="61"/>
      <c r="AG110" s="61" t="s">
        <v>379</v>
      </c>
      <c r="AH110" s="61"/>
      <c r="AI110" s="70"/>
      <c r="AN110" s="60" t="s">
        <v>455</v>
      </c>
      <c r="AO110" s="61"/>
      <c r="AP110" s="61"/>
      <c r="AQ110" s="61" t="s">
        <v>451</v>
      </c>
      <c r="AR110" s="61"/>
      <c r="AS110" s="61"/>
      <c r="AT110" s="26"/>
      <c r="AU110" s="61" t="s">
        <v>443</v>
      </c>
      <c r="AV110" s="61"/>
      <c r="AW110" s="61"/>
      <c r="AX110" s="61" t="s">
        <v>333</v>
      </c>
      <c r="AY110" s="61"/>
      <c r="AZ110" s="61"/>
      <c r="BA110" s="26"/>
      <c r="BB110" s="61" t="s">
        <v>371</v>
      </c>
      <c r="BC110" s="61"/>
      <c r="BD110" s="61"/>
      <c r="BE110" s="61" t="s">
        <v>398</v>
      </c>
      <c r="BF110" s="61"/>
      <c r="BG110" s="61"/>
      <c r="BH110" s="26"/>
      <c r="BI110" s="61" t="s">
        <v>442</v>
      </c>
      <c r="BJ110" s="61"/>
      <c r="BK110" s="61"/>
      <c r="BL110" s="61" t="s">
        <v>518</v>
      </c>
      <c r="BM110" s="61"/>
      <c r="BN110" s="61"/>
      <c r="BO110" s="27"/>
      <c r="BP110" s="61" t="s">
        <v>453</v>
      </c>
      <c r="BQ110" s="61"/>
      <c r="BR110" s="61"/>
      <c r="BS110" s="61" t="s">
        <v>464</v>
      </c>
      <c r="BT110" s="61"/>
      <c r="BU110" s="70"/>
    </row>
    <row r="111" spans="2:73" ht="27" customHeight="1" x14ac:dyDescent="0.25">
      <c r="B111" s="78">
        <v>661</v>
      </c>
      <c r="C111" s="74"/>
      <c r="D111" s="75"/>
      <c r="E111" s="73">
        <v>662</v>
      </c>
      <c r="F111" s="74"/>
      <c r="G111" s="75"/>
      <c r="H111" s="34"/>
      <c r="I111" s="73">
        <v>663</v>
      </c>
      <c r="J111" s="74"/>
      <c r="K111" s="75"/>
      <c r="L111" s="73">
        <v>664</v>
      </c>
      <c r="M111" s="74"/>
      <c r="N111" s="75"/>
      <c r="P111" s="65">
        <v>665</v>
      </c>
      <c r="Q111" s="66"/>
      <c r="R111" s="67"/>
      <c r="S111" s="65">
        <v>666</v>
      </c>
      <c r="T111" s="66"/>
      <c r="U111" s="67"/>
      <c r="V111" s="26"/>
      <c r="W111" s="65">
        <v>667</v>
      </c>
      <c r="X111" s="66"/>
      <c r="Y111" s="67"/>
      <c r="Z111" s="65">
        <v>668</v>
      </c>
      <c r="AA111" s="66"/>
      <c r="AB111" s="67"/>
      <c r="AC111" s="27"/>
      <c r="AD111" s="65">
        <v>669</v>
      </c>
      <c r="AE111" s="66"/>
      <c r="AF111" s="67"/>
      <c r="AG111" s="65">
        <v>670</v>
      </c>
      <c r="AH111" s="66"/>
      <c r="AI111" s="68"/>
      <c r="AN111" s="69">
        <v>671</v>
      </c>
      <c r="AO111" s="66"/>
      <c r="AP111" s="67"/>
      <c r="AQ111" s="65">
        <v>672</v>
      </c>
      <c r="AR111" s="66"/>
      <c r="AS111" s="67"/>
      <c r="AT111" s="26"/>
      <c r="AU111" s="65">
        <v>673</v>
      </c>
      <c r="AV111" s="66"/>
      <c r="AW111" s="67"/>
      <c r="AX111" s="65">
        <v>674</v>
      </c>
      <c r="AY111" s="66"/>
      <c r="AZ111" s="67"/>
      <c r="BA111" s="26"/>
      <c r="BB111" s="65">
        <v>675</v>
      </c>
      <c r="BC111" s="66"/>
      <c r="BD111" s="67"/>
      <c r="BE111" s="65">
        <v>676</v>
      </c>
      <c r="BF111" s="66"/>
      <c r="BG111" s="67"/>
      <c r="BH111" s="26"/>
      <c r="BI111" s="65">
        <v>677</v>
      </c>
      <c r="BJ111" s="66"/>
      <c r="BK111" s="67"/>
      <c r="BL111" s="65">
        <v>678</v>
      </c>
      <c r="BM111" s="66"/>
      <c r="BN111" s="67"/>
      <c r="BO111" s="27"/>
      <c r="BP111" s="65">
        <v>679</v>
      </c>
      <c r="BQ111" s="66"/>
      <c r="BR111" s="67"/>
      <c r="BS111" s="65">
        <v>680</v>
      </c>
      <c r="BT111" s="66"/>
      <c r="BU111" s="68"/>
    </row>
    <row r="112" spans="2:73" ht="27" customHeight="1" x14ac:dyDescent="0.25">
      <c r="B112" s="32"/>
      <c r="C112" s="12"/>
      <c r="D112" s="12"/>
      <c r="E112" s="12"/>
      <c r="F112" s="12"/>
      <c r="G112" s="12"/>
      <c r="I112" s="12"/>
      <c r="J112" s="12"/>
      <c r="K112" s="12"/>
      <c r="L112" s="12"/>
      <c r="M112" s="12"/>
      <c r="N112" s="12"/>
      <c r="P112" s="29"/>
      <c r="Q112" s="29"/>
      <c r="R112" s="29"/>
      <c r="S112" s="29"/>
      <c r="T112" s="29"/>
      <c r="U112" s="29"/>
      <c r="V112" s="26"/>
      <c r="W112" s="29"/>
      <c r="X112" s="29"/>
      <c r="Y112" s="29"/>
      <c r="Z112" s="29"/>
      <c r="AA112" s="29"/>
      <c r="AB112" s="29"/>
      <c r="AC112" s="26"/>
      <c r="AD112" s="29"/>
      <c r="AE112" s="29"/>
      <c r="AF112" s="29"/>
      <c r="AG112" s="29"/>
      <c r="AH112" s="29"/>
      <c r="AI112" s="30"/>
      <c r="AN112" s="28"/>
      <c r="AO112" s="29"/>
      <c r="AP112" s="29"/>
      <c r="AQ112" s="29"/>
      <c r="AR112" s="29"/>
      <c r="AS112" s="29"/>
      <c r="AT112" s="26"/>
      <c r="AU112" s="29"/>
      <c r="AV112" s="29"/>
      <c r="AW112" s="29"/>
      <c r="AX112" s="29"/>
      <c r="AY112" s="29"/>
      <c r="AZ112" s="29"/>
      <c r="BA112" s="26"/>
      <c r="BB112" s="29"/>
      <c r="BC112" s="29"/>
      <c r="BD112" s="29"/>
      <c r="BE112" s="29"/>
      <c r="BF112" s="29"/>
      <c r="BG112" s="29"/>
      <c r="BH112" s="26"/>
      <c r="BI112" s="29"/>
      <c r="BJ112" s="29"/>
      <c r="BK112" s="29"/>
      <c r="BL112" s="29"/>
      <c r="BM112" s="29"/>
      <c r="BN112" s="29"/>
      <c r="BO112" s="26"/>
      <c r="BP112" s="29"/>
      <c r="BQ112" s="29"/>
      <c r="BR112" s="29"/>
      <c r="BS112" s="29"/>
      <c r="BT112" s="29"/>
      <c r="BU112" s="30"/>
    </row>
    <row r="113" spans="2:73" ht="54" customHeight="1" x14ac:dyDescent="0.25">
      <c r="B113" s="60" t="s">
        <v>361</v>
      </c>
      <c r="C113" s="61"/>
      <c r="D113" s="61"/>
      <c r="E113" s="61" t="s">
        <v>413</v>
      </c>
      <c r="F113" s="61"/>
      <c r="G113" s="61"/>
      <c r="H113" s="26"/>
      <c r="I113" s="61" t="s">
        <v>373</v>
      </c>
      <c r="J113" s="61"/>
      <c r="K113" s="61"/>
      <c r="L113" s="61" t="s">
        <v>506</v>
      </c>
      <c r="M113" s="61"/>
      <c r="N113" s="61"/>
      <c r="O113" s="26"/>
      <c r="P113" s="61" t="s">
        <v>329</v>
      </c>
      <c r="Q113" s="61"/>
      <c r="R113" s="61"/>
      <c r="S113" s="61" t="s">
        <v>314</v>
      </c>
      <c r="T113" s="61"/>
      <c r="U113" s="61"/>
      <c r="V113" s="26"/>
      <c r="W113" s="61" t="s">
        <v>512</v>
      </c>
      <c r="X113" s="61"/>
      <c r="Y113" s="61"/>
      <c r="Z113" s="61" t="s">
        <v>514</v>
      </c>
      <c r="AA113" s="61"/>
      <c r="AB113" s="61"/>
      <c r="AC113" s="27"/>
      <c r="AD113" s="61" t="s">
        <v>311</v>
      </c>
      <c r="AE113" s="61"/>
      <c r="AF113" s="61"/>
      <c r="AG113" s="61" t="s">
        <v>437</v>
      </c>
      <c r="AH113" s="61"/>
      <c r="AI113" s="70"/>
      <c r="AN113" s="60" t="s">
        <v>444</v>
      </c>
      <c r="AO113" s="61"/>
      <c r="AP113" s="61"/>
      <c r="AQ113" s="61" t="s">
        <v>521</v>
      </c>
      <c r="AR113" s="61"/>
      <c r="AS113" s="61"/>
      <c r="AT113" s="26"/>
      <c r="AU113" s="61" t="s">
        <v>326</v>
      </c>
      <c r="AV113" s="61"/>
      <c r="AW113" s="61"/>
      <c r="AX113" s="61" t="s">
        <v>340</v>
      </c>
      <c r="AY113" s="61"/>
      <c r="AZ113" s="61"/>
      <c r="BA113" s="26"/>
      <c r="BB113" s="61" t="s">
        <v>436</v>
      </c>
      <c r="BC113" s="61"/>
      <c r="BD113" s="61"/>
      <c r="BE113" s="61" t="s">
        <v>458</v>
      </c>
      <c r="BF113" s="61"/>
      <c r="BG113" s="61"/>
      <c r="BH113" s="26"/>
      <c r="BI113" s="61" t="s">
        <v>359</v>
      </c>
      <c r="BJ113" s="61"/>
      <c r="BK113" s="61"/>
      <c r="BL113" s="61" t="s">
        <v>362</v>
      </c>
      <c r="BM113" s="61"/>
      <c r="BN113" s="61"/>
      <c r="BO113" s="27"/>
      <c r="BP113" s="61" t="s">
        <v>408</v>
      </c>
      <c r="BQ113" s="61"/>
      <c r="BR113" s="61"/>
      <c r="BS113" s="61" t="s">
        <v>394</v>
      </c>
      <c r="BT113" s="61"/>
      <c r="BU113" s="70"/>
    </row>
    <row r="114" spans="2:73" ht="27" customHeight="1" x14ac:dyDescent="0.25">
      <c r="B114" s="69">
        <v>681</v>
      </c>
      <c r="C114" s="66"/>
      <c r="D114" s="67"/>
      <c r="E114" s="65">
        <v>682</v>
      </c>
      <c r="F114" s="66"/>
      <c r="G114" s="67"/>
      <c r="H114" s="26"/>
      <c r="I114" s="65">
        <v>683</v>
      </c>
      <c r="J114" s="66"/>
      <c r="K114" s="67"/>
      <c r="L114" s="65">
        <v>684</v>
      </c>
      <c r="M114" s="66"/>
      <c r="N114" s="67"/>
      <c r="O114" s="26"/>
      <c r="P114" s="65">
        <v>685</v>
      </c>
      <c r="Q114" s="66"/>
      <c r="R114" s="67"/>
      <c r="S114" s="65">
        <v>686</v>
      </c>
      <c r="T114" s="66"/>
      <c r="U114" s="67"/>
      <c r="V114" s="26"/>
      <c r="W114" s="65">
        <v>687</v>
      </c>
      <c r="X114" s="66"/>
      <c r="Y114" s="67"/>
      <c r="Z114" s="65">
        <v>688</v>
      </c>
      <c r="AA114" s="66"/>
      <c r="AB114" s="67"/>
      <c r="AC114" s="27"/>
      <c r="AD114" s="65">
        <v>689</v>
      </c>
      <c r="AE114" s="66"/>
      <c r="AF114" s="67"/>
      <c r="AG114" s="65">
        <v>690</v>
      </c>
      <c r="AH114" s="66"/>
      <c r="AI114" s="68"/>
      <c r="AN114" s="69">
        <v>691</v>
      </c>
      <c r="AO114" s="66"/>
      <c r="AP114" s="67"/>
      <c r="AQ114" s="65">
        <v>692</v>
      </c>
      <c r="AR114" s="66"/>
      <c r="AS114" s="67"/>
      <c r="AT114" s="26"/>
      <c r="AU114" s="65">
        <v>693</v>
      </c>
      <c r="AV114" s="66"/>
      <c r="AW114" s="67"/>
      <c r="AX114" s="65">
        <v>694</v>
      </c>
      <c r="AY114" s="66"/>
      <c r="AZ114" s="67"/>
      <c r="BA114" s="26"/>
      <c r="BB114" s="65">
        <v>695</v>
      </c>
      <c r="BC114" s="66"/>
      <c r="BD114" s="67"/>
      <c r="BE114" s="65">
        <v>696</v>
      </c>
      <c r="BF114" s="66"/>
      <c r="BG114" s="67"/>
      <c r="BH114" s="26"/>
      <c r="BI114" s="65">
        <v>697</v>
      </c>
      <c r="BJ114" s="66"/>
      <c r="BK114" s="67"/>
      <c r="BL114" s="65">
        <v>698</v>
      </c>
      <c r="BM114" s="66"/>
      <c r="BN114" s="67"/>
      <c r="BO114" s="27"/>
      <c r="BP114" s="65">
        <v>699</v>
      </c>
      <c r="BQ114" s="66"/>
      <c r="BR114" s="67"/>
      <c r="BS114" s="65">
        <v>700</v>
      </c>
      <c r="BT114" s="66"/>
      <c r="BU114" s="68"/>
    </row>
    <row r="115" spans="2:73" ht="27" customHeight="1" x14ac:dyDescent="0.25">
      <c r="B115" s="28"/>
      <c r="C115" s="29"/>
      <c r="D115" s="29"/>
      <c r="E115" s="29"/>
      <c r="F115" s="29"/>
      <c r="G115" s="29"/>
      <c r="H115" s="26"/>
      <c r="I115" s="29"/>
      <c r="J115" s="29"/>
      <c r="K115" s="29"/>
      <c r="L115" s="29"/>
      <c r="M115" s="29"/>
      <c r="N115" s="29"/>
      <c r="O115" s="26"/>
      <c r="P115" s="29"/>
      <c r="Q115" s="29"/>
      <c r="R115" s="29"/>
      <c r="S115" s="29"/>
      <c r="T115" s="29"/>
      <c r="U115" s="29"/>
      <c r="V115" s="26"/>
      <c r="W115" s="29"/>
      <c r="X115" s="29"/>
      <c r="Y115" s="29"/>
      <c r="Z115" s="29"/>
      <c r="AA115" s="29"/>
      <c r="AB115" s="29"/>
      <c r="AC115" s="26"/>
      <c r="AD115" s="29"/>
      <c r="AE115" s="29"/>
      <c r="AF115" s="29"/>
      <c r="AG115" s="29"/>
      <c r="AH115" s="29"/>
      <c r="AI115" s="30"/>
      <c r="AN115" s="28"/>
      <c r="AO115" s="29"/>
      <c r="AP115" s="29"/>
      <c r="AQ115" s="29"/>
      <c r="AR115" s="29"/>
      <c r="AS115" s="29"/>
      <c r="AT115" s="26"/>
      <c r="AU115" s="29"/>
      <c r="AV115" s="29"/>
      <c r="AW115" s="29"/>
      <c r="AX115" s="29"/>
      <c r="AY115" s="29"/>
      <c r="AZ115" s="29"/>
      <c r="BA115" s="26"/>
      <c r="BB115" s="29"/>
      <c r="BC115" s="29"/>
      <c r="BD115" s="29"/>
      <c r="BE115" s="29"/>
      <c r="BF115" s="29"/>
      <c r="BG115" s="29"/>
      <c r="BH115" s="26"/>
      <c r="BI115" s="29"/>
      <c r="BJ115" s="29"/>
      <c r="BK115" s="29"/>
      <c r="BL115" s="29"/>
      <c r="BM115" s="29"/>
      <c r="BN115" s="29"/>
      <c r="BO115" s="26"/>
      <c r="BP115" s="29"/>
      <c r="BQ115" s="29"/>
      <c r="BR115" s="29"/>
      <c r="BS115" s="29"/>
      <c r="BT115" s="29"/>
      <c r="BU115" s="30"/>
    </row>
    <row r="116" spans="2:73" ht="54" customHeight="1" x14ac:dyDescent="0.25">
      <c r="B116" s="60" t="s">
        <v>348</v>
      </c>
      <c r="C116" s="61"/>
      <c r="D116" s="61"/>
      <c r="E116" s="61" t="s">
        <v>441</v>
      </c>
      <c r="F116" s="61"/>
      <c r="G116" s="61"/>
      <c r="H116" s="26"/>
      <c r="I116" s="61" t="s">
        <v>466</v>
      </c>
      <c r="J116" s="61"/>
      <c r="K116" s="61"/>
      <c r="L116" s="61" t="s">
        <v>332</v>
      </c>
      <c r="M116" s="61"/>
      <c r="N116" s="61"/>
      <c r="O116" s="26"/>
      <c r="P116" s="61" t="s">
        <v>460</v>
      </c>
      <c r="Q116" s="61"/>
      <c r="R116" s="61"/>
      <c r="S116" s="61" t="s">
        <v>366</v>
      </c>
      <c r="T116" s="61"/>
      <c r="U116" s="61"/>
      <c r="V116" s="26"/>
      <c r="W116" s="61" t="s">
        <v>510</v>
      </c>
      <c r="X116" s="61"/>
      <c r="Y116" s="61"/>
      <c r="Z116" s="61" t="s">
        <v>369</v>
      </c>
      <c r="AA116" s="61"/>
      <c r="AB116" s="61"/>
      <c r="AC116" s="27"/>
      <c r="AD116" s="61" t="s">
        <v>511</v>
      </c>
      <c r="AE116" s="61"/>
      <c r="AF116" s="61"/>
      <c r="AG116" s="61" t="s">
        <v>325</v>
      </c>
      <c r="AH116" s="61"/>
      <c r="AI116" s="70"/>
      <c r="AN116" s="60" t="s">
        <v>462</v>
      </c>
      <c r="AO116" s="61"/>
      <c r="AP116" s="61"/>
      <c r="AQ116" s="61" t="s">
        <v>353</v>
      </c>
      <c r="AR116" s="61"/>
      <c r="AS116" s="61"/>
      <c r="AT116" s="26"/>
      <c r="AU116" s="61" t="s">
        <v>422</v>
      </c>
      <c r="AV116" s="61"/>
      <c r="AW116" s="61"/>
      <c r="AX116" s="61" t="s">
        <v>407</v>
      </c>
      <c r="AY116" s="61"/>
      <c r="AZ116" s="61"/>
      <c r="BA116" s="26"/>
      <c r="BB116" s="61" t="s">
        <v>507</v>
      </c>
      <c r="BC116" s="61"/>
      <c r="BD116" s="61"/>
      <c r="BE116" s="61" t="s">
        <v>435</v>
      </c>
      <c r="BF116" s="61"/>
      <c r="BG116" s="61"/>
      <c r="BH116" s="26"/>
      <c r="BI116" s="61" t="s">
        <v>456</v>
      </c>
      <c r="BJ116" s="61"/>
      <c r="BK116" s="61"/>
      <c r="BL116" s="61" t="s">
        <v>412</v>
      </c>
      <c r="BM116" s="61"/>
      <c r="BN116" s="61"/>
      <c r="BO116" s="27"/>
      <c r="BP116" s="61" t="s">
        <v>392</v>
      </c>
      <c r="BQ116" s="61"/>
      <c r="BR116" s="61"/>
      <c r="BS116" s="61" t="s">
        <v>330</v>
      </c>
      <c r="BT116" s="61"/>
      <c r="BU116" s="70"/>
    </row>
    <row r="117" spans="2:73" ht="27" customHeight="1" x14ac:dyDescent="0.25">
      <c r="B117" s="69">
        <v>701</v>
      </c>
      <c r="C117" s="66"/>
      <c r="D117" s="67"/>
      <c r="E117" s="65">
        <v>702</v>
      </c>
      <c r="F117" s="66"/>
      <c r="G117" s="67"/>
      <c r="H117" s="26"/>
      <c r="I117" s="65">
        <v>703</v>
      </c>
      <c r="J117" s="66"/>
      <c r="K117" s="67"/>
      <c r="L117" s="65">
        <v>704</v>
      </c>
      <c r="M117" s="66"/>
      <c r="N117" s="67"/>
      <c r="O117" s="26"/>
      <c r="P117" s="65">
        <v>705</v>
      </c>
      <c r="Q117" s="66"/>
      <c r="R117" s="67"/>
      <c r="S117" s="65">
        <v>706</v>
      </c>
      <c r="T117" s="66"/>
      <c r="U117" s="67"/>
      <c r="V117" s="26"/>
      <c r="W117" s="65">
        <v>707</v>
      </c>
      <c r="X117" s="66"/>
      <c r="Y117" s="67"/>
      <c r="Z117" s="65">
        <v>708</v>
      </c>
      <c r="AA117" s="66"/>
      <c r="AB117" s="67"/>
      <c r="AC117" s="27"/>
      <c r="AD117" s="65">
        <v>709</v>
      </c>
      <c r="AE117" s="66"/>
      <c r="AF117" s="67"/>
      <c r="AG117" s="65">
        <v>710</v>
      </c>
      <c r="AH117" s="66"/>
      <c r="AI117" s="68"/>
      <c r="AN117" s="69">
        <v>711</v>
      </c>
      <c r="AO117" s="66"/>
      <c r="AP117" s="67"/>
      <c r="AQ117" s="65">
        <v>712</v>
      </c>
      <c r="AR117" s="66"/>
      <c r="AS117" s="67"/>
      <c r="AT117" s="26"/>
      <c r="AU117" s="65">
        <v>713</v>
      </c>
      <c r="AV117" s="66"/>
      <c r="AW117" s="67"/>
      <c r="AX117" s="65">
        <v>714</v>
      </c>
      <c r="AY117" s="66"/>
      <c r="AZ117" s="67"/>
      <c r="BA117" s="26"/>
      <c r="BB117" s="65">
        <v>715</v>
      </c>
      <c r="BC117" s="66"/>
      <c r="BD117" s="67"/>
      <c r="BE117" s="65">
        <v>716</v>
      </c>
      <c r="BF117" s="66"/>
      <c r="BG117" s="67"/>
      <c r="BH117" s="26"/>
      <c r="BI117" s="65">
        <v>717</v>
      </c>
      <c r="BJ117" s="66"/>
      <c r="BK117" s="67"/>
      <c r="BL117" s="65">
        <v>718</v>
      </c>
      <c r="BM117" s="66"/>
      <c r="BN117" s="67"/>
      <c r="BO117" s="27"/>
      <c r="BP117" s="65">
        <v>719</v>
      </c>
      <c r="BQ117" s="66"/>
      <c r="BR117" s="67"/>
      <c r="BS117" s="65">
        <v>720</v>
      </c>
      <c r="BT117" s="66"/>
      <c r="BU117" s="68"/>
    </row>
    <row r="118" spans="2:73" ht="27" customHeight="1" x14ac:dyDescent="0.25">
      <c r="B118" s="28"/>
      <c r="C118" s="29"/>
      <c r="D118" s="29"/>
      <c r="E118" s="29"/>
      <c r="F118" s="29"/>
      <c r="G118" s="29"/>
      <c r="H118" s="26"/>
      <c r="I118" s="29"/>
      <c r="J118" s="29"/>
      <c r="K118" s="29"/>
      <c r="L118" s="29"/>
      <c r="M118" s="29"/>
      <c r="N118" s="29"/>
      <c r="O118" s="26"/>
      <c r="P118" s="29"/>
      <c r="Q118" s="29"/>
      <c r="R118" s="29"/>
      <c r="S118" s="29"/>
      <c r="T118" s="29"/>
      <c r="U118" s="29"/>
      <c r="V118" s="26"/>
      <c r="W118" s="29"/>
      <c r="X118" s="29"/>
      <c r="Y118" s="29"/>
      <c r="Z118" s="29"/>
      <c r="AA118" s="29"/>
      <c r="AB118" s="29"/>
      <c r="AC118" s="26"/>
      <c r="AD118" s="29"/>
      <c r="AE118" s="29"/>
      <c r="AF118" s="29"/>
      <c r="AG118" s="29"/>
      <c r="AH118" s="29"/>
      <c r="AI118" s="30"/>
      <c r="AN118" s="28"/>
      <c r="AO118" s="29"/>
      <c r="AP118" s="29"/>
      <c r="AQ118" s="29"/>
      <c r="AR118" s="29"/>
      <c r="AS118" s="29"/>
      <c r="AT118" s="26"/>
      <c r="AU118" s="29"/>
      <c r="AV118" s="29"/>
      <c r="AW118" s="29"/>
      <c r="AX118" s="29"/>
      <c r="AY118" s="29"/>
      <c r="AZ118" s="29"/>
      <c r="BA118" s="26"/>
      <c r="BB118" s="29"/>
      <c r="BC118" s="29"/>
      <c r="BD118" s="29"/>
      <c r="BE118" s="29"/>
      <c r="BF118" s="29"/>
      <c r="BG118" s="29"/>
      <c r="BH118" s="26"/>
      <c r="BI118" s="29"/>
      <c r="BJ118" s="29"/>
      <c r="BK118" s="29"/>
      <c r="BL118" s="29"/>
      <c r="BM118" s="29"/>
      <c r="BN118" s="29"/>
      <c r="BO118" s="26"/>
      <c r="BP118" s="29"/>
      <c r="BQ118" s="29"/>
      <c r="BR118" s="29"/>
      <c r="BS118" s="29"/>
      <c r="BT118" s="29"/>
      <c r="BU118" s="30"/>
    </row>
    <row r="119" spans="2:73" ht="54" customHeight="1" x14ac:dyDescent="0.25">
      <c r="B119" s="60" t="s">
        <v>351</v>
      </c>
      <c r="C119" s="61"/>
      <c r="D119" s="61"/>
      <c r="E119" s="61" t="s">
        <v>397</v>
      </c>
      <c r="F119" s="61"/>
      <c r="G119" s="61"/>
      <c r="H119" s="26"/>
      <c r="I119" s="61" t="s">
        <v>411</v>
      </c>
      <c r="J119" s="61"/>
      <c r="K119" s="61"/>
      <c r="L119" s="61" t="s">
        <v>368</v>
      </c>
      <c r="M119" s="61"/>
      <c r="N119" s="61"/>
      <c r="O119" s="26"/>
      <c r="P119" s="61" t="s">
        <v>465</v>
      </c>
      <c r="Q119" s="61"/>
      <c r="R119" s="61"/>
      <c r="S119" s="61" t="s">
        <v>374</v>
      </c>
      <c r="T119" s="61"/>
      <c r="U119" s="61"/>
      <c r="V119" s="26"/>
      <c r="W119" s="61" t="s">
        <v>417</v>
      </c>
      <c r="X119" s="61"/>
      <c r="Y119" s="61"/>
      <c r="Z119" s="61" t="s">
        <v>423</v>
      </c>
      <c r="AA119" s="61"/>
      <c r="AB119" s="61"/>
      <c r="AC119" s="27"/>
      <c r="AD119" s="61" t="s">
        <v>395</v>
      </c>
      <c r="AE119" s="61"/>
      <c r="AF119" s="61"/>
      <c r="AG119" s="61" t="s">
        <v>425</v>
      </c>
      <c r="AH119" s="61"/>
      <c r="AI119" s="70"/>
      <c r="AN119" s="60" t="s">
        <v>433</v>
      </c>
      <c r="AO119" s="61"/>
      <c r="AP119" s="61"/>
      <c r="AQ119" s="61" t="s">
        <v>338</v>
      </c>
      <c r="AR119" s="61"/>
      <c r="AS119" s="61"/>
      <c r="AT119" s="26"/>
      <c r="AU119" s="61" t="s">
        <v>354</v>
      </c>
      <c r="AV119" s="61"/>
      <c r="AW119" s="61"/>
      <c r="AX119" s="61" t="s">
        <v>418</v>
      </c>
      <c r="AY119" s="61"/>
      <c r="AZ119" s="61"/>
      <c r="BA119" s="26"/>
      <c r="BB119" s="61" t="s">
        <v>416</v>
      </c>
      <c r="BC119" s="61"/>
      <c r="BD119" s="61"/>
      <c r="BE119" s="61" t="s">
        <v>347</v>
      </c>
      <c r="BF119" s="61"/>
      <c r="BG119" s="61"/>
      <c r="BH119" s="26"/>
      <c r="BI119" s="61" t="s">
        <v>446</v>
      </c>
      <c r="BJ119" s="61"/>
      <c r="BK119" s="61"/>
      <c r="BL119" s="61" t="s">
        <v>404</v>
      </c>
      <c r="BM119" s="61"/>
      <c r="BN119" s="61"/>
      <c r="BO119" s="27"/>
      <c r="BP119" s="61" t="s">
        <v>517</v>
      </c>
      <c r="BQ119" s="61"/>
      <c r="BR119" s="61"/>
      <c r="BS119" s="61" t="s">
        <v>400</v>
      </c>
      <c r="BT119" s="61"/>
      <c r="BU119" s="70"/>
    </row>
    <row r="120" spans="2:73" ht="27" customHeight="1" x14ac:dyDescent="0.25">
      <c r="B120" s="69">
        <v>721</v>
      </c>
      <c r="C120" s="66"/>
      <c r="D120" s="67"/>
      <c r="E120" s="65">
        <v>722</v>
      </c>
      <c r="F120" s="66"/>
      <c r="G120" s="67"/>
      <c r="H120" s="26"/>
      <c r="I120" s="65">
        <v>723</v>
      </c>
      <c r="J120" s="66"/>
      <c r="K120" s="67"/>
      <c r="L120" s="65">
        <v>724</v>
      </c>
      <c r="M120" s="66"/>
      <c r="N120" s="67"/>
      <c r="O120" s="26"/>
      <c r="P120" s="65">
        <v>725</v>
      </c>
      <c r="Q120" s="66"/>
      <c r="R120" s="67"/>
      <c r="S120" s="65">
        <v>726</v>
      </c>
      <c r="T120" s="66"/>
      <c r="U120" s="67"/>
      <c r="V120" s="26"/>
      <c r="W120" s="65">
        <v>727</v>
      </c>
      <c r="X120" s="66"/>
      <c r="Y120" s="67"/>
      <c r="Z120" s="65">
        <v>728</v>
      </c>
      <c r="AA120" s="66"/>
      <c r="AB120" s="67"/>
      <c r="AC120" s="27"/>
      <c r="AD120" s="65">
        <v>729</v>
      </c>
      <c r="AE120" s="66"/>
      <c r="AF120" s="67"/>
      <c r="AG120" s="65">
        <v>730</v>
      </c>
      <c r="AH120" s="66"/>
      <c r="AI120" s="68"/>
      <c r="AN120" s="69">
        <v>731</v>
      </c>
      <c r="AO120" s="66"/>
      <c r="AP120" s="67"/>
      <c r="AQ120" s="65">
        <v>732</v>
      </c>
      <c r="AR120" s="66"/>
      <c r="AS120" s="67"/>
      <c r="AT120" s="26"/>
      <c r="AU120" s="65">
        <v>733</v>
      </c>
      <c r="AV120" s="66"/>
      <c r="AW120" s="67"/>
      <c r="AX120" s="65">
        <v>734</v>
      </c>
      <c r="AY120" s="66"/>
      <c r="AZ120" s="67"/>
      <c r="BA120" s="26"/>
      <c r="BB120" s="65">
        <v>735</v>
      </c>
      <c r="BC120" s="66"/>
      <c r="BD120" s="67"/>
      <c r="BE120" s="65">
        <v>736</v>
      </c>
      <c r="BF120" s="66"/>
      <c r="BG120" s="67"/>
      <c r="BH120" s="26"/>
      <c r="BI120" s="65">
        <v>737</v>
      </c>
      <c r="BJ120" s="66"/>
      <c r="BK120" s="67"/>
      <c r="BL120" s="65">
        <v>738</v>
      </c>
      <c r="BM120" s="66"/>
      <c r="BN120" s="67"/>
      <c r="BO120" s="27"/>
      <c r="BP120" s="65">
        <v>739</v>
      </c>
      <c r="BQ120" s="66"/>
      <c r="BR120" s="67"/>
      <c r="BS120" s="65">
        <v>740</v>
      </c>
      <c r="BT120" s="66"/>
      <c r="BU120" s="68"/>
    </row>
    <row r="121" spans="2:73" ht="27" customHeight="1" x14ac:dyDescent="0.25">
      <c r="B121" s="28"/>
      <c r="C121" s="29"/>
      <c r="D121" s="29"/>
      <c r="E121" s="29"/>
      <c r="F121" s="29"/>
      <c r="G121" s="29"/>
      <c r="H121" s="26"/>
      <c r="I121" s="29"/>
      <c r="J121" s="29"/>
      <c r="K121" s="29"/>
      <c r="L121" s="29"/>
      <c r="M121" s="29"/>
      <c r="N121" s="29"/>
      <c r="O121" s="26"/>
      <c r="P121" s="29"/>
      <c r="Q121" s="29"/>
      <c r="R121" s="29"/>
      <c r="S121" s="29"/>
      <c r="T121" s="29"/>
      <c r="U121" s="29"/>
      <c r="V121" s="26"/>
      <c r="W121" s="29"/>
      <c r="X121" s="29"/>
      <c r="Y121" s="29"/>
      <c r="Z121" s="29"/>
      <c r="AA121" s="29"/>
      <c r="AB121" s="29"/>
      <c r="AC121" s="26"/>
      <c r="AD121" s="29"/>
      <c r="AE121" s="29"/>
      <c r="AF121" s="29"/>
      <c r="AG121" s="29"/>
      <c r="AH121" s="29"/>
      <c r="AI121" s="30"/>
      <c r="AN121" s="28"/>
      <c r="AO121" s="29"/>
      <c r="AP121" s="29"/>
      <c r="AQ121" s="29"/>
      <c r="AR121" s="29"/>
      <c r="AS121" s="29"/>
      <c r="AT121" s="26"/>
      <c r="AU121" s="29"/>
      <c r="AV121" s="29"/>
      <c r="AW121" s="29"/>
      <c r="AX121" s="29"/>
      <c r="AY121" s="29"/>
      <c r="AZ121" s="29"/>
      <c r="BA121" s="26"/>
      <c r="BB121" s="29"/>
      <c r="BC121" s="29"/>
      <c r="BD121" s="29"/>
      <c r="BE121" s="29"/>
      <c r="BF121" s="29"/>
      <c r="BG121" s="29"/>
      <c r="BH121" s="26"/>
      <c r="BI121" s="29"/>
      <c r="BJ121" s="29"/>
      <c r="BK121" s="29"/>
      <c r="BL121" s="29"/>
      <c r="BM121" s="29"/>
      <c r="BN121" s="29"/>
      <c r="BO121" s="26"/>
      <c r="BP121" s="29"/>
      <c r="BQ121" s="29"/>
      <c r="BR121" s="29"/>
      <c r="BS121" s="29"/>
      <c r="BT121" s="29"/>
      <c r="BU121" s="30"/>
    </row>
    <row r="122" spans="2:73" ht="54" customHeight="1" x14ac:dyDescent="0.25">
      <c r="B122" s="60" t="s">
        <v>393</v>
      </c>
      <c r="C122" s="61"/>
      <c r="D122" s="61"/>
      <c r="E122" s="61" t="s">
        <v>421</v>
      </c>
      <c r="F122" s="61"/>
      <c r="G122" s="61"/>
      <c r="H122" s="26"/>
      <c r="I122" s="61" t="s">
        <v>382</v>
      </c>
      <c r="J122" s="61"/>
      <c r="K122" s="61"/>
      <c r="L122" s="61" t="s">
        <v>381</v>
      </c>
      <c r="M122" s="61"/>
      <c r="N122" s="61"/>
      <c r="O122" s="26"/>
      <c r="P122" s="61" t="s">
        <v>410</v>
      </c>
      <c r="Q122" s="61"/>
      <c r="R122" s="61"/>
      <c r="S122" s="61" t="s">
        <v>459</v>
      </c>
      <c r="T122" s="61"/>
      <c r="U122" s="61"/>
      <c r="V122" s="26"/>
      <c r="W122" s="61" t="s">
        <v>367</v>
      </c>
      <c r="X122" s="61"/>
      <c r="Y122" s="61"/>
      <c r="Z122" s="61" t="s">
        <v>352</v>
      </c>
      <c r="AA122" s="61"/>
      <c r="AB122" s="61"/>
      <c r="AC122" s="27"/>
      <c r="AD122" s="61" t="s">
        <v>363</v>
      </c>
      <c r="AE122" s="61"/>
      <c r="AF122" s="61"/>
      <c r="AG122" s="61" t="s">
        <v>331</v>
      </c>
      <c r="AH122" s="61"/>
      <c r="AI122" s="70"/>
      <c r="AN122" s="60" t="s">
        <v>420</v>
      </c>
      <c r="AO122" s="61"/>
      <c r="AP122" s="61"/>
      <c r="AQ122" s="61" t="s">
        <v>419</v>
      </c>
      <c r="AR122" s="61"/>
      <c r="AS122" s="61"/>
      <c r="AT122" s="26"/>
      <c r="AU122" s="61" t="s">
        <v>445</v>
      </c>
      <c r="AV122" s="61"/>
      <c r="AW122" s="61"/>
      <c r="AX122" s="61" t="s">
        <v>357</v>
      </c>
      <c r="AY122" s="61"/>
      <c r="AZ122" s="61"/>
      <c r="BA122" s="26"/>
      <c r="BB122" s="61" t="s">
        <v>319</v>
      </c>
      <c r="BC122" s="61"/>
      <c r="BD122" s="61"/>
      <c r="BE122" s="61" t="s">
        <v>365</v>
      </c>
      <c r="BF122" s="61"/>
      <c r="BG122" s="61"/>
      <c r="BH122" s="26"/>
      <c r="BI122" s="61" t="s">
        <v>345</v>
      </c>
      <c r="BJ122" s="61"/>
      <c r="BK122" s="61"/>
      <c r="BL122" s="61" t="s">
        <v>391</v>
      </c>
      <c r="BM122" s="61"/>
      <c r="BN122" s="61"/>
      <c r="BO122" s="27"/>
      <c r="BP122" s="61" t="s">
        <v>429</v>
      </c>
      <c r="BQ122" s="61"/>
      <c r="BR122" s="61"/>
      <c r="BS122" s="61" t="s">
        <v>356</v>
      </c>
      <c r="BT122" s="61"/>
      <c r="BU122" s="70"/>
    </row>
    <row r="123" spans="2:73" ht="27" customHeight="1" x14ac:dyDescent="0.25">
      <c r="B123" s="69">
        <v>741</v>
      </c>
      <c r="C123" s="66"/>
      <c r="D123" s="67"/>
      <c r="E123" s="65">
        <v>742</v>
      </c>
      <c r="F123" s="66"/>
      <c r="G123" s="67"/>
      <c r="H123" s="26"/>
      <c r="I123" s="65">
        <v>743</v>
      </c>
      <c r="J123" s="66"/>
      <c r="K123" s="67"/>
      <c r="L123" s="65">
        <v>744</v>
      </c>
      <c r="M123" s="66"/>
      <c r="N123" s="67"/>
      <c r="O123" s="26"/>
      <c r="P123" s="65">
        <v>745</v>
      </c>
      <c r="Q123" s="66"/>
      <c r="R123" s="67"/>
      <c r="S123" s="65">
        <v>746</v>
      </c>
      <c r="T123" s="66"/>
      <c r="U123" s="67"/>
      <c r="V123" s="26"/>
      <c r="W123" s="65">
        <v>747</v>
      </c>
      <c r="X123" s="66"/>
      <c r="Y123" s="67"/>
      <c r="Z123" s="65">
        <v>748</v>
      </c>
      <c r="AA123" s="66"/>
      <c r="AB123" s="67"/>
      <c r="AC123" s="27"/>
      <c r="AD123" s="65">
        <v>749</v>
      </c>
      <c r="AE123" s="66"/>
      <c r="AF123" s="67"/>
      <c r="AG123" s="65">
        <v>750</v>
      </c>
      <c r="AH123" s="66"/>
      <c r="AI123" s="68"/>
      <c r="AN123" s="69">
        <v>751</v>
      </c>
      <c r="AO123" s="66"/>
      <c r="AP123" s="67"/>
      <c r="AQ123" s="65">
        <v>752</v>
      </c>
      <c r="AR123" s="66"/>
      <c r="AS123" s="67"/>
      <c r="AT123" s="26"/>
      <c r="AU123" s="65">
        <v>753</v>
      </c>
      <c r="AV123" s="66"/>
      <c r="AW123" s="67"/>
      <c r="AX123" s="65">
        <v>754</v>
      </c>
      <c r="AY123" s="66"/>
      <c r="AZ123" s="67"/>
      <c r="BA123" s="26"/>
      <c r="BB123" s="65">
        <v>755</v>
      </c>
      <c r="BC123" s="66"/>
      <c r="BD123" s="67"/>
      <c r="BE123" s="65">
        <v>756</v>
      </c>
      <c r="BF123" s="66"/>
      <c r="BG123" s="67"/>
      <c r="BH123" s="26"/>
      <c r="BI123" s="65">
        <v>757</v>
      </c>
      <c r="BJ123" s="66"/>
      <c r="BK123" s="67"/>
      <c r="BL123" s="65">
        <v>758</v>
      </c>
      <c r="BM123" s="66"/>
      <c r="BN123" s="67"/>
      <c r="BO123" s="27"/>
      <c r="BP123" s="65">
        <v>759</v>
      </c>
      <c r="BQ123" s="66"/>
      <c r="BR123" s="67"/>
      <c r="BS123" s="65">
        <v>760</v>
      </c>
      <c r="BT123" s="66"/>
      <c r="BU123" s="68"/>
    </row>
    <row r="124" spans="2:73" ht="27" customHeight="1" x14ac:dyDescent="0.25">
      <c r="B124" s="28"/>
      <c r="C124" s="29"/>
      <c r="D124" s="29"/>
      <c r="E124" s="29"/>
      <c r="F124" s="29"/>
      <c r="G124" s="29"/>
      <c r="H124" s="26"/>
      <c r="I124" s="29"/>
      <c r="J124" s="29"/>
      <c r="K124" s="29"/>
      <c r="L124" s="29"/>
      <c r="M124" s="29"/>
      <c r="N124" s="29"/>
      <c r="O124" s="26"/>
      <c r="P124" s="29"/>
      <c r="Q124" s="29"/>
      <c r="R124" s="29"/>
      <c r="S124" s="29"/>
      <c r="T124" s="29"/>
      <c r="U124" s="29"/>
      <c r="V124" s="26"/>
      <c r="W124" s="29"/>
      <c r="X124" s="29"/>
      <c r="Y124" s="29"/>
      <c r="Z124" s="29"/>
      <c r="AA124" s="29"/>
      <c r="AB124" s="29"/>
      <c r="AC124" s="26"/>
      <c r="AD124" s="29"/>
      <c r="AE124" s="29"/>
      <c r="AF124" s="29"/>
      <c r="AG124" s="29"/>
      <c r="AH124" s="29"/>
      <c r="AI124" s="30"/>
      <c r="AN124" s="28"/>
      <c r="AO124" s="29"/>
      <c r="AP124" s="29"/>
      <c r="AQ124" s="29"/>
      <c r="AR124" s="29"/>
      <c r="AS124" s="29"/>
      <c r="AT124" s="26"/>
      <c r="AU124" s="29"/>
      <c r="AV124" s="29"/>
      <c r="AW124" s="29"/>
      <c r="AX124" s="29"/>
      <c r="AY124" s="29"/>
      <c r="AZ124" s="29"/>
      <c r="BA124" s="26"/>
      <c r="BB124" s="29"/>
      <c r="BC124" s="29"/>
      <c r="BD124" s="29"/>
      <c r="BE124" s="29"/>
      <c r="BF124" s="29"/>
      <c r="BG124" s="29"/>
      <c r="BH124" s="26"/>
      <c r="BI124" s="29"/>
      <c r="BJ124" s="29"/>
      <c r="BK124" s="29"/>
      <c r="BL124" s="29"/>
      <c r="BM124" s="29"/>
      <c r="BN124" s="29"/>
      <c r="BO124" s="26"/>
      <c r="BP124" s="29"/>
      <c r="BQ124" s="29"/>
      <c r="BR124" s="29"/>
      <c r="BS124" s="29"/>
      <c r="BT124" s="29"/>
      <c r="BU124" s="30"/>
    </row>
    <row r="125" spans="2:73" ht="54" customHeight="1" x14ac:dyDescent="0.25">
      <c r="B125" s="60" t="s">
        <v>440</v>
      </c>
      <c r="C125" s="61"/>
      <c r="D125" s="61"/>
      <c r="E125" s="61" t="s">
        <v>468</v>
      </c>
      <c r="F125" s="61"/>
      <c r="G125" s="61"/>
      <c r="H125" s="26"/>
      <c r="I125" s="61" t="s">
        <v>321</v>
      </c>
      <c r="J125" s="61"/>
      <c r="K125" s="61"/>
      <c r="L125" s="61" t="s">
        <v>430</v>
      </c>
      <c r="M125" s="61"/>
      <c r="N125" s="61"/>
      <c r="O125" s="26"/>
      <c r="P125" s="61" t="s">
        <v>513</v>
      </c>
      <c r="Q125" s="61"/>
      <c r="R125" s="61"/>
      <c r="S125" s="61" t="s">
        <v>406</v>
      </c>
      <c r="T125" s="61"/>
      <c r="U125" s="61"/>
      <c r="V125" s="26"/>
      <c r="W125" s="61" t="s">
        <v>405</v>
      </c>
      <c r="X125" s="61"/>
      <c r="Y125" s="61"/>
      <c r="Z125" s="61" t="s">
        <v>316</v>
      </c>
      <c r="AA125" s="61"/>
      <c r="AB125" s="61"/>
      <c r="AC125" s="27"/>
      <c r="AD125" s="61" t="s">
        <v>320</v>
      </c>
      <c r="AE125" s="61"/>
      <c r="AF125" s="61"/>
      <c r="AG125" s="61" t="s">
        <v>439</v>
      </c>
      <c r="AH125" s="61"/>
      <c r="AI125" s="70"/>
      <c r="AN125" s="60" t="s">
        <v>364</v>
      </c>
      <c r="AO125" s="61"/>
      <c r="AP125" s="61"/>
      <c r="AQ125" s="61" t="s">
        <v>449</v>
      </c>
      <c r="AR125" s="61"/>
      <c r="AS125" s="61"/>
      <c r="AT125" s="26"/>
      <c r="AU125" s="61" t="s">
        <v>457</v>
      </c>
      <c r="AV125" s="61"/>
      <c r="AW125" s="61"/>
      <c r="AX125" s="61" t="s">
        <v>358</v>
      </c>
      <c r="AY125" s="61"/>
      <c r="AZ125" s="61"/>
      <c r="BA125" s="26"/>
      <c r="BB125" s="61" t="s">
        <v>508</v>
      </c>
      <c r="BC125" s="61"/>
      <c r="BD125" s="61"/>
      <c r="BE125" s="61" t="s">
        <v>278</v>
      </c>
      <c r="BF125" s="61"/>
      <c r="BG125" s="61"/>
      <c r="BH125" s="26"/>
      <c r="BI125" s="61" t="s">
        <v>454</v>
      </c>
      <c r="BJ125" s="61"/>
      <c r="BK125" s="61"/>
      <c r="BL125" s="61" t="s">
        <v>414</v>
      </c>
      <c r="BM125" s="61"/>
      <c r="BN125" s="61"/>
      <c r="BO125" s="27"/>
      <c r="BP125" s="61" t="s">
        <v>383</v>
      </c>
      <c r="BQ125" s="61"/>
      <c r="BR125" s="61"/>
      <c r="BS125" s="61" t="s">
        <v>386</v>
      </c>
      <c r="BT125" s="61"/>
      <c r="BU125" s="70"/>
    </row>
    <row r="126" spans="2:73" ht="27" customHeight="1" x14ac:dyDescent="0.25">
      <c r="B126" s="69">
        <v>761</v>
      </c>
      <c r="C126" s="66"/>
      <c r="D126" s="67"/>
      <c r="E126" s="65">
        <v>762</v>
      </c>
      <c r="F126" s="66"/>
      <c r="G126" s="67"/>
      <c r="H126" s="26"/>
      <c r="I126" s="65">
        <v>763</v>
      </c>
      <c r="J126" s="66"/>
      <c r="K126" s="67"/>
      <c r="L126" s="65">
        <v>764</v>
      </c>
      <c r="M126" s="66"/>
      <c r="N126" s="67"/>
      <c r="O126" s="26"/>
      <c r="P126" s="65">
        <v>765</v>
      </c>
      <c r="Q126" s="66"/>
      <c r="R126" s="67"/>
      <c r="S126" s="65">
        <v>766</v>
      </c>
      <c r="T126" s="66"/>
      <c r="U126" s="67"/>
      <c r="V126" s="26"/>
      <c r="W126" s="65">
        <v>767</v>
      </c>
      <c r="X126" s="66"/>
      <c r="Y126" s="67"/>
      <c r="Z126" s="65">
        <v>768</v>
      </c>
      <c r="AA126" s="66"/>
      <c r="AB126" s="67"/>
      <c r="AC126" s="27"/>
      <c r="AD126" s="65">
        <v>769</v>
      </c>
      <c r="AE126" s="66"/>
      <c r="AF126" s="67"/>
      <c r="AG126" s="65">
        <v>770</v>
      </c>
      <c r="AH126" s="66"/>
      <c r="AI126" s="68"/>
      <c r="AN126" s="69">
        <v>771</v>
      </c>
      <c r="AO126" s="66"/>
      <c r="AP126" s="67"/>
      <c r="AQ126" s="65">
        <v>772</v>
      </c>
      <c r="AR126" s="66"/>
      <c r="AS126" s="67"/>
      <c r="AT126" s="26"/>
      <c r="AU126" s="65">
        <v>773</v>
      </c>
      <c r="AV126" s="66"/>
      <c r="AW126" s="67"/>
      <c r="AX126" s="65">
        <v>774</v>
      </c>
      <c r="AY126" s="66"/>
      <c r="AZ126" s="67"/>
      <c r="BA126" s="26"/>
      <c r="BB126" s="65">
        <v>775</v>
      </c>
      <c r="BC126" s="66"/>
      <c r="BD126" s="67"/>
      <c r="BE126" s="65">
        <v>776</v>
      </c>
      <c r="BF126" s="66"/>
      <c r="BG126" s="67"/>
      <c r="BH126" s="26"/>
      <c r="BI126" s="65">
        <v>777</v>
      </c>
      <c r="BJ126" s="66"/>
      <c r="BK126" s="67"/>
      <c r="BL126" s="65">
        <v>778</v>
      </c>
      <c r="BM126" s="66"/>
      <c r="BN126" s="67"/>
      <c r="BO126" s="27"/>
      <c r="BP126" s="65">
        <v>779</v>
      </c>
      <c r="BQ126" s="66"/>
      <c r="BR126" s="67"/>
      <c r="BS126" s="65">
        <v>780</v>
      </c>
      <c r="BT126" s="66"/>
      <c r="BU126" s="68"/>
    </row>
    <row r="127" spans="2:73" ht="27" customHeight="1" x14ac:dyDescent="0.25">
      <c r="B127" s="28"/>
      <c r="C127" s="29"/>
      <c r="D127" s="29"/>
      <c r="E127" s="29"/>
      <c r="F127" s="29"/>
      <c r="G127" s="29"/>
      <c r="H127" s="26"/>
      <c r="I127" s="29"/>
      <c r="J127" s="29"/>
      <c r="K127" s="29"/>
      <c r="L127" s="29"/>
      <c r="M127" s="29"/>
      <c r="N127" s="29"/>
      <c r="O127" s="26"/>
      <c r="P127" s="29"/>
      <c r="Q127" s="29"/>
      <c r="R127" s="29"/>
      <c r="S127" s="29"/>
      <c r="T127" s="29"/>
      <c r="U127" s="29"/>
      <c r="V127" s="26"/>
      <c r="W127" s="29"/>
      <c r="X127" s="29"/>
      <c r="Y127" s="29"/>
      <c r="Z127" s="29"/>
      <c r="AA127" s="29"/>
      <c r="AB127" s="29"/>
      <c r="AC127" s="26"/>
      <c r="AD127" s="29"/>
      <c r="AE127" s="29"/>
      <c r="AF127" s="29"/>
      <c r="AG127" s="29"/>
      <c r="AH127" s="29"/>
      <c r="AI127" s="30"/>
      <c r="AN127" s="28"/>
      <c r="AO127" s="29"/>
      <c r="AP127" s="29"/>
      <c r="AQ127" s="29"/>
      <c r="AR127" s="29"/>
      <c r="AS127" s="29"/>
      <c r="AT127" s="26"/>
      <c r="AU127" s="29"/>
      <c r="AV127" s="29"/>
      <c r="AW127" s="29"/>
      <c r="AX127" s="29"/>
      <c r="AY127" s="29"/>
      <c r="AZ127" s="29"/>
      <c r="BA127" s="26"/>
      <c r="BB127" s="29"/>
      <c r="BC127" s="29"/>
      <c r="BD127" s="29"/>
      <c r="BE127" s="29"/>
      <c r="BF127" s="29"/>
      <c r="BG127" s="29"/>
      <c r="BH127" s="26"/>
      <c r="BI127" s="29"/>
      <c r="BJ127" s="29"/>
      <c r="BK127" s="29"/>
      <c r="BL127" s="29"/>
      <c r="BM127" s="29"/>
      <c r="BN127" s="29"/>
      <c r="BO127" s="26"/>
      <c r="BP127" s="29"/>
      <c r="BQ127" s="29"/>
      <c r="BR127" s="29"/>
      <c r="BS127" s="29"/>
      <c r="BT127" s="29"/>
      <c r="BU127" s="30"/>
    </row>
    <row r="128" spans="2:73" ht="54" customHeight="1" x14ac:dyDescent="0.25">
      <c r="B128" s="60" t="s">
        <v>294</v>
      </c>
      <c r="C128" s="61"/>
      <c r="D128" s="61"/>
      <c r="E128" s="61" t="s">
        <v>415</v>
      </c>
      <c r="F128" s="61"/>
      <c r="G128" s="61"/>
      <c r="H128" s="26"/>
      <c r="I128" s="61" t="s">
        <v>306</v>
      </c>
      <c r="J128" s="61"/>
      <c r="K128" s="61"/>
      <c r="L128" s="61" t="s">
        <v>424</v>
      </c>
      <c r="M128" s="61"/>
      <c r="N128" s="61"/>
      <c r="O128" s="26"/>
      <c r="P128" s="61" t="s">
        <v>324</v>
      </c>
      <c r="Q128" s="61"/>
      <c r="R128" s="61"/>
      <c r="S128" s="61" t="s">
        <v>403</v>
      </c>
      <c r="T128" s="61"/>
      <c r="U128" s="61"/>
      <c r="V128" s="26"/>
      <c r="W128" s="61" t="s">
        <v>447</v>
      </c>
      <c r="X128" s="61"/>
      <c r="Y128" s="61"/>
      <c r="Z128" s="61" t="s">
        <v>515</v>
      </c>
      <c r="AA128" s="61"/>
      <c r="AB128" s="61"/>
      <c r="AC128" s="27"/>
      <c r="AD128" s="61" t="s">
        <v>388</v>
      </c>
      <c r="AE128" s="61"/>
      <c r="AF128" s="61"/>
      <c r="AG128" s="61" t="s">
        <v>335</v>
      </c>
      <c r="AH128" s="61"/>
      <c r="AI128" s="70"/>
      <c r="AN128" s="60" t="s">
        <v>389</v>
      </c>
      <c r="AO128" s="61"/>
      <c r="AP128" s="61"/>
      <c r="AQ128" s="61" t="s">
        <v>427</v>
      </c>
      <c r="AR128" s="61"/>
      <c r="AS128" s="61"/>
      <c r="AT128" s="26"/>
      <c r="AU128" s="61" t="s">
        <v>520</v>
      </c>
      <c r="AV128" s="61"/>
      <c r="AW128" s="61"/>
      <c r="AX128" s="61" t="s">
        <v>328</v>
      </c>
      <c r="AY128" s="61"/>
      <c r="AZ128" s="61"/>
      <c r="BA128" s="26"/>
      <c r="BB128" s="61" t="s">
        <v>350</v>
      </c>
      <c r="BC128" s="61"/>
      <c r="BD128" s="61"/>
      <c r="BE128" s="61" t="s">
        <v>385</v>
      </c>
      <c r="BF128" s="61"/>
      <c r="BG128" s="61"/>
      <c r="BH128" s="26"/>
      <c r="BI128" s="61" t="s">
        <v>344</v>
      </c>
      <c r="BJ128" s="61"/>
      <c r="BK128" s="61"/>
      <c r="BL128" s="61" t="s">
        <v>461</v>
      </c>
      <c r="BM128" s="61"/>
      <c r="BN128" s="61"/>
      <c r="BO128" s="27"/>
      <c r="BP128" s="61" t="s">
        <v>463</v>
      </c>
      <c r="BQ128" s="61"/>
      <c r="BR128" s="61"/>
      <c r="BS128" s="61" t="s">
        <v>426</v>
      </c>
      <c r="BT128" s="61"/>
      <c r="BU128" s="70"/>
    </row>
    <row r="129" spans="2:73" ht="27" customHeight="1" x14ac:dyDescent="0.25">
      <c r="B129" s="69">
        <v>781</v>
      </c>
      <c r="C129" s="66"/>
      <c r="D129" s="67"/>
      <c r="E129" s="65">
        <v>782</v>
      </c>
      <c r="F129" s="66"/>
      <c r="G129" s="67"/>
      <c r="H129" s="26"/>
      <c r="I129" s="65">
        <v>783</v>
      </c>
      <c r="J129" s="66"/>
      <c r="K129" s="67"/>
      <c r="L129" s="65">
        <v>784</v>
      </c>
      <c r="M129" s="66"/>
      <c r="N129" s="67"/>
      <c r="O129" s="26"/>
      <c r="P129" s="65">
        <v>785</v>
      </c>
      <c r="Q129" s="66"/>
      <c r="R129" s="67"/>
      <c r="S129" s="65">
        <v>786</v>
      </c>
      <c r="T129" s="66"/>
      <c r="U129" s="67"/>
      <c r="V129" s="26"/>
      <c r="W129" s="65">
        <v>787</v>
      </c>
      <c r="X129" s="66"/>
      <c r="Y129" s="67"/>
      <c r="Z129" s="65">
        <v>788</v>
      </c>
      <c r="AA129" s="66"/>
      <c r="AB129" s="67"/>
      <c r="AC129" s="27"/>
      <c r="AD129" s="65">
        <v>789</v>
      </c>
      <c r="AE129" s="66"/>
      <c r="AF129" s="67"/>
      <c r="AG129" s="65">
        <v>790</v>
      </c>
      <c r="AH129" s="66"/>
      <c r="AI129" s="68"/>
      <c r="AN129" s="69">
        <v>791</v>
      </c>
      <c r="AO129" s="66"/>
      <c r="AP129" s="67"/>
      <c r="AQ129" s="65">
        <v>792</v>
      </c>
      <c r="AR129" s="66"/>
      <c r="AS129" s="67"/>
      <c r="AT129" s="26"/>
      <c r="AU129" s="65">
        <v>793</v>
      </c>
      <c r="AV129" s="66"/>
      <c r="AW129" s="67"/>
      <c r="AX129" s="65">
        <v>794</v>
      </c>
      <c r="AY129" s="66"/>
      <c r="AZ129" s="67"/>
      <c r="BA129" s="26"/>
      <c r="BB129" s="65">
        <v>795</v>
      </c>
      <c r="BC129" s="66"/>
      <c r="BD129" s="67"/>
      <c r="BE129" s="65">
        <v>796</v>
      </c>
      <c r="BF129" s="66"/>
      <c r="BG129" s="67"/>
      <c r="BH129" s="26"/>
      <c r="BI129" s="65">
        <v>797</v>
      </c>
      <c r="BJ129" s="66"/>
      <c r="BK129" s="67"/>
      <c r="BL129" s="65">
        <v>798</v>
      </c>
      <c r="BM129" s="66"/>
      <c r="BN129" s="67"/>
      <c r="BO129" s="27"/>
      <c r="BP129" s="65">
        <v>799</v>
      </c>
      <c r="BQ129" s="66"/>
      <c r="BR129" s="67"/>
      <c r="BS129" s="65">
        <v>800</v>
      </c>
      <c r="BT129" s="66"/>
      <c r="BU129" s="68"/>
    </row>
    <row r="130" spans="2:73" ht="27" customHeight="1" x14ac:dyDescent="0.25">
      <c r="B130" s="28"/>
      <c r="C130" s="29"/>
      <c r="D130" s="29"/>
      <c r="E130" s="29"/>
      <c r="F130" s="29"/>
      <c r="G130" s="29"/>
      <c r="H130" s="26"/>
      <c r="I130" s="29"/>
      <c r="J130" s="29"/>
      <c r="K130" s="29"/>
      <c r="L130" s="29"/>
      <c r="M130" s="29"/>
      <c r="N130" s="29"/>
      <c r="O130" s="26"/>
      <c r="P130" s="29"/>
      <c r="Q130" s="29"/>
      <c r="R130" s="29"/>
      <c r="S130" s="29"/>
      <c r="T130" s="29"/>
      <c r="U130" s="29"/>
      <c r="V130" s="26"/>
      <c r="W130" s="29"/>
      <c r="X130" s="29"/>
      <c r="Y130" s="29"/>
      <c r="Z130" s="29"/>
      <c r="AA130" s="29"/>
      <c r="AB130" s="29"/>
      <c r="AC130" s="26"/>
      <c r="AD130" s="29"/>
      <c r="AE130" s="29"/>
      <c r="AF130" s="29"/>
      <c r="AG130" s="29"/>
      <c r="AH130" s="29"/>
      <c r="AI130" s="30"/>
      <c r="AN130" s="28"/>
      <c r="AO130" s="29"/>
      <c r="AP130" s="29"/>
      <c r="AQ130" s="29"/>
      <c r="AR130" s="29"/>
      <c r="AS130" s="29"/>
      <c r="AT130" s="26"/>
      <c r="AU130" s="29"/>
      <c r="AV130" s="29"/>
      <c r="AW130" s="29"/>
      <c r="AX130" s="29"/>
      <c r="AY130" s="29"/>
      <c r="AZ130" s="29"/>
      <c r="BA130" s="26"/>
      <c r="BB130" s="29"/>
      <c r="BC130" s="29"/>
      <c r="BD130" s="29"/>
      <c r="BE130" s="29"/>
      <c r="BF130" s="29"/>
      <c r="BG130" s="29"/>
      <c r="BH130" s="26"/>
      <c r="BI130" s="29"/>
      <c r="BJ130" s="29"/>
      <c r="BK130" s="29"/>
      <c r="BL130" s="29"/>
      <c r="BM130" s="29"/>
      <c r="BN130" s="29"/>
      <c r="BO130" s="26"/>
      <c r="BP130" s="29"/>
      <c r="BQ130" s="29"/>
      <c r="BR130" s="29"/>
      <c r="BS130" s="29"/>
      <c r="BT130" s="29"/>
      <c r="BU130" s="30"/>
    </row>
    <row r="131" spans="2:73" ht="54" customHeight="1" x14ac:dyDescent="0.25">
      <c r="B131" s="60" t="s">
        <v>342</v>
      </c>
      <c r="C131" s="61"/>
      <c r="D131" s="61"/>
      <c r="E131" s="61" t="s">
        <v>317</v>
      </c>
      <c r="F131" s="61"/>
      <c r="G131" s="61"/>
      <c r="H131" s="26"/>
      <c r="I131" s="61" t="s">
        <v>318</v>
      </c>
      <c r="J131" s="61"/>
      <c r="K131" s="61"/>
      <c r="L131" s="61" t="s">
        <v>355</v>
      </c>
      <c r="M131" s="61"/>
      <c r="N131" s="61"/>
      <c r="O131" s="26"/>
      <c r="P131" s="61" t="s">
        <v>323</v>
      </c>
      <c r="Q131" s="61"/>
      <c r="R131" s="61"/>
      <c r="S131" s="61" t="s">
        <v>432</v>
      </c>
      <c r="T131" s="61"/>
      <c r="U131" s="61"/>
      <c r="V131" s="26"/>
      <c r="W131" s="61" t="s">
        <v>509</v>
      </c>
      <c r="X131" s="61"/>
      <c r="Y131" s="61"/>
      <c r="Z131" s="61" t="s">
        <v>384</v>
      </c>
      <c r="AA131" s="61"/>
      <c r="AB131" s="61"/>
      <c r="AC131" s="27"/>
      <c r="AD131" s="61" t="s">
        <v>349</v>
      </c>
      <c r="AE131" s="61"/>
      <c r="AF131" s="61"/>
      <c r="AG131" s="61" t="s">
        <v>428</v>
      </c>
      <c r="AH131" s="61"/>
      <c r="AI131" s="70"/>
      <c r="AN131" s="60" t="s">
        <v>401</v>
      </c>
      <c r="AO131" s="61"/>
      <c r="AP131" s="61"/>
      <c r="AQ131" s="61" t="s">
        <v>409</v>
      </c>
      <c r="AR131" s="61"/>
      <c r="AS131" s="61"/>
      <c r="AT131" s="26"/>
      <c r="AU131" s="61" t="s">
        <v>376</v>
      </c>
      <c r="AV131" s="61"/>
      <c r="AW131" s="61"/>
      <c r="AX131" s="61" t="s">
        <v>448</v>
      </c>
      <c r="AY131" s="61"/>
      <c r="AZ131" s="61"/>
      <c r="BA131" s="26"/>
      <c r="BB131" s="61" t="s">
        <v>402</v>
      </c>
      <c r="BC131" s="61"/>
      <c r="BD131" s="61"/>
      <c r="BE131" s="61" t="s">
        <v>516</v>
      </c>
      <c r="BF131" s="61"/>
      <c r="BG131" s="61"/>
      <c r="BH131" s="26"/>
      <c r="BI131" s="61" t="s">
        <v>315</v>
      </c>
      <c r="BJ131" s="61"/>
      <c r="BK131" s="61"/>
      <c r="BL131" s="61" t="s">
        <v>387</v>
      </c>
      <c r="BM131" s="61"/>
      <c r="BN131" s="61"/>
      <c r="BO131" s="27"/>
      <c r="BP131" s="61" t="s">
        <v>452</v>
      </c>
      <c r="BQ131" s="61"/>
      <c r="BR131" s="61"/>
      <c r="BS131" s="61" t="s">
        <v>431</v>
      </c>
      <c r="BT131" s="61"/>
      <c r="BU131" s="70"/>
    </row>
    <row r="132" spans="2:73" ht="27" customHeight="1" x14ac:dyDescent="0.25">
      <c r="B132" s="69">
        <v>801</v>
      </c>
      <c r="C132" s="66"/>
      <c r="D132" s="67"/>
      <c r="E132" s="65">
        <v>802</v>
      </c>
      <c r="F132" s="66"/>
      <c r="G132" s="67"/>
      <c r="H132" s="26"/>
      <c r="I132" s="65">
        <v>803</v>
      </c>
      <c r="J132" s="66"/>
      <c r="K132" s="67"/>
      <c r="L132" s="65">
        <v>804</v>
      </c>
      <c r="M132" s="66"/>
      <c r="N132" s="67"/>
      <c r="O132" s="26"/>
      <c r="P132" s="65">
        <v>805</v>
      </c>
      <c r="Q132" s="66"/>
      <c r="R132" s="67"/>
      <c r="S132" s="65">
        <v>806</v>
      </c>
      <c r="T132" s="66"/>
      <c r="U132" s="67"/>
      <c r="V132" s="26"/>
      <c r="W132" s="65">
        <v>807</v>
      </c>
      <c r="X132" s="66"/>
      <c r="Y132" s="67"/>
      <c r="Z132" s="65">
        <v>808</v>
      </c>
      <c r="AA132" s="66"/>
      <c r="AB132" s="67"/>
      <c r="AC132" s="27"/>
      <c r="AD132" s="65">
        <v>809</v>
      </c>
      <c r="AE132" s="66"/>
      <c r="AF132" s="67"/>
      <c r="AG132" s="65">
        <v>810</v>
      </c>
      <c r="AH132" s="66"/>
      <c r="AI132" s="68"/>
      <c r="AN132" s="69">
        <v>811</v>
      </c>
      <c r="AO132" s="66"/>
      <c r="AP132" s="67"/>
      <c r="AQ132" s="65">
        <v>812</v>
      </c>
      <c r="AR132" s="66"/>
      <c r="AS132" s="67"/>
      <c r="AT132" s="26"/>
      <c r="AU132" s="65">
        <v>813</v>
      </c>
      <c r="AV132" s="66"/>
      <c r="AW132" s="67"/>
      <c r="AX132" s="65">
        <v>814</v>
      </c>
      <c r="AY132" s="66"/>
      <c r="AZ132" s="67"/>
      <c r="BA132" s="26"/>
      <c r="BB132" s="65">
        <v>815</v>
      </c>
      <c r="BC132" s="66"/>
      <c r="BD132" s="67"/>
      <c r="BE132" s="65">
        <v>816</v>
      </c>
      <c r="BF132" s="66"/>
      <c r="BG132" s="67"/>
      <c r="BH132" s="26"/>
      <c r="BI132" s="65">
        <v>817</v>
      </c>
      <c r="BJ132" s="66"/>
      <c r="BK132" s="67"/>
      <c r="BL132" s="65">
        <v>818</v>
      </c>
      <c r="BM132" s="66"/>
      <c r="BN132" s="67"/>
      <c r="BO132" s="27"/>
      <c r="BP132" s="65">
        <v>819</v>
      </c>
      <c r="BQ132" s="66"/>
      <c r="BR132" s="67"/>
      <c r="BS132" s="65">
        <v>820</v>
      </c>
      <c r="BT132" s="66"/>
      <c r="BU132" s="68"/>
    </row>
    <row r="133" spans="2:73" ht="27" customHeight="1" x14ac:dyDescent="0.25">
      <c r="B133" s="28"/>
      <c r="C133" s="29"/>
      <c r="D133" s="29"/>
      <c r="E133" s="29"/>
      <c r="F133" s="29"/>
      <c r="G133" s="29"/>
      <c r="H133" s="26"/>
      <c r="I133" s="29"/>
      <c r="J133" s="29"/>
      <c r="K133" s="29"/>
      <c r="L133" s="29"/>
      <c r="M133" s="29"/>
      <c r="N133" s="29"/>
      <c r="O133" s="26"/>
      <c r="P133" s="29"/>
      <c r="Q133" s="29"/>
      <c r="R133" s="29"/>
      <c r="S133" s="29"/>
      <c r="T133" s="29"/>
      <c r="U133" s="29"/>
      <c r="V133" s="26"/>
      <c r="W133" s="29"/>
      <c r="X133" s="29"/>
      <c r="Y133" s="29"/>
      <c r="Z133" s="29"/>
      <c r="AA133" s="29"/>
      <c r="AB133" s="29"/>
      <c r="AC133" s="26"/>
      <c r="AD133" s="29"/>
      <c r="AE133" s="29"/>
      <c r="AF133" s="29"/>
      <c r="AG133" s="29"/>
      <c r="AH133" s="29"/>
      <c r="AI133" s="30"/>
      <c r="AN133" s="32"/>
      <c r="AO133" s="12"/>
      <c r="AP133" s="12"/>
      <c r="AQ133" s="12"/>
      <c r="AR133" s="12"/>
      <c r="AS133" s="12"/>
      <c r="AU133" s="12"/>
      <c r="AV133" s="12"/>
      <c r="AW133" s="12"/>
      <c r="AX133" s="12"/>
      <c r="AY133" s="12"/>
      <c r="AZ133" s="12"/>
      <c r="BB133" s="12"/>
      <c r="BC133" s="12"/>
      <c r="BD133" s="12"/>
      <c r="BE133" s="12"/>
      <c r="BF133" s="12"/>
      <c r="BG133" s="12"/>
      <c r="BI133" s="12"/>
      <c r="BJ133" s="12"/>
      <c r="BK133" s="12"/>
      <c r="BL133" s="12"/>
      <c r="BM133" s="12"/>
      <c r="BN133" s="12"/>
      <c r="BP133" s="12"/>
      <c r="BQ133" s="12"/>
      <c r="BR133" s="12"/>
      <c r="BS133" s="12"/>
      <c r="BT133" s="12"/>
      <c r="BU133" s="31"/>
    </row>
    <row r="134" spans="2:73" ht="54" customHeight="1" x14ac:dyDescent="0.25">
      <c r="B134" s="60" t="s">
        <v>438</v>
      </c>
      <c r="C134" s="61"/>
      <c r="D134" s="61"/>
      <c r="E134" s="61" t="s">
        <v>467</v>
      </c>
      <c r="F134" s="61"/>
      <c r="G134" s="61"/>
      <c r="H134" s="26"/>
      <c r="I134" s="61" t="s">
        <v>378</v>
      </c>
      <c r="J134" s="61"/>
      <c r="K134" s="61"/>
      <c r="L134" s="61" t="s">
        <v>390</v>
      </c>
      <c r="M134" s="61"/>
      <c r="N134" s="61"/>
      <c r="O134" s="26"/>
      <c r="P134" s="61" t="s">
        <v>360</v>
      </c>
      <c r="Q134" s="61"/>
      <c r="R134" s="61"/>
      <c r="S134" s="61" t="s">
        <v>434</v>
      </c>
      <c r="T134" s="61"/>
      <c r="U134" s="61"/>
      <c r="V134" s="26"/>
      <c r="W134" s="61" t="s">
        <v>375</v>
      </c>
      <c r="X134" s="61"/>
      <c r="Y134" s="61"/>
      <c r="Z134" s="61" t="s">
        <v>372</v>
      </c>
      <c r="AA134" s="61"/>
      <c r="AB134" s="61"/>
      <c r="AC134" s="27"/>
      <c r="AD134" s="61" t="s">
        <v>396</v>
      </c>
      <c r="AE134" s="61"/>
      <c r="AF134" s="61"/>
      <c r="AG134" s="61" t="s">
        <v>370</v>
      </c>
      <c r="AH134" s="61"/>
      <c r="AI134" s="70"/>
      <c r="AN134" s="76" t="s">
        <v>401</v>
      </c>
      <c r="AO134" s="71"/>
      <c r="AP134" s="71"/>
      <c r="AQ134" s="71" t="s">
        <v>368</v>
      </c>
      <c r="AR134" s="71"/>
      <c r="AS134" s="71"/>
      <c r="AT134" s="34"/>
      <c r="AU134" s="71" t="s">
        <v>427</v>
      </c>
      <c r="AV134" s="71"/>
      <c r="AW134" s="71"/>
      <c r="AX134" s="71" t="s">
        <v>413</v>
      </c>
      <c r="AY134" s="71"/>
      <c r="AZ134" s="71"/>
      <c r="BA134" s="34"/>
      <c r="BB134" s="71" t="s">
        <v>518</v>
      </c>
      <c r="BC134" s="71"/>
      <c r="BD134" s="71"/>
      <c r="BE134" s="71" t="s">
        <v>350</v>
      </c>
      <c r="BF134" s="71"/>
      <c r="BG134" s="71"/>
      <c r="BH134" s="34"/>
      <c r="BI134" s="71" t="s">
        <v>435</v>
      </c>
      <c r="BJ134" s="71"/>
      <c r="BK134" s="71"/>
      <c r="BL134" s="71" t="s">
        <v>367</v>
      </c>
      <c r="BM134" s="71"/>
      <c r="BN134" s="71"/>
      <c r="BO134" s="33"/>
      <c r="BP134" s="71" t="s">
        <v>378</v>
      </c>
      <c r="BQ134" s="71"/>
      <c r="BR134" s="71"/>
      <c r="BS134" s="71" t="s">
        <v>417</v>
      </c>
      <c r="BT134" s="71"/>
      <c r="BU134" s="72"/>
    </row>
    <row r="135" spans="2:73" ht="27" customHeight="1" x14ac:dyDescent="0.25">
      <c r="B135" s="69">
        <v>821</v>
      </c>
      <c r="C135" s="66"/>
      <c r="D135" s="67"/>
      <c r="E135" s="65">
        <v>822</v>
      </c>
      <c r="F135" s="66"/>
      <c r="G135" s="67"/>
      <c r="H135" s="26"/>
      <c r="I135" s="65">
        <v>823</v>
      </c>
      <c r="J135" s="66"/>
      <c r="K135" s="67"/>
      <c r="L135" s="65">
        <v>824</v>
      </c>
      <c r="M135" s="66"/>
      <c r="N135" s="67"/>
      <c r="O135" s="26"/>
      <c r="P135" s="65">
        <v>825</v>
      </c>
      <c r="Q135" s="66"/>
      <c r="R135" s="67"/>
      <c r="S135" s="65">
        <v>826</v>
      </c>
      <c r="T135" s="66"/>
      <c r="U135" s="67"/>
      <c r="V135" s="26"/>
      <c r="W135" s="65">
        <v>827</v>
      </c>
      <c r="X135" s="66"/>
      <c r="Y135" s="67"/>
      <c r="Z135" s="65">
        <v>828</v>
      </c>
      <c r="AA135" s="66"/>
      <c r="AB135" s="67"/>
      <c r="AC135" s="27"/>
      <c r="AD135" s="65">
        <v>829</v>
      </c>
      <c r="AE135" s="66"/>
      <c r="AF135" s="67"/>
      <c r="AG135" s="65">
        <v>830</v>
      </c>
      <c r="AH135" s="66"/>
      <c r="AI135" s="68"/>
      <c r="AN135" s="78">
        <v>831</v>
      </c>
      <c r="AO135" s="74"/>
      <c r="AP135" s="75"/>
      <c r="AQ135" s="73">
        <v>832</v>
      </c>
      <c r="AR135" s="74"/>
      <c r="AS135" s="75"/>
      <c r="AT135" s="34"/>
      <c r="AU135" s="73">
        <v>833</v>
      </c>
      <c r="AV135" s="74"/>
      <c r="AW135" s="75"/>
      <c r="AX135" s="73">
        <v>834</v>
      </c>
      <c r="AY135" s="74"/>
      <c r="AZ135" s="75"/>
      <c r="BA135" s="34"/>
      <c r="BB135" s="73">
        <v>835</v>
      </c>
      <c r="BC135" s="74"/>
      <c r="BD135" s="75"/>
      <c r="BE135" s="73">
        <v>836</v>
      </c>
      <c r="BF135" s="74"/>
      <c r="BG135" s="75"/>
      <c r="BH135" s="34"/>
      <c r="BI135" s="73">
        <v>837</v>
      </c>
      <c r="BJ135" s="74"/>
      <c r="BK135" s="75"/>
      <c r="BL135" s="73">
        <v>838</v>
      </c>
      <c r="BM135" s="74"/>
      <c r="BN135" s="75"/>
      <c r="BO135" s="33"/>
      <c r="BP135" s="73">
        <v>839</v>
      </c>
      <c r="BQ135" s="74"/>
      <c r="BR135" s="75"/>
      <c r="BS135" s="73">
        <v>840</v>
      </c>
      <c r="BT135" s="74"/>
      <c r="BU135" s="77"/>
    </row>
    <row r="136" spans="2:73" ht="27" customHeight="1" x14ac:dyDescent="0.25">
      <c r="B136" s="32"/>
      <c r="C136" s="12"/>
      <c r="D136" s="12"/>
      <c r="E136" s="12"/>
      <c r="F136" s="12"/>
      <c r="G136" s="12"/>
      <c r="I136" s="12"/>
      <c r="J136" s="12"/>
      <c r="K136" s="12"/>
      <c r="L136" s="12"/>
      <c r="M136" s="12"/>
      <c r="N136" s="12"/>
      <c r="P136" s="12"/>
      <c r="Q136" s="12"/>
      <c r="R136" s="12"/>
      <c r="S136" s="12"/>
      <c r="T136" s="12"/>
      <c r="U136" s="12"/>
      <c r="W136" s="12"/>
      <c r="X136" s="12"/>
      <c r="Y136" s="12"/>
      <c r="Z136" s="12"/>
      <c r="AA136" s="12"/>
      <c r="AB136" s="12"/>
      <c r="AD136" s="12"/>
      <c r="AE136" s="12"/>
      <c r="AF136" s="12"/>
      <c r="AG136" s="12"/>
      <c r="AH136" s="12"/>
      <c r="AI136" s="31"/>
      <c r="AN136" s="38"/>
      <c r="AO136" s="36"/>
      <c r="AP136" s="36"/>
      <c r="AQ136" s="36"/>
      <c r="AR136" s="36"/>
      <c r="AS136" s="36"/>
      <c r="AT136" s="34"/>
      <c r="AU136" s="36"/>
      <c r="AV136" s="36"/>
      <c r="AW136" s="36"/>
      <c r="AX136" s="36"/>
      <c r="AY136" s="36"/>
      <c r="AZ136" s="36"/>
      <c r="BA136" s="34"/>
      <c r="BB136" s="36"/>
      <c r="BC136" s="36"/>
      <c r="BD136" s="36"/>
      <c r="BE136" s="36"/>
      <c r="BF136" s="36"/>
      <c r="BG136" s="36"/>
      <c r="BH136" s="34"/>
      <c r="BI136" s="36"/>
      <c r="BJ136" s="36"/>
      <c r="BK136" s="36"/>
      <c r="BL136" s="36"/>
      <c r="BM136" s="36"/>
      <c r="BN136" s="36"/>
      <c r="BO136" s="34"/>
      <c r="BP136" s="36"/>
      <c r="BQ136" s="36"/>
      <c r="BR136" s="36"/>
      <c r="BS136" s="36"/>
      <c r="BT136" s="36"/>
      <c r="BU136" s="37"/>
    </row>
    <row r="137" spans="2:73" ht="54" customHeight="1" x14ac:dyDescent="0.25">
      <c r="B137" s="76" t="s">
        <v>420</v>
      </c>
      <c r="C137" s="71"/>
      <c r="D137" s="71"/>
      <c r="E137" s="71" t="s">
        <v>321</v>
      </c>
      <c r="F137" s="71"/>
      <c r="G137" s="71"/>
      <c r="H137" s="34"/>
      <c r="I137" s="71" t="s">
        <v>338</v>
      </c>
      <c r="J137" s="71"/>
      <c r="K137" s="71"/>
      <c r="L137" s="71" t="s">
        <v>398</v>
      </c>
      <c r="M137" s="71"/>
      <c r="N137" s="71"/>
      <c r="O137" s="34"/>
      <c r="P137" s="71" t="s">
        <v>411</v>
      </c>
      <c r="Q137" s="71"/>
      <c r="R137" s="71"/>
      <c r="S137" s="71" t="s">
        <v>406</v>
      </c>
      <c r="T137" s="71"/>
      <c r="U137" s="71"/>
      <c r="V137" s="34"/>
      <c r="W137" s="71" t="s">
        <v>511</v>
      </c>
      <c r="X137" s="71"/>
      <c r="Y137" s="71"/>
      <c r="Z137" s="71" t="s">
        <v>365</v>
      </c>
      <c r="AA137" s="71"/>
      <c r="AB137" s="71"/>
      <c r="AC137" s="33"/>
      <c r="AD137" s="71" t="s">
        <v>318</v>
      </c>
      <c r="AE137" s="71"/>
      <c r="AF137" s="71"/>
      <c r="AG137" s="71" t="s">
        <v>454</v>
      </c>
      <c r="AH137" s="71"/>
      <c r="AI137" s="72"/>
      <c r="AN137" s="76" t="s">
        <v>410</v>
      </c>
      <c r="AO137" s="71"/>
      <c r="AP137" s="71"/>
      <c r="AQ137" s="71" t="s">
        <v>366</v>
      </c>
      <c r="AR137" s="71"/>
      <c r="AS137" s="71"/>
      <c r="AT137" s="34"/>
      <c r="AU137" s="71" t="s">
        <v>448</v>
      </c>
      <c r="AV137" s="71"/>
      <c r="AW137" s="71"/>
      <c r="AX137" s="71" t="s">
        <v>429</v>
      </c>
      <c r="AY137" s="71"/>
      <c r="AZ137" s="71"/>
      <c r="BA137" s="34"/>
      <c r="BB137" s="71" t="s">
        <v>397</v>
      </c>
      <c r="BC137" s="71"/>
      <c r="BD137" s="71"/>
      <c r="BE137" s="71" t="s">
        <v>416</v>
      </c>
      <c r="BF137" s="71"/>
      <c r="BG137" s="71"/>
      <c r="BH137" s="34"/>
      <c r="BI137" s="71" t="s">
        <v>449</v>
      </c>
      <c r="BJ137" s="71"/>
      <c r="BK137" s="71"/>
      <c r="BL137" s="71" t="s">
        <v>444</v>
      </c>
      <c r="BM137" s="71"/>
      <c r="BN137" s="71"/>
      <c r="BO137" s="33"/>
      <c r="BP137" s="71" t="s">
        <v>396</v>
      </c>
      <c r="BQ137" s="71"/>
      <c r="BR137" s="71"/>
      <c r="BS137" s="71" t="s">
        <v>431</v>
      </c>
      <c r="BT137" s="71"/>
      <c r="BU137" s="72"/>
    </row>
    <row r="138" spans="2:73" ht="27" customHeight="1" x14ac:dyDescent="0.25">
      <c r="B138" s="78">
        <v>841</v>
      </c>
      <c r="C138" s="74"/>
      <c r="D138" s="75"/>
      <c r="E138" s="73">
        <v>842</v>
      </c>
      <c r="F138" s="74"/>
      <c r="G138" s="75"/>
      <c r="H138" s="34"/>
      <c r="I138" s="73">
        <v>843</v>
      </c>
      <c r="J138" s="74"/>
      <c r="K138" s="75"/>
      <c r="L138" s="73">
        <v>844</v>
      </c>
      <c r="M138" s="74"/>
      <c r="N138" s="75"/>
      <c r="O138" s="34"/>
      <c r="P138" s="73">
        <v>845</v>
      </c>
      <c r="Q138" s="74"/>
      <c r="R138" s="75"/>
      <c r="S138" s="73">
        <v>846</v>
      </c>
      <c r="T138" s="74"/>
      <c r="U138" s="75"/>
      <c r="V138" s="34"/>
      <c r="W138" s="73">
        <v>847</v>
      </c>
      <c r="X138" s="74"/>
      <c r="Y138" s="75"/>
      <c r="Z138" s="73">
        <v>848</v>
      </c>
      <c r="AA138" s="74"/>
      <c r="AB138" s="75"/>
      <c r="AC138" s="33"/>
      <c r="AD138" s="73">
        <v>849</v>
      </c>
      <c r="AE138" s="74"/>
      <c r="AF138" s="75"/>
      <c r="AG138" s="73">
        <v>850</v>
      </c>
      <c r="AH138" s="74"/>
      <c r="AI138" s="77"/>
      <c r="AN138" s="78">
        <v>851</v>
      </c>
      <c r="AO138" s="74"/>
      <c r="AP138" s="75"/>
      <c r="AQ138" s="73">
        <v>852</v>
      </c>
      <c r="AR138" s="74"/>
      <c r="AS138" s="75"/>
      <c r="AT138" s="34"/>
      <c r="AU138" s="73">
        <v>853</v>
      </c>
      <c r="AV138" s="74"/>
      <c r="AW138" s="75"/>
      <c r="AX138" s="73">
        <v>854</v>
      </c>
      <c r="AY138" s="74"/>
      <c r="AZ138" s="75"/>
      <c r="BA138" s="34"/>
      <c r="BB138" s="73">
        <v>855</v>
      </c>
      <c r="BC138" s="74"/>
      <c r="BD138" s="75"/>
      <c r="BE138" s="73">
        <v>856</v>
      </c>
      <c r="BF138" s="74"/>
      <c r="BG138" s="75"/>
      <c r="BH138" s="34"/>
      <c r="BI138" s="73">
        <v>857</v>
      </c>
      <c r="BJ138" s="74"/>
      <c r="BK138" s="75"/>
      <c r="BL138" s="73">
        <v>858</v>
      </c>
      <c r="BM138" s="74"/>
      <c r="BN138" s="75"/>
      <c r="BO138" s="33"/>
      <c r="BP138" s="73">
        <v>859</v>
      </c>
      <c r="BQ138" s="74"/>
      <c r="BR138" s="75"/>
      <c r="BS138" s="73">
        <v>860</v>
      </c>
      <c r="BT138" s="74"/>
      <c r="BU138" s="77"/>
    </row>
    <row r="139" spans="2:73" ht="27" customHeight="1" x14ac:dyDescent="0.25">
      <c r="B139" s="38"/>
      <c r="C139" s="36"/>
      <c r="D139" s="36"/>
      <c r="E139" s="36"/>
      <c r="F139" s="36"/>
      <c r="G139" s="36"/>
      <c r="H139" s="34"/>
      <c r="I139" s="36"/>
      <c r="J139" s="36"/>
      <c r="K139" s="36"/>
      <c r="L139" s="36"/>
      <c r="M139" s="36"/>
      <c r="N139" s="36"/>
      <c r="O139" s="34"/>
      <c r="P139" s="36"/>
      <c r="Q139" s="36"/>
      <c r="R139" s="36"/>
      <c r="S139" s="36"/>
      <c r="T139" s="36"/>
      <c r="U139" s="36"/>
      <c r="V139" s="34"/>
      <c r="W139" s="36"/>
      <c r="X139" s="36"/>
      <c r="Y139" s="36"/>
      <c r="Z139" s="36"/>
      <c r="AA139" s="36"/>
      <c r="AB139" s="36"/>
      <c r="AC139" s="34"/>
      <c r="AD139" s="36"/>
      <c r="AE139" s="36"/>
      <c r="AF139" s="36"/>
      <c r="AG139" s="36"/>
      <c r="AH139" s="36"/>
      <c r="AI139" s="37"/>
      <c r="AN139" s="38"/>
      <c r="AO139" s="36"/>
      <c r="AP139" s="36"/>
      <c r="AQ139" s="36"/>
      <c r="AR139" s="36"/>
      <c r="AS139" s="36"/>
      <c r="AT139" s="34"/>
      <c r="AU139" s="36"/>
      <c r="AV139" s="36"/>
      <c r="AW139" s="36"/>
      <c r="AX139" s="36"/>
      <c r="AY139" s="36"/>
      <c r="AZ139" s="36"/>
      <c r="BA139" s="34"/>
      <c r="BB139" s="36"/>
      <c r="BC139" s="36"/>
      <c r="BD139" s="36"/>
      <c r="BE139" s="36"/>
      <c r="BF139" s="36"/>
      <c r="BG139" s="36"/>
      <c r="BH139" s="34"/>
      <c r="BI139" s="36"/>
      <c r="BJ139" s="36"/>
      <c r="BK139" s="36"/>
      <c r="BL139" s="36"/>
      <c r="BM139" s="36"/>
      <c r="BN139" s="36"/>
      <c r="BO139" s="34"/>
      <c r="BP139" s="36"/>
      <c r="BQ139" s="36"/>
      <c r="BR139" s="36"/>
      <c r="BS139" s="36"/>
      <c r="BT139" s="36"/>
      <c r="BU139" s="37"/>
    </row>
    <row r="140" spans="2:73" ht="54" customHeight="1" x14ac:dyDescent="0.25">
      <c r="B140" s="76" t="s">
        <v>440</v>
      </c>
      <c r="C140" s="71"/>
      <c r="D140" s="71"/>
      <c r="E140" s="71" t="s">
        <v>463</v>
      </c>
      <c r="F140" s="71"/>
      <c r="G140" s="71"/>
      <c r="H140" s="34"/>
      <c r="I140" s="71" t="s">
        <v>360</v>
      </c>
      <c r="J140" s="71"/>
      <c r="K140" s="71"/>
      <c r="L140" s="71" t="s">
        <v>390</v>
      </c>
      <c r="M140" s="71"/>
      <c r="N140" s="71"/>
      <c r="O140" s="34"/>
      <c r="P140" s="71" t="s">
        <v>430</v>
      </c>
      <c r="Q140" s="71"/>
      <c r="R140" s="71"/>
      <c r="S140" s="71" t="s">
        <v>421</v>
      </c>
      <c r="T140" s="71"/>
      <c r="U140" s="71"/>
      <c r="V140" s="34"/>
      <c r="W140" s="71" t="s">
        <v>355</v>
      </c>
      <c r="X140" s="71"/>
      <c r="Y140" s="71"/>
      <c r="Z140" s="71" t="s">
        <v>520</v>
      </c>
      <c r="AA140" s="71"/>
      <c r="AB140" s="71"/>
      <c r="AC140" s="33"/>
      <c r="AD140" s="71" t="s">
        <v>402</v>
      </c>
      <c r="AE140" s="71"/>
      <c r="AF140" s="71"/>
      <c r="AG140" s="71" t="s">
        <v>388</v>
      </c>
      <c r="AH140" s="71"/>
      <c r="AI140" s="72"/>
      <c r="AN140" s="76" t="s">
        <v>377</v>
      </c>
      <c r="AO140" s="71"/>
      <c r="AP140" s="71"/>
      <c r="AQ140" s="71" t="s">
        <v>314</v>
      </c>
      <c r="AR140" s="71"/>
      <c r="AS140" s="71"/>
      <c r="AT140" s="34"/>
      <c r="AU140" s="71" t="s">
        <v>294</v>
      </c>
      <c r="AV140" s="71"/>
      <c r="AW140" s="71"/>
      <c r="AX140" s="71" t="s">
        <v>424</v>
      </c>
      <c r="AY140" s="71"/>
      <c r="AZ140" s="71"/>
      <c r="BA140" s="34"/>
      <c r="BB140" s="71" t="s">
        <v>415</v>
      </c>
      <c r="BC140" s="71"/>
      <c r="BD140" s="71"/>
      <c r="BE140" s="71" t="s">
        <v>278</v>
      </c>
      <c r="BF140" s="71"/>
      <c r="BG140" s="71"/>
      <c r="BH140" s="34"/>
      <c r="BI140" s="71" t="s">
        <v>351</v>
      </c>
      <c r="BJ140" s="71"/>
      <c r="BK140" s="71"/>
      <c r="BL140" s="71" t="s">
        <v>354</v>
      </c>
      <c r="BM140" s="71"/>
      <c r="BN140" s="71"/>
      <c r="BO140" s="33"/>
      <c r="BP140" s="71" t="s">
        <v>400</v>
      </c>
      <c r="BQ140" s="71"/>
      <c r="BR140" s="71"/>
      <c r="BS140" s="71" t="s">
        <v>399</v>
      </c>
      <c r="BT140" s="71"/>
      <c r="BU140" s="72"/>
    </row>
    <row r="141" spans="2:73" ht="27" customHeight="1" x14ac:dyDescent="0.25">
      <c r="B141" s="78">
        <v>861</v>
      </c>
      <c r="C141" s="74"/>
      <c r="D141" s="75"/>
      <c r="E141" s="73">
        <v>862</v>
      </c>
      <c r="F141" s="74"/>
      <c r="G141" s="75"/>
      <c r="H141" s="34"/>
      <c r="I141" s="73">
        <v>863</v>
      </c>
      <c r="J141" s="74"/>
      <c r="K141" s="75"/>
      <c r="L141" s="73">
        <v>864</v>
      </c>
      <c r="M141" s="74"/>
      <c r="N141" s="75"/>
      <c r="O141" s="34"/>
      <c r="P141" s="73">
        <v>865</v>
      </c>
      <c r="Q141" s="74"/>
      <c r="R141" s="75"/>
      <c r="S141" s="73">
        <v>866</v>
      </c>
      <c r="T141" s="74"/>
      <c r="U141" s="75"/>
      <c r="V141" s="34"/>
      <c r="W141" s="73">
        <v>867</v>
      </c>
      <c r="X141" s="74"/>
      <c r="Y141" s="75"/>
      <c r="Z141" s="73">
        <v>868</v>
      </c>
      <c r="AA141" s="74"/>
      <c r="AB141" s="75"/>
      <c r="AC141" s="33"/>
      <c r="AD141" s="73">
        <v>869</v>
      </c>
      <c r="AE141" s="74"/>
      <c r="AF141" s="75"/>
      <c r="AG141" s="73">
        <v>870</v>
      </c>
      <c r="AH141" s="74"/>
      <c r="AI141" s="77"/>
      <c r="AN141" s="78">
        <v>871</v>
      </c>
      <c r="AO141" s="74"/>
      <c r="AP141" s="75"/>
      <c r="AQ141" s="73">
        <v>872</v>
      </c>
      <c r="AR141" s="74"/>
      <c r="AS141" s="75"/>
      <c r="AT141" s="34"/>
      <c r="AU141" s="73">
        <v>873</v>
      </c>
      <c r="AV141" s="74"/>
      <c r="AW141" s="75"/>
      <c r="AX141" s="73">
        <v>874</v>
      </c>
      <c r="AY141" s="74"/>
      <c r="AZ141" s="75"/>
      <c r="BA141" s="34"/>
      <c r="BB141" s="73">
        <v>875</v>
      </c>
      <c r="BC141" s="74"/>
      <c r="BD141" s="75"/>
      <c r="BE141" s="73">
        <v>876</v>
      </c>
      <c r="BF141" s="74"/>
      <c r="BG141" s="75"/>
      <c r="BH141" s="34"/>
      <c r="BI141" s="73">
        <v>877</v>
      </c>
      <c r="BJ141" s="74"/>
      <c r="BK141" s="75"/>
      <c r="BL141" s="73">
        <v>878</v>
      </c>
      <c r="BM141" s="74"/>
      <c r="BN141" s="75"/>
      <c r="BO141" s="33"/>
      <c r="BP141" s="73">
        <v>879</v>
      </c>
      <c r="BQ141" s="74"/>
      <c r="BR141" s="75"/>
      <c r="BS141" s="73">
        <v>880</v>
      </c>
      <c r="BT141" s="74"/>
      <c r="BU141" s="77"/>
    </row>
    <row r="142" spans="2:73" ht="27" customHeight="1" x14ac:dyDescent="0.25">
      <c r="B142" s="38"/>
      <c r="C142" s="36"/>
      <c r="D142" s="36"/>
      <c r="E142" s="36"/>
      <c r="F142" s="36"/>
      <c r="G142" s="36"/>
      <c r="H142" s="34"/>
      <c r="I142" s="36"/>
      <c r="J142" s="36"/>
      <c r="K142" s="36"/>
      <c r="L142" s="36"/>
      <c r="M142" s="36"/>
      <c r="N142" s="36"/>
      <c r="O142" s="34"/>
      <c r="P142" s="36"/>
      <c r="Q142" s="36"/>
      <c r="R142" s="36"/>
      <c r="S142" s="36"/>
      <c r="T142" s="36"/>
      <c r="U142" s="36"/>
      <c r="V142" s="34"/>
      <c r="W142" s="36"/>
      <c r="X142" s="36"/>
      <c r="Y142" s="36"/>
      <c r="Z142" s="36"/>
      <c r="AA142" s="36"/>
      <c r="AB142" s="36"/>
      <c r="AC142" s="34"/>
      <c r="AD142" s="36"/>
      <c r="AE142" s="36"/>
      <c r="AF142" s="36"/>
      <c r="AG142" s="36"/>
      <c r="AH142" s="36"/>
      <c r="AI142" s="37"/>
      <c r="AN142" s="38"/>
      <c r="AO142" s="36"/>
      <c r="AP142" s="36"/>
      <c r="AQ142" s="36"/>
      <c r="AR142" s="36"/>
      <c r="AS142" s="36"/>
      <c r="AT142" s="34"/>
      <c r="AU142" s="36"/>
      <c r="AV142" s="36"/>
      <c r="AW142" s="36"/>
      <c r="AX142" s="36"/>
      <c r="AY142" s="36"/>
      <c r="AZ142" s="36"/>
      <c r="BA142" s="34"/>
      <c r="BB142" s="36"/>
      <c r="BC142" s="36"/>
      <c r="BD142" s="36"/>
      <c r="BE142" s="36"/>
      <c r="BF142" s="36"/>
      <c r="BG142" s="36"/>
      <c r="BH142" s="34"/>
      <c r="BI142" s="36"/>
      <c r="BJ142" s="36"/>
      <c r="BK142" s="36"/>
      <c r="BL142" s="36"/>
      <c r="BM142" s="36"/>
      <c r="BN142" s="36"/>
      <c r="BO142" s="34"/>
      <c r="BP142" s="36"/>
      <c r="BQ142" s="36"/>
      <c r="BR142" s="36"/>
      <c r="BS142" s="36"/>
      <c r="BT142" s="36"/>
      <c r="BU142" s="37"/>
    </row>
    <row r="143" spans="2:73" ht="54" customHeight="1" x14ac:dyDescent="0.25">
      <c r="B143" s="76" t="s">
        <v>335</v>
      </c>
      <c r="C143" s="71"/>
      <c r="D143" s="71"/>
      <c r="E143" s="71" t="s">
        <v>359</v>
      </c>
      <c r="F143" s="71"/>
      <c r="G143" s="71"/>
      <c r="H143" s="34"/>
      <c r="I143" s="71" t="s">
        <v>407</v>
      </c>
      <c r="J143" s="71"/>
      <c r="K143" s="71"/>
      <c r="L143" s="71" t="s">
        <v>461</v>
      </c>
      <c r="M143" s="71"/>
      <c r="N143" s="71"/>
      <c r="O143" s="34"/>
      <c r="P143" s="71" t="s">
        <v>311</v>
      </c>
      <c r="Q143" s="71"/>
      <c r="R143" s="71"/>
      <c r="S143" s="71" t="s">
        <v>362</v>
      </c>
      <c r="T143" s="71"/>
      <c r="U143" s="71"/>
      <c r="V143" s="34"/>
      <c r="W143" s="71" t="s">
        <v>452</v>
      </c>
      <c r="X143" s="71"/>
      <c r="Y143" s="71"/>
      <c r="Z143" s="71" t="s">
        <v>386</v>
      </c>
      <c r="AA143" s="71"/>
      <c r="AB143" s="71"/>
      <c r="AC143" s="33"/>
      <c r="AD143" s="71" t="s">
        <v>412</v>
      </c>
      <c r="AE143" s="71"/>
      <c r="AF143" s="71"/>
      <c r="AG143" s="71" t="s">
        <v>514</v>
      </c>
      <c r="AH143" s="71"/>
      <c r="AI143" s="72"/>
      <c r="AN143" s="76" t="s">
        <v>387</v>
      </c>
      <c r="AO143" s="71"/>
      <c r="AP143" s="71"/>
      <c r="AQ143" s="71" t="s">
        <v>370</v>
      </c>
      <c r="AR143" s="71"/>
      <c r="AS143" s="71"/>
      <c r="AT143" s="34"/>
      <c r="AU143" s="71" t="s">
        <v>352</v>
      </c>
      <c r="AV143" s="71"/>
      <c r="AW143" s="71"/>
      <c r="AX143" s="71" t="s">
        <v>405</v>
      </c>
      <c r="AY143" s="71"/>
      <c r="AZ143" s="71"/>
      <c r="BA143" s="34"/>
      <c r="BB143" s="71" t="s">
        <v>347</v>
      </c>
      <c r="BC143" s="71"/>
      <c r="BD143" s="71"/>
      <c r="BE143" s="71" t="s">
        <v>453</v>
      </c>
      <c r="BF143" s="71"/>
      <c r="BG143" s="71"/>
      <c r="BH143" s="34"/>
      <c r="BI143" s="71" t="s">
        <v>306</v>
      </c>
      <c r="BJ143" s="71"/>
      <c r="BK143" s="71"/>
      <c r="BL143" s="71" t="s">
        <v>512</v>
      </c>
      <c r="BM143" s="71"/>
      <c r="BN143" s="71"/>
      <c r="BO143" s="33"/>
      <c r="BP143" s="71" t="s">
        <v>353</v>
      </c>
      <c r="BQ143" s="71"/>
      <c r="BR143" s="71"/>
      <c r="BS143" s="71" t="s">
        <v>409</v>
      </c>
      <c r="BT143" s="71"/>
      <c r="BU143" s="72"/>
    </row>
    <row r="144" spans="2:73" ht="27" customHeight="1" x14ac:dyDescent="0.25">
      <c r="B144" s="78">
        <v>881</v>
      </c>
      <c r="C144" s="74"/>
      <c r="D144" s="75"/>
      <c r="E144" s="73">
        <v>882</v>
      </c>
      <c r="F144" s="74"/>
      <c r="G144" s="75"/>
      <c r="H144" s="34"/>
      <c r="I144" s="73">
        <v>883</v>
      </c>
      <c r="J144" s="74"/>
      <c r="K144" s="75"/>
      <c r="L144" s="73">
        <v>884</v>
      </c>
      <c r="M144" s="74"/>
      <c r="N144" s="75"/>
      <c r="O144" s="34"/>
      <c r="P144" s="73">
        <v>885</v>
      </c>
      <c r="Q144" s="74"/>
      <c r="R144" s="75"/>
      <c r="S144" s="73">
        <v>886</v>
      </c>
      <c r="T144" s="74"/>
      <c r="U144" s="75"/>
      <c r="V144" s="34"/>
      <c r="W144" s="73">
        <v>887</v>
      </c>
      <c r="X144" s="74"/>
      <c r="Y144" s="75"/>
      <c r="Z144" s="73">
        <v>888</v>
      </c>
      <c r="AA144" s="74"/>
      <c r="AB144" s="75"/>
      <c r="AC144" s="33"/>
      <c r="AD144" s="73">
        <v>889</v>
      </c>
      <c r="AE144" s="74"/>
      <c r="AF144" s="75"/>
      <c r="AG144" s="73">
        <v>890</v>
      </c>
      <c r="AH144" s="74"/>
      <c r="AI144" s="77"/>
      <c r="AN144" s="78">
        <v>891</v>
      </c>
      <c r="AO144" s="74"/>
      <c r="AP144" s="75"/>
      <c r="AQ144" s="73">
        <v>892</v>
      </c>
      <c r="AR144" s="74"/>
      <c r="AS144" s="75"/>
      <c r="AT144" s="34"/>
      <c r="AU144" s="73">
        <v>893</v>
      </c>
      <c r="AV144" s="74"/>
      <c r="AW144" s="75"/>
      <c r="AX144" s="73">
        <v>894</v>
      </c>
      <c r="AY144" s="74"/>
      <c r="AZ144" s="75"/>
      <c r="BA144" s="34"/>
      <c r="BB144" s="73">
        <v>895</v>
      </c>
      <c r="BC144" s="74"/>
      <c r="BD144" s="75"/>
      <c r="BE144" s="73">
        <v>896</v>
      </c>
      <c r="BF144" s="74"/>
      <c r="BG144" s="75"/>
      <c r="BH144" s="34"/>
      <c r="BI144" s="73">
        <v>897</v>
      </c>
      <c r="BJ144" s="74"/>
      <c r="BK144" s="75"/>
      <c r="BL144" s="73">
        <v>898</v>
      </c>
      <c r="BM144" s="74"/>
      <c r="BN144" s="75"/>
      <c r="BO144" s="33"/>
      <c r="BP144" s="73">
        <v>899</v>
      </c>
      <c r="BQ144" s="74"/>
      <c r="BR144" s="75"/>
      <c r="BS144" s="73">
        <v>900</v>
      </c>
      <c r="BT144" s="74"/>
      <c r="BU144" s="77"/>
    </row>
    <row r="145" spans="2:73" ht="27" customHeight="1" x14ac:dyDescent="0.25">
      <c r="B145" s="38"/>
      <c r="C145" s="36"/>
      <c r="D145" s="36"/>
      <c r="E145" s="36"/>
      <c r="F145" s="36"/>
      <c r="G145" s="36"/>
      <c r="H145" s="34"/>
      <c r="I145" s="36"/>
      <c r="J145" s="36"/>
      <c r="K145" s="36"/>
      <c r="L145" s="36"/>
      <c r="M145" s="36"/>
      <c r="N145" s="36"/>
      <c r="O145" s="34"/>
      <c r="P145" s="36"/>
      <c r="Q145" s="36"/>
      <c r="R145" s="36"/>
      <c r="S145" s="36"/>
      <c r="T145" s="36"/>
      <c r="U145" s="36"/>
      <c r="V145" s="34"/>
      <c r="W145" s="36"/>
      <c r="X145" s="36"/>
      <c r="Y145" s="36"/>
      <c r="Z145" s="36"/>
      <c r="AA145" s="36"/>
      <c r="AB145" s="36"/>
      <c r="AC145" s="34"/>
      <c r="AD145" s="36"/>
      <c r="AE145" s="36"/>
      <c r="AF145" s="36"/>
      <c r="AG145" s="36"/>
      <c r="AH145" s="36"/>
      <c r="AI145" s="37"/>
      <c r="AN145" s="38"/>
      <c r="AO145" s="36"/>
      <c r="AP145" s="36"/>
      <c r="AQ145" s="36"/>
      <c r="AR145" s="36"/>
      <c r="AS145" s="36"/>
      <c r="AT145" s="34"/>
      <c r="AU145" s="36"/>
      <c r="AV145" s="36"/>
      <c r="AW145" s="36"/>
      <c r="AX145" s="36"/>
      <c r="AY145" s="36"/>
      <c r="AZ145" s="36"/>
      <c r="BA145" s="34"/>
      <c r="BB145" s="36"/>
      <c r="BC145" s="36"/>
      <c r="BD145" s="36"/>
      <c r="BE145" s="36"/>
      <c r="BF145" s="36"/>
      <c r="BG145" s="36"/>
      <c r="BH145" s="34"/>
      <c r="BI145" s="36"/>
      <c r="BJ145" s="36"/>
      <c r="BK145" s="36"/>
      <c r="BL145" s="36"/>
      <c r="BM145" s="36"/>
      <c r="BN145" s="36"/>
      <c r="BO145" s="34"/>
      <c r="BP145" s="36"/>
      <c r="BQ145" s="36"/>
      <c r="BR145" s="36"/>
      <c r="BS145" s="36"/>
      <c r="BT145" s="36"/>
      <c r="BU145" s="37"/>
    </row>
    <row r="146" spans="2:73" ht="54" customHeight="1" x14ac:dyDescent="0.25">
      <c r="B146" s="76" t="s">
        <v>324</v>
      </c>
      <c r="C146" s="71"/>
      <c r="D146" s="71"/>
      <c r="E146" s="71" t="s">
        <v>379</v>
      </c>
      <c r="F146" s="71"/>
      <c r="G146" s="71"/>
      <c r="H146" s="34"/>
      <c r="I146" s="71" t="s">
        <v>349</v>
      </c>
      <c r="J146" s="71"/>
      <c r="K146" s="71"/>
      <c r="L146" s="71" t="s">
        <v>323</v>
      </c>
      <c r="M146" s="71"/>
      <c r="N146" s="71"/>
      <c r="O146" s="34"/>
      <c r="P146" s="71" t="s">
        <v>441</v>
      </c>
      <c r="Q146" s="71"/>
      <c r="R146" s="71"/>
      <c r="S146" s="71" t="s">
        <v>342</v>
      </c>
      <c r="T146" s="71"/>
      <c r="U146" s="71"/>
      <c r="V146" s="34"/>
      <c r="W146" s="71" t="s">
        <v>508</v>
      </c>
      <c r="X146" s="71"/>
      <c r="Y146" s="71"/>
      <c r="Z146" s="71" t="s">
        <v>344</v>
      </c>
      <c r="AA146" s="71"/>
      <c r="AB146" s="71"/>
      <c r="AC146" s="33"/>
      <c r="AD146" s="71" t="s">
        <v>445</v>
      </c>
      <c r="AE146" s="71"/>
      <c r="AF146" s="71"/>
      <c r="AG146" s="71" t="s">
        <v>432</v>
      </c>
      <c r="AH146" s="71"/>
      <c r="AI146" s="72"/>
      <c r="AN146" s="76" t="s">
        <v>455</v>
      </c>
      <c r="AO146" s="71"/>
      <c r="AP146" s="71"/>
      <c r="AQ146" s="71" t="s">
        <v>506</v>
      </c>
      <c r="AR146" s="71"/>
      <c r="AS146" s="71"/>
      <c r="AT146" s="34"/>
      <c r="AU146" s="71" t="s">
        <v>382</v>
      </c>
      <c r="AV146" s="71"/>
      <c r="AW146" s="71"/>
      <c r="AX146" s="71" t="s">
        <v>462</v>
      </c>
      <c r="AY146" s="71"/>
      <c r="AZ146" s="71"/>
      <c r="BA146" s="34"/>
      <c r="BB146" s="71" t="s">
        <v>363</v>
      </c>
      <c r="BC146" s="71"/>
      <c r="BD146" s="71"/>
      <c r="BE146" s="71" t="s">
        <v>391</v>
      </c>
      <c r="BF146" s="71"/>
      <c r="BG146" s="71"/>
      <c r="BH146" s="34"/>
      <c r="BI146" s="71" t="s">
        <v>375</v>
      </c>
      <c r="BJ146" s="71"/>
      <c r="BK146" s="71"/>
      <c r="BL146" s="71" t="s">
        <v>374</v>
      </c>
      <c r="BM146" s="71"/>
      <c r="BN146" s="71"/>
      <c r="BO146" s="33"/>
      <c r="BP146" s="71" t="s">
        <v>422</v>
      </c>
      <c r="BQ146" s="71"/>
      <c r="BR146" s="71"/>
      <c r="BS146" s="71" t="s">
        <v>457</v>
      </c>
      <c r="BT146" s="71"/>
      <c r="BU146" s="72"/>
    </row>
    <row r="147" spans="2:73" ht="27" customHeight="1" x14ac:dyDescent="0.25">
      <c r="B147" s="78">
        <v>901</v>
      </c>
      <c r="C147" s="74"/>
      <c r="D147" s="75"/>
      <c r="E147" s="73">
        <v>902</v>
      </c>
      <c r="F147" s="74"/>
      <c r="G147" s="75"/>
      <c r="H147" s="34"/>
      <c r="I147" s="73">
        <v>903</v>
      </c>
      <c r="J147" s="74"/>
      <c r="K147" s="75"/>
      <c r="L147" s="73">
        <v>904</v>
      </c>
      <c r="M147" s="74"/>
      <c r="N147" s="75"/>
      <c r="O147" s="34"/>
      <c r="P147" s="73">
        <v>905</v>
      </c>
      <c r="Q147" s="74"/>
      <c r="R147" s="75"/>
      <c r="S147" s="73">
        <v>906</v>
      </c>
      <c r="T147" s="74"/>
      <c r="U147" s="75"/>
      <c r="V147" s="34"/>
      <c r="W147" s="73">
        <v>907</v>
      </c>
      <c r="X147" s="74"/>
      <c r="Y147" s="75"/>
      <c r="Z147" s="73">
        <v>908</v>
      </c>
      <c r="AA147" s="74"/>
      <c r="AB147" s="75"/>
      <c r="AC147" s="33"/>
      <c r="AD147" s="73">
        <v>909</v>
      </c>
      <c r="AE147" s="74"/>
      <c r="AF147" s="75"/>
      <c r="AG147" s="73">
        <v>910</v>
      </c>
      <c r="AH147" s="74"/>
      <c r="AI147" s="77"/>
      <c r="AN147" s="78">
        <v>911</v>
      </c>
      <c r="AO147" s="74"/>
      <c r="AP147" s="75"/>
      <c r="AQ147" s="73">
        <v>912</v>
      </c>
      <c r="AR147" s="74"/>
      <c r="AS147" s="75"/>
      <c r="AT147" s="34"/>
      <c r="AU147" s="73">
        <v>913</v>
      </c>
      <c r="AV147" s="74"/>
      <c r="AW147" s="75"/>
      <c r="AX147" s="73">
        <v>914</v>
      </c>
      <c r="AY147" s="74"/>
      <c r="AZ147" s="75"/>
      <c r="BA147" s="34"/>
      <c r="BB147" s="73">
        <v>915</v>
      </c>
      <c r="BC147" s="74"/>
      <c r="BD147" s="75"/>
      <c r="BE147" s="73">
        <v>916</v>
      </c>
      <c r="BF147" s="74"/>
      <c r="BG147" s="75"/>
      <c r="BH147" s="34"/>
      <c r="BI147" s="73">
        <v>917</v>
      </c>
      <c r="BJ147" s="74"/>
      <c r="BK147" s="75"/>
      <c r="BL147" s="73">
        <v>918</v>
      </c>
      <c r="BM147" s="74"/>
      <c r="BN147" s="75"/>
      <c r="BO147" s="33"/>
      <c r="BP147" s="73">
        <v>919</v>
      </c>
      <c r="BQ147" s="74"/>
      <c r="BR147" s="75"/>
      <c r="BS147" s="73">
        <v>920</v>
      </c>
      <c r="BT147" s="74"/>
      <c r="BU147" s="77"/>
    </row>
    <row r="148" spans="2:73" ht="27" customHeight="1" x14ac:dyDescent="0.25">
      <c r="B148" s="38"/>
      <c r="C148" s="36"/>
      <c r="D148" s="36"/>
      <c r="E148" s="36"/>
      <c r="F148" s="36"/>
      <c r="G148" s="36"/>
      <c r="H148" s="34"/>
      <c r="I148" s="36"/>
      <c r="J148" s="36"/>
      <c r="K148" s="36"/>
      <c r="L148" s="36"/>
      <c r="M148" s="36"/>
      <c r="N148" s="36"/>
      <c r="O148" s="34"/>
      <c r="P148" s="36"/>
      <c r="Q148" s="36"/>
      <c r="R148" s="36"/>
      <c r="S148" s="36"/>
      <c r="T148" s="36"/>
      <c r="U148" s="36"/>
      <c r="V148" s="34"/>
      <c r="W148" s="36"/>
      <c r="X148" s="36"/>
      <c r="Y148" s="36"/>
      <c r="Z148" s="36"/>
      <c r="AA148" s="36"/>
      <c r="AB148" s="36"/>
      <c r="AC148" s="34"/>
      <c r="AD148" s="36"/>
      <c r="AE148" s="36"/>
      <c r="AF148" s="36"/>
      <c r="AG148" s="36"/>
      <c r="AH148" s="36"/>
      <c r="AI148" s="37"/>
      <c r="AN148" s="38"/>
      <c r="AO148" s="36"/>
      <c r="AP148" s="36"/>
      <c r="AQ148" s="36"/>
      <c r="AR148" s="36"/>
      <c r="AS148" s="36"/>
      <c r="AT148" s="34"/>
      <c r="AU148" s="36"/>
      <c r="AV148" s="36"/>
      <c r="AW148" s="36"/>
      <c r="AX148" s="36"/>
      <c r="AY148" s="36"/>
      <c r="AZ148" s="36"/>
      <c r="BA148" s="34"/>
      <c r="BB148" s="36"/>
      <c r="BC148" s="36"/>
      <c r="BD148" s="36"/>
      <c r="BE148" s="36"/>
      <c r="BF148" s="36"/>
      <c r="BG148" s="36"/>
      <c r="BH148" s="34"/>
      <c r="BI148" s="36"/>
      <c r="BJ148" s="36"/>
      <c r="BK148" s="36"/>
      <c r="BL148" s="36"/>
      <c r="BM148" s="36"/>
      <c r="BN148" s="36"/>
      <c r="BO148" s="34"/>
      <c r="BP148" s="36"/>
      <c r="BQ148" s="36"/>
      <c r="BR148" s="36"/>
      <c r="BS148" s="36"/>
      <c r="BT148" s="36"/>
      <c r="BU148" s="37"/>
    </row>
    <row r="149" spans="2:73" ht="54" customHeight="1" x14ac:dyDescent="0.25">
      <c r="B149" s="76" t="s">
        <v>364</v>
      </c>
      <c r="C149" s="71"/>
      <c r="D149" s="71"/>
      <c r="E149" s="71" t="s">
        <v>394</v>
      </c>
      <c r="F149" s="71"/>
      <c r="G149" s="71"/>
      <c r="H149" s="34"/>
      <c r="I149" s="71" t="s">
        <v>340</v>
      </c>
      <c r="J149" s="71"/>
      <c r="K149" s="71"/>
      <c r="L149" s="71" t="s">
        <v>510</v>
      </c>
      <c r="M149" s="71"/>
      <c r="N149" s="71"/>
      <c r="O149" s="34"/>
      <c r="P149" s="71" t="s">
        <v>408</v>
      </c>
      <c r="Q149" s="71"/>
      <c r="R149" s="71"/>
      <c r="S149" s="71" t="s">
        <v>373</v>
      </c>
      <c r="T149" s="71"/>
      <c r="U149" s="71"/>
      <c r="V149" s="34"/>
      <c r="W149" s="71" t="s">
        <v>319</v>
      </c>
      <c r="X149" s="71"/>
      <c r="Y149" s="71"/>
      <c r="Z149" s="71" t="s">
        <v>385</v>
      </c>
      <c r="AA149" s="71"/>
      <c r="AB149" s="71"/>
      <c r="AC149" s="33"/>
      <c r="AD149" s="71" t="s">
        <v>376</v>
      </c>
      <c r="AE149" s="71"/>
      <c r="AF149" s="71"/>
      <c r="AG149" s="71" t="s">
        <v>357</v>
      </c>
      <c r="AH149" s="71"/>
      <c r="AI149" s="72"/>
      <c r="AN149" s="76" t="s">
        <v>465</v>
      </c>
      <c r="AO149" s="71"/>
      <c r="AP149" s="71"/>
      <c r="AQ149" s="71" t="s">
        <v>425</v>
      </c>
      <c r="AR149" s="71"/>
      <c r="AS149" s="71"/>
      <c r="AT149" s="34"/>
      <c r="AU149" s="71" t="s">
        <v>458</v>
      </c>
      <c r="AV149" s="71"/>
      <c r="AW149" s="71"/>
      <c r="AX149" s="71" t="s">
        <v>466</v>
      </c>
      <c r="AY149" s="71"/>
      <c r="AZ149" s="71"/>
      <c r="BA149" s="34"/>
      <c r="BB149" s="71" t="s">
        <v>356</v>
      </c>
      <c r="BC149" s="71"/>
      <c r="BD149" s="71"/>
      <c r="BE149" s="71" t="s">
        <v>380</v>
      </c>
      <c r="BF149" s="71"/>
      <c r="BG149" s="71"/>
      <c r="BH149" s="34"/>
      <c r="BI149" s="71" t="s">
        <v>419</v>
      </c>
      <c r="BJ149" s="71"/>
      <c r="BK149" s="71"/>
      <c r="BL149" s="71" t="s">
        <v>316</v>
      </c>
      <c r="BM149" s="71"/>
      <c r="BN149" s="71"/>
      <c r="BO149" s="33"/>
      <c r="BP149" s="71" t="s">
        <v>418</v>
      </c>
      <c r="BQ149" s="71"/>
      <c r="BR149" s="71"/>
      <c r="BS149" s="71" t="s">
        <v>389</v>
      </c>
      <c r="BT149" s="71"/>
      <c r="BU149" s="72"/>
    </row>
    <row r="150" spans="2:73" ht="27" customHeight="1" x14ac:dyDescent="0.25">
      <c r="B150" s="78">
        <v>921</v>
      </c>
      <c r="C150" s="74"/>
      <c r="D150" s="75"/>
      <c r="E150" s="73">
        <v>922</v>
      </c>
      <c r="F150" s="74"/>
      <c r="G150" s="75"/>
      <c r="H150" s="34"/>
      <c r="I150" s="73">
        <v>923</v>
      </c>
      <c r="J150" s="74"/>
      <c r="K150" s="75"/>
      <c r="L150" s="73">
        <v>924</v>
      </c>
      <c r="M150" s="74"/>
      <c r="N150" s="75"/>
      <c r="O150" s="34"/>
      <c r="P150" s="73">
        <v>925</v>
      </c>
      <c r="Q150" s="74"/>
      <c r="R150" s="75"/>
      <c r="S150" s="73">
        <v>926</v>
      </c>
      <c r="T150" s="74"/>
      <c r="U150" s="75"/>
      <c r="V150" s="34"/>
      <c r="W150" s="73">
        <v>927</v>
      </c>
      <c r="X150" s="74"/>
      <c r="Y150" s="75"/>
      <c r="Z150" s="73">
        <v>928</v>
      </c>
      <c r="AA150" s="74"/>
      <c r="AB150" s="75"/>
      <c r="AC150" s="33"/>
      <c r="AD150" s="73">
        <v>929</v>
      </c>
      <c r="AE150" s="74"/>
      <c r="AF150" s="75"/>
      <c r="AG150" s="73">
        <v>930</v>
      </c>
      <c r="AH150" s="74"/>
      <c r="AI150" s="77"/>
      <c r="AN150" s="78">
        <v>931</v>
      </c>
      <c r="AO150" s="74"/>
      <c r="AP150" s="75"/>
      <c r="AQ150" s="73">
        <v>932</v>
      </c>
      <c r="AR150" s="74"/>
      <c r="AS150" s="75"/>
      <c r="AT150" s="34"/>
      <c r="AU150" s="73">
        <v>933</v>
      </c>
      <c r="AV150" s="74"/>
      <c r="AW150" s="75"/>
      <c r="AX150" s="73">
        <v>934</v>
      </c>
      <c r="AY150" s="74"/>
      <c r="AZ150" s="75"/>
      <c r="BA150" s="34"/>
      <c r="BB150" s="73">
        <v>935</v>
      </c>
      <c r="BC150" s="74"/>
      <c r="BD150" s="75"/>
      <c r="BE150" s="73">
        <v>936</v>
      </c>
      <c r="BF150" s="74"/>
      <c r="BG150" s="75"/>
      <c r="BH150" s="34"/>
      <c r="BI150" s="73">
        <v>937</v>
      </c>
      <c r="BJ150" s="74"/>
      <c r="BK150" s="75"/>
      <c r="BL150" s="73">
        <v>938</v>
      </c>
      <c r="BM150" s="74"/>
      <c r="BN150" s="75"/>
      <c r="BO150" s="33"/>
      <c r="BP150" s="73">
        <v>939</v>
      </c>
      <c r="BQ150" s="74"/>
      <c r="BR150" s="75"/>
      <c r="BS150" s="73">
        <v>940</v>
      </c>
      <c r="BT150" s="74"/>
      <c r="BU150" s="77"/>
    </row>
    <row r="151" spans="2:73" ht="27" customHeight="1" x14ac:dyDescent="0.25">
      <c r="B151" s="38"/>
      <c r="C151" s="36"/>
      <c r="D151" s="36"/>
      <c r="E151" s="36"/>
      <c r="F151" s="36"/>
      <c r="G151" s="36"/>
      <c r="H151" s="34"/>
      <c r="I151" s="36"/>
      <c r="J151" s="36"/>
      <c r="K151" s="36"/>
      <c r="L151" s="36"/>
      <c r="M151" s="36"/>
      <c r="N151" s="36"/>
      <c r="O151" s="34"/>
      <c r="P151" s="36"/>
      <c r="Q151" s="36"/>
      <c r="R151" s="36"/>
      <c r="S151" s="36"/>
      <c r="T151" s="36"/>
      <c r="U151" s="36"/>
      <c r="V151" s="34"/>
      <c r="W151" s="36"/>
      <c r="X151" s="36"/>
      <c r="Y151" s="36"/>
      <c r="Z151" s="36"/>
      <c r="AA151" s="36"/>
      <c r="AB151" s="36"/>
      <c r="AC151" s="34"/>
      <c r="AD151" s="36"/>
      <c r="AE151" s="36"/>
      <c r="AF151" s="36"/>
      <c r="AG151" s="36"/>
      <c r="AH151" s="36"/>
      <c r="AI151" s="37"/>
      <c r="AN151" s="38"/>
      <c r="AO151" s="36"/>
      <c r="AP151" s="36"/>
      <c r="AQ151" s="36"/>
      <c r="AR151" s="36"/>
      <c r="AS151" s="36"/>
      <c r="AT151" s="34"/>
      <c r="AU151" s="36"/>
      <c r="AV151" s="36"/>
      <c r="AW151" s="36"/>
      <c r="AX151" s="36"/>
      <c r="AY151" s="36"/>
      <c r="AZ151" s="36"/>
      <c r="BA151" s="34"/>
      <c r="BB151" s="36"/>
      <c r="BC151" s="36"/>
      <c r="BD151" s="36"/>
      <c r="BE151" s="36"/>
      <c r="BF151" s="36"/>
      <c r="BG151" s="36"/>
      <c r="BH151" s="34"/>
      <c r="BI151" s="36"/>
      <c r="BJ151" s="36"/>
      <c r="BK151" s="36"/>
      <c r="BL151" s="36"/>
      <c r="BM151" s="36"/>
      <c r="BN151" s="36"/>
      <c r="BO151" s="34"/>
      <c r="BP151" s="36"/>
      <c r="BQ151" s="36"/>
      <c r="BR151" s="36"/>
      <c r="BS151" s="36"/>
      <c r="BT151" s="36"/>
      <c r="BU151" s="37"/>
    </row>
    <row r="152" spans="2:73" ht="54" customHeight="1" x14ac:dyDescent="0.25">
      <c r="B152" s="76" t="s">
        <v>392</v>
      </c>
      <c r="C152" s="71"/>
      <c r="D152" s="71"/>
      <c r="E152" s="71" t="s">
        <v>468</v>
      </c>
      <c r="F152" s="71"/>
      <c r="G152" s="71"/>
      <c r="H152" s="34"/>
      <c r="I152" s="71" t="s">
        <v>317</v>
      </c>
      <c r="J152" s="71"/>
      <c r="K152" s="71"/>
      <c r="L152" s="71" t="s">
        <v>521</v>
      </c>
      <c r="M152" s="71"/>
      <c r="N152" s="71"/>
      <c r="O152" s="34"/>
      <c r="P152" s="71" t="s">
        <v>464</v>
      </c>
      <c r="Q152" s="71"/>
      <c r="R152" s="71"/>
      <c r="S152" s="71" t="s">
        <v>333</v>
      </c>
      <c r="T152" s="71"/>
      <c r="U152" s="71"/>
      <c r="V152" s="34"/>
      <c r="W152" s="71" t="s">
        <v>443</v>
      </c>
      <c r="X152" s="71"/>
      <c r="Y152" s="71"/>
      <c r="Z152" s="71" t="s">
        <v>404</v>
      </c>
      <c r="AA152" s="71"/>
      <c r="AB152" s="71"/>
      <c r="AC152" s="33"/>
      <c r="AD152" s="71" t="s">
        <v>451</v>
      </c>
      <c r="AE152" s="71"/>
      <c r="AF152" s="71"/>
      <c r="AG152" s="71" t="s">
        <v>345</v>
      </c>
      <c r="AH152" s="71"/>
      <c r="AI152" s="72"/>
      <c r="AN152" s="76" t="s">
        <v>332</v>
      </c>
      <c r="AO152" s="71"/>
      <c r="AP152" s="71"/>
      <c r="AQ152" s="71" t="s">
        <v>517</v>
      </c>
      <c r="AR152" s="71"/>
      <c r="AS152" s="71"/>
      <c r="AT152" s="34"/>
      <c r="AU152" s="71" t="s">
        <v>446</v>
      </c>
      <c r="AV152" s="71"/>
      <c r="AW152" s="71"/>
      <c r="AX152" s="71" t="s">
        <v>426</v>
      </c>
      <c r="AY152" s="71"/>
      <c r="AZ152" s="71"/>
      <c r="BA152" s="34"/>
      <c r="BB152" s="71" t="s">
        <v>403</v>
      </c>
      <c r="BC152" s="71"/>
      <c r="BD152" s="71"/>
      <c r="BE152" s="71" t="s">
        <v>513</v>
      </c>
      <c r="BF152" s="71"/>
      <c r="BG152" s="71"/>
      <c r="BH152" s="34"/>
      <c r="BI152" s="71" t="s">
        <v>320</v>
      </c>
      <c r="BJ152" s="71"/>
      <c r="BK152" s="71"/>
      <c r="BL152" s="71" t="s">
        <v>369</v>
      </c>
      <c r="BM152" s="71"/>
      <c r="BN152" s="71"/>
      <c r="BO152" s="33"/>
      <c r="BP152" s="71" t="s">
        <v>372</v>
      </c>
      <c r="BQ152" s="71"/>
      <c r="BR152" s="71"/>
      <c r="BS152" s="71" t="s">
        <v>348</v>
      </c>
      <c r="BT152" s="71"/>
      <c r="BU152" s="72"/>
    </row>
    <row r="153" spans="2:73" ht="27" customHeight="1" x14ac:dyDescent="0.25">
      <c r="B153" s="78">
        <v>941</v>
      </c>
      <c r="C153" s="74"/>
      <c r="D153" s="75"/>
      <c r="E153" s="73">
        <v>942</v>
      </c>
      <c r="F153" s="74"/>
      <c r="G153" s="75"/>
      <c r="H153" s="34"/>
      <c r="I153" s="73">
        <v>943</v>
      </c>
      <c r="J153" s="74"/>
      <c r="K153" s="75"/>
      <c r="L153" s="73">
        <v>944</v>
      </c>
      <c r="M153" s="74"/>
      <c r="N153" s="75"/>
      <c r="O153" s="34"/>
      <c r="P153" s="73">
        <v>945</v>
      </c>
      <c r="Q153" s="74"/>
      <c r="R153" s="75"/>
      <c r="S153" s="73">
        <v>946</v>
      </c>
      <c r="T153" s="74"/>
      <c r="U153" s="75"/>
      <c r="V153" s="34"/>
      <c r="W153" s="73">
        <v>947</v>
      </c>
      <c r="X153" s="74"/>
      <c r="Y153" s="75"/>
      <c r="Z153" s="73">
        <v>948</v>
      </c>
      <c r="AA153" s="74"/>
      <c r="AB153" s="75"/>
      <c r="AC153" s="33"/>
      <c r="AD153" s="73">
        <v>949</v>
      </c>
      <c r="AE153" s="74"/>
      <c r="AF153" s="75"/>
      <c r="AG153" s="73">
        <v>950</v>
      </c>
      <c r="AH153" s="74"/>
      <c r="AI153" s="77"/>
      <c r="AN153" s="78">
        <v>951</v>
      </c>
      <c r="AO153" s="74"/>
      <c r="AP153" s="75"/>
      <c r="AQ153" s="73">
        <v>952</v>
      </c>
      <c r="AR153" s="74"/>
      <c r="AS153" s="75"/>
      <c r="AT153" s="34"/>
      <c r="AU153" s="73">
        <v>953</v>
      </c>
      <c r="AV153" s="74"/>
      <c r="AW153" s="75"/>
      <c r="AX153" s="73">
        <v>954</v>
      </c>
      <c r="AY153" s="74"/>
      <c r="AZ153" s="75"/>
      <c r="BA153" s="34"/>
      <c r="BB153" s="73">
        <v>955</v>
      </c>
      <c r="BC153" s="74"/>
      <c r="BD153" s="75"/>
      <c r="BE153" s="73">
        <v>956</v>
      </c>
      <c r="BF153" s="74"/>
      <c r="BG153" s="75"/>
      <c r="BH153" s="34"/>
      <c r="BI153" s="73">
        <v>957</v>
      </c>
      <c r="BJ153" s="74"/>
      <c r="BK153" s="75"/>
      <c r="BL153" s="73">
        <v>958</v>
      </c>
      <c r="BM153" s="74"/>
      <c r="BN153" s="75"/>
      <c r="BO153" s="33"/>
      <c r="BP153" s="73">
        <v>959</v>
      </c>
      <c r="BQ153" s="74"/>
      <c r="BR153" s="75"/>
      <c r="BS153" s="73">
        <v>960</v>
      </c>
      <c r="BT153" s="74"/>
      <c r="BU153" s="77"/>
    </row>
    <row r="154" spans="2:73" ht="27" customHeight="1" x14ac:dyDescent="0.25">
      <c r="B154" s="38"/>
      <c r="C154" s="36"/>
      <c r="D154" s="36"/>
      <c r="E154" s="36"/>
      <c r="F154" s="36"/>
      <c r="G154" s="36"/>
      <c r="H154" s="34"/>
      <c r="I154" s="36"/>
      <c r="J154" s="36"/>
      <c r="K154" s="36"/>
      <c r="L154" s="36"/>
      <c r="M154" s="36"/>
      <c r="N154" s="36"/>
      <c r="O154" s="34"/>
      <c r="P154" s="36"/>
      <c r="Q154" s="36"/>
      <c r="R154" s="36"/>
      <c r="S154" s="36"/>
      <c r="T154" s="36"/>
      <c r="U154" s="36"/>
      <c r="V154" s="34"/>
      <c r="W154" s="36"/>
      <c r="X154" s="36"/>
      <c r="Y154" s="36"/>
      <c r="Z154" s="36"/>
      <c r="AA154" s="36"/>
      <c r="AB154" s="36"/>
      <c r="AC154" s="34"/>
      <c r="AD154" s="36"/>
      <c r="AE154" s="36"/>
      <c r="AF154" s="36"/>
      <c r="AG154" s="36"/>
      <c r="AH154" s="36"/>
      <c r="AI154" s="37"/>
      <c r="AN154" s="38"/>
      <c r="AO154" s="36"/>
      <c r="AP154" s="36"/>
      <c r="AQ154" s="36"/>
      <c r="AR154" s="36"/>
      <c r="AS154" s="36"/>
      <c r="AT154" s="34"/>
      <c r="AU154" s="36"/>
      <c r="AV154" s="36"/>
      <c r="AW154" s="36"/>
      <c r="AX154" s="36"/>
      <c r="AY154" s="36"/>
      <c r="AZ154" s="36"/>
      <c r="BA154" s="34"/>
      <c r="BB154" s="36"/>
      <c r="BC154" s="36"/>
      <c r="BD154" s="36"/>
      <c r="BE154" s="36"/>
      <c r="BF154" s="36"/>
      <c r="BG154" s="36"/>
      <c r="BH154" s="34"/>
      <c r="BI154" s="36"/>
      <c r="BJ154" s="36"/>
      <c r="BK154" s="36"/>
      <c r="BL154" s="36"/>
      <c r="BM154" s="36"/>
      <c r="BN154" s="36"/>
      <c r="BO154" s="34"/>
      <c r="BP154" s="36"/>
      <c r="BQ154" s="36"/>
      <c r="BR154" s="36"/>
      <c r="BS154" s="36"/>
      <c r="BT154" s="36"/>
      <c r="BU154" s="37"/>
    </row>
    <row r="155" spans="2:73" ht="54" customHeight="1" x14ac:dyDescent="0.25">
      <c r="B155" s="76" t="s">
        <v>330</v>
      </c>
      <c r="C155" s="71"/>
      <c r="D155" s="71"/>
      <c r="E155" s="71" t="s">
        <v>433</v>
      </c>
      <c r="F155" s="71"/>
      <c r="G155" s="71"/>
      <c r="H155" s="34"/>
      <c r="I155" s="71" t="s">
        <v>393</v>
      </c>
      <c r="J155" s="71"/>
      <c r="K155" s="71"/>
      <c r="L155" s="71" t="s">
        <v>442</v>
      </c>
      <c r="M155" s="71"/>
      <c r="N155" s="71"/>
      <c r="O155" s="34"/>
      <c r="P155" s="71" t="s">
        <v>384</v>
      </c>
      <c r="Q155" s="71"/>
      <c r="R155" s="71"/>
      <c r="S155" s="71" t="s">
        <v>358</v>
      </c>
      <c r="T155" s="71"/>
      <c r="U155" s="71"/>
      <c r="V155" s="34"/>
      <c r="W155" s="71" t="s">
        <v>450</v>
      </c>
      <c r="X155" s="71"/>
      <c r="Y155" s="71"/>
      <c r="Z155" s="71" t="s">
        <v>437</v>
      </c>
      <c r="AA155" s="71"/>
      <c r="AB155" s="71"/>
      <c r="AC155" s="33"/>
      <c r="AD155" s="71" t="s">
        <v>436</v>
      </c>
      <c r="AE155" s="71"/>
      <c r="AF155" s="71"/>
      <c r="AG155" s="71" t="s">
        <v>315</v>
      </c>
      <c r="AH155" s="71"/>
      <c r="AI155" s="72"/>
      <c r="AN155" s="76" t="s">
        <v>329</v>
      </c>
      <c r="AO155" s="71"/>
      <c r="AP155" s="71"/>
      <c r="AQ155" s="71" t="s">
        <v>361</v>
      </c>
      <c r="AR155" s="71"/>
      <c r="AS155" s="71"/>
      <c r="AT155" s="34"/>
      <c r="AU155" s="71" t="s">
        <v>325</v>
      </c>
      <c r="AV155" s="71"/>
      <c r="AW155" s="71"/>
      <c r="AX155" s="71" t="s">
        <v>509</v>
      </c>
      <c r="AY155" s="71"/>
      <c r="AZ155" s="71"/>
      <c r="BA155" s="34"/>
      <c r="BB155" s="71" t="s">
        <v>381</v>
      </c>
      <c r="BC155" s="71"/>
      <c r="BD155" s="71"/>
      <c r="BE155" s="71" t="s">
        <v>428</v>
      </c>
      <c r="BF155" s="71"/>
      <c r="BG155" s="71"/>
      <c r="BH155" s="34"/>
      <c r="BI155" s="71" t="s">
        <v>467</v>
      </c>
      <c r="BJ155" s="71"/>
      <c r="BK155" s="71"/>
      <c r="BL155" s="71" t="s">
        <v>460</v>
      </c>
      <c r="BM155" s="71"/>
      <c r="BN155" s="71"/>
      <c r="BO155" s="33"/>
      <c r="BP155" s="71" t="s">
        <v>371</v>
      </c>
      <c r="BQ155" s="71"/>
      <c r="BR155" s="71"/>
      <c r="BS155" s="71" t="s">
        <v>456</v>
      </c>
      <c r="BT155" s="71"/>
      <c r="BU155" s="72"/>
    </row>
    <row r="156" spans="2:73" ht="27" customHeight="1" x14ac:dyDescent="0.25">
      <c r="B156" s="78">
        <v>961</v>
      </c>
      <c r="C156" s="74"/>
      <c r="D156" s="75"/>
      <c r="E156" s="73">
        <v>962</v>
      </c>
      <c r="F156" s="74"/>
      <c r="G156" s="75"/>
      <c r="H156" s="34"/>
      <c r="I156" s="73">
        <v>963</v>
      </c>
      <c r="J156" s="74"/>
      <c r="K156" s="75"/>
      <c r="L156" s="73">
        <v>964</v>
      </c>
      <c r="M156" s="74"/>
      <c r="N156" s="75"/>
      <c r="O156" s="34"/>
      <c r="P156" s="73">
        <v>965</v>
      </c>
      <c r="Q156" s="74"/>
      <c r="R156" s="75"/>
      <c r="S156" s="73">
        <v>966</v>
      </c>
      <c r="T156" s="74"/>
      <c r="U156" s="75"/>
      <c r="V156" s="34"/>
      <c r="W156" s="73">
        <v>967</v>
      </c>
      <c r="X156" s="74"/>
      <c r="Y156" s="75"/>
      <c r="Z156" s="73">
        <v>968</v>
      </c>
      <c r="AA156" s="74"/>
      <c r="AB156" s="75"/>
      <c r="AC156" s="33"/>
      <c r="AD156" s="73">
        <v>969</v>
      </c>
      <c r="AE156" s="74"/>
      <c r="AF156" s="75"/>
      <c r="AG156" s="73">
        <v>970</v>
      </c>
      <c r="AH156" s="74"/>
      <c r="AI156" s="77"/>
      <c r="AN156" s="78">
        <v>971</v>
      </c>
      <c r="AO156" s="74"/>
      <c r="AP156" s="75"/>
      <c r="AQ156" s="73">
        <v>972</v>
      </c>
      <c r="AR156" s="74"/>
      <c r="AS156" s="75"/>
      <c r="AT156" s="34"/>
      <c r="AU156" s="73">
        <v>973</v>
      </c>
      <c r="AV156" s="74"/>
      <c r="AW156" s="75"/>
      <c r="AX156" s="73">
        <v>974</v>
      </c>
      <c r="AY156" s="74"/>
      <c r="AZ156" s="75"/>
      <c r="BA156" s="34"/>
      <c r="BB156" s="73">
        <v>975</v>
      </c>
      <c r="BC156" s="74"/>
      <c r="BD156" s="75"/>
      <c r="BE156" s="73">
        <v>976</v>
      </c>
      <c r="BF156" s="74"/>
      <c r="BG156" s="75"/>
      <c r="BH156" s="34"/>
      <c r="BI156" s="73">
        <v>977</v>
      </c>
      <c r="BJ156" s="74"/>
      <c r="BK156" s="75"/>
      <c r="BL156" s="73">
        <v>978</v>
      </c>
      <c r="BM156" s="74"/>
      <c r="BN156" s="75"/>
      <c r="BO156" s="33"/>
      <c r="BP156" s="73">
        <v>979</v>
      </c>
      <c r="BQ156" s="74"/>
      <c r="BR156" s="75"/>
      <c r="BS156" s="73">
        <v>980</v>
      </c>
      <c r="BT156" s="74"/>
      <c r="BU156" s="77"/>
    </row>
    <row r="157" spans="2:73" ht="27" customHeight="1" x14ac:dyDescent="0.25">
      <c r="B157" s="38"/>
      <c r="C157" s="36"/>
      <c r="D157" s="36"/>
      <c r="E157" s="36"/>
      <c r="F157" s="36"/>
      <c r="G157" s="36"/>
      <c r="H157" s="34"/>
      <c r="I157" s="36"/>
      <c r="J157" s="36"/>
      <c r="K157" s="36"/>
      <c r="L157" s="36"/>
      <c r="M157" s="36"/>
      <c r="N157" s="36"/>
      <c r="O157" s="34"/>
      <c r="P157" s="36"/>
      <c r="Q157" s="36"/>
      <c r="R157" s="36"/>
      <c r="S157" s="36"/>
      <c r="T157" s="36"/>
      <c r="U157" s="36"/>
      <c r="V157" s="34"/>
      <c r="W157" s="36"/>
      <c r="X157" s="36"/>
      <c r="Y157" s="36"/>
      <c r="Z157" s="36"/>
      <c r="AA157" s="36"/>
      <c r="AB157" s="36"/>
      <c r="AC157" s="34"/>
      <c r="AD157" s="36"/>
      <c r="AE157" s="36"/>
      <c r="AF157" s="36"/>
      <c r="AG157" s="36"/>
      <c r="AH157" s="36"/>
      <c r="AI157" s="37"/>
      <c r="AN157" s="38"/>
      <c r="AO157" s="36"/>
      <c r="AP157" s="36"/>
      <c r="AQ157" s="36"/>
      <c r="AR157" s="36"/>
      <c r="AS157" s="36"/>
      <c r="AT157" s="34"/>
      <c r="AU157" s="36"/>
      <c r="AV157" s="36"/>
      <c r="AW157" s="36"/>
      <c r="AX157" s="36"/>
      <c r="AY157" s="36"/>
      <c r="AZ157" s="36"/>
      <c r="BA157" s="34"/>
      <c r="BB157" s="36"/>
      <c r="BC157" s="36"/>
      <c r="BD157" s="36"/>
      <c r="BE157" s="36"/>
      <c r="BF157" s="36"/>
      <c r="BG157" s="36"/>
      <c r="BI157" s="12"/>
      <c r="BJ157" s="12"/>
      <c r="BK157" s="12"/>
      <c r="BL157" s="12"/>
      <c r="BM157" s="12"/>
      <c r="BN157" s="12"/>
      <c r="BP157" s="12"/>
      <c r="BQ157" s="12"/>
      <c r="BR157" s="12"/>
      <c r="BS157" s="12"/>
      <c r="BT157" s="12"/>
      <c r="BU157" s="31"/>
    </row>
    <row r="158" spans="2:73" ht="54" customHeight="1" x14ac:dyDescent="0.25">
      <c r="B158" s="76" t="s">
        <v>383</v>
      </c>
      <c r="C158" s="71"/>
      <c r="D158" s="71"/>
      <c r="E158" s="71" t="s">
        <v>459</v>
      </c>
      <c r="F158" s="71"/>
      <c r="G158" s="71"/>
      <c r="H158" s="34"/>
      <c r="I158" s="71" t="s">
        <v>395</v>
      </c>
      <c r="J158" s="71"/>
      <c r="K158" s="71"/>
      <c r="L158" s="71" t="s">
        <v>434</v>
      </c>
      <c r="M158" s="71"/>
      <c r="N158" s="71"/>
      <c r="O158" s="34"/>
      <c r="P158" s="71" t="s">
        <v>326</v>
      </c>
      <c r="Q158" s="71"/>
      <c r="R158" s="71"/>
      <c r="S158" s="71" t="s">
        <v>423</v>
      </c>
      <c r="T158" s="71"/>
      <c r="U158" s="71"/>
      <c r="V158" s="34"/>
      <c r="W158" s="71" t="s">
        <v>331</v>
      </c>
      <c r="X158" s="71"/>
      <c r="Y158" s="71"/>
      <c r="Z158" s="71" t="s">
        <v>515</v>
      </c>
      <c r="AA158" s="71"/>
      <c r="AB158" s="71"/>
      <c r="AC158" s="33"/>
      <c r="AD158" s="71" t="s">
        <v>414</v>
      </c>
      <c r="AE158" s="71"/>
      <c r="AF158" s="71"/>
      <c r="AG158" s="71" t="s">
        <v>516</v>
      </c>
      <c r="AH158" s="71"/>
      <c r="AI158" s="72"/>
      <c r="AN158" s="76" t="s">
        <v>507</v>
      </c>
      <c r="AO158" s="71"/>
      <c r="AP158" s="71"/>
      <c r="AQ158" s="71" t="s">
        <v>439</v>
      </c>
      <c r="AR158" s="71"/>
      <c r="AS158" s="71"/>
      <c r="AT158" s="34"/>
      <c r="AU158" s="71" t="s">
        <v>519</v>
      </c>
      <c r="AV158" s="71"/>
      <c r="AW158" s="71"/>
      <c r="AX158" s="71" t="s">
        <v>328</v>
      </c>
      <c r="AY158" s="71"/>
      <c r="AZ158" s="71"/>
      <c r="BA158" s="34"/>
      <c r="BB158" s="71" t="s">
        <v>447</v>
      </c>
      <c r="BC158" s="71"/>
      <c r="BD158" s="71"/>
      <c r="BE158" s="71" t="s">
        <v>438</v>
      </c>
      <c r="BF158" s="71"/>
      <c r="BG158" s="71"/>
      <c r="BI158" s="94" t="s">
        <v>522</v>
      </c>
      <c r="BJ158" s="94"/>
      <c r="BK158" s="94"/>
      <c r="BL158" s="94" t="s">
        <v>522</v>
      </c>
      <c r="BM158" s="94"/>
      <c r="BN158" s="94"/>
      <c r="BO158" s="43"/>
      <c r="BP158" s="94" t="s">
        <v>522</v>
      </c>
      <c r="BQ158" s="94"/>
      <c r="BR158" s="94"/>
      <c r="BS158" s="94" t="s">
        <v>522</v>
      </c>
      <c r="BT158" s="94"/>
      <c r="BU158" s="95"/>
    </row>
    <row r="159" spans="2:73" ht="27" customHeight="1" thickBot="1" x14ac:dyDescent="0.3">
      <c r="B159" s="83">
        <v>981</v>
      </c>
      <c r="C159" s="80"/>
      <c r="D159" s="81"/>
      <c r="E159" s="79">
        <v>982</v>
      </c>
      <c r="F159" s="80"/>
      <c r="G159" s="81"/>
      <c r="H159" s="39"/>
      <c r="I159" s="79">
        <v>983</v>
      </c>
      <c r="J159" s="80"/>
      <c r="K159" s="81"/>
      <c r="L159" s="79">
        <v>984</v>
      </c>
      <c r="M159" s="80"/>
      <c r="N159" s="81"/>
      <c r="O159" s="39"/>
      <c r="P159" s="79">
        <v>985</v>
      </c>
      <c r="Q159" s="80"/>
      <c r="R159" s="81"/>
      <c r="S159" s="79">
        <v>986</v>
      </c>
      <c r="T159" s="80"/>
      <c r="U159" s="81"/>
      <c r="V159" s="39"/>
      <c r="W159" s="79">
        <v>987</v>
      </c>
      <c r="X159" s="80"/>
      <c r="Y159" s="81"/>
      <c r="Z159" s="79">
        <v>988</v>
      </c>
      <c r="AA159" s="80"/>
      <c r="AB159" s="81"/>
      <c r="AC159" s="40"/>
      <c r="AD159" s="79">
        <v>989</v>
      </c>
      <c r="AE159" s="80"/>
      <c r="AF159" s="81"/>
      <c r="AG159" s="79">
        <v>990</v>
      </c>
      <c r="AH159" s="80"/>
      <c r="AI159" s="82"/>
      <c r="AN159" s="83">
        <v>991</v>
      </c>
      <c r="AO159" s="80"/>
      <c r="AP159" s="81"/>
      <c r="AQ159" s="79">
        <v>992</v>
      </c>
      <c r="AR159" s="80"/>
      <c r="AS159" s="81"/>
      <c r="AT159" s="39"/>
      <c r="AU159" s="79">
        <v>993</v>
      </c>
      <c r="AV159" s="80"/>
      <c r="AW159" s="81"/>
      <c r="AX159" s="79">
        <v>994</v>
      </c>
      <c r="AY159" s="80"/>
      <c r="AZ159" s="81"/>
      <c r="BA159" s="39"/>
      <c r="BB159" s="79">
        <v>995</v>
      </c>
      <c r="BC159" s="80"/>
      <c r="BD159" s="81"/>
      <c r="BE159" s="79">
        <v>996</v>
      </c>
      <c r="BF159" s="80"/>
      <c r="BG159" s="81"/>
      <c r="BH159" s="45"/>
      <c r="BI159" s="90">
        <v>997</v>
      </c>
      <c r="BJ159" s="91"/>
      <c r="BK159" s="92"/>
      <c r="BL159" s="90">
        <v>998</v>
      </c>
      <c r="BM159" s="91"/>
      <c r="BN159" s="92"/>
      <c r="BO159" s="46"/>
      <c r="BP159" s="90">
        <v>999</v>
      </c>
      <c r="BQ159" s="91"/>
      <c r="BR159" s="92"/>
      <c r="BS159" s="90">
        <v>1000</v>
      </c>
      <c r="BT159" s="91"/>
      <c r="BU159" s="93"/>
    </row>
    <row r="160" spans="2:73" ht="54" customHeight="1" x14ac:dyDescent="0.25"/>
    <row r="161" ht="54" customHeight="1" x14ac:dyDescent="0.25"/>
    <row r="162" ht="54" customHeight="1" x14ac:dyDescent="0.25"/>
    <row r="163" ht="54" customHeight="1" x14ac:dyDescent="0.25"/>
    <row r="164" ht="54" customHeight="1" x14ac:dyDescent="0.25"/>
    <row r="165" ht="54" customHeight="1" x14ac:dyDescent="0.25"/>
    <row r="166" ht="54" customHeight="1" x14ac:dyDescent="0.25"/>
    <row r="167" ht="54" customHeight="1" x14ac:dyDescent="0.25"/>
    <row r="168" ht="54" customHeight="1" x14ac:dyDescent="0.25"/>
    <row r="169" ht="54" customHeight="1" x14ac:dyDescent="0.25"/>
    <row r="170" ht="54" customHeight="1" x14ac:dyDescent="0.25"/>
    <row r="171" ht="54" customHeight="1" x14ac:dyDescent="0.25"/>
    <row r="172" ht="54" customHeight="1" x14ac:dyDescent="0.25"/>
    <row r="173" ht="54" customHeight="1" x14ac:dyDescent="0.25"/>
    <row r="174" ht="54" customHeight="1" x14ac:dyDescent="0.25"/>
    <row r="175" ht="54" customHeight="1" x14ac:dyDescent="0.25"/>
    <row r="176" ht="54" customHeight="1" x14ac:dyDescent="0.25"/>
    <row r="177" ht="54" customHeight="1" x14ac:dyDescent="0.25"/>
    <row r="178" ht="54" customHeight="1" x14ac:dyDescent="0.25"/>
    <row r="179" ht="54" customHeight="1" x14ac:dyDescent="0.25"/>
    <row r="180" ht="54" customHeight="1" x14ac:dyDescent="0.25"/>
    <row r="181" ht="54" customHeight="1" x14ac:dyDescent="0.25"/>
    <row r="182" ht="54" customHeight="1" x14ac:dyDescent="0.25"/>
    <row r="183" ht="54" customHeight="1" x14ac:dyDescent="0.25"/>
    <row r="184" ht="54" customHeight="1" x14ac:dyDescent="0.25"/>
    <row r="185" ht="54" customHeight="1" x14ac:dyDescent="0.25"/>
    <row r="186" ht="54" customHeight="1" x14ac:dyDescent="0.25"/>
    <row r="187" ht="54" customHeight="1" x14ac:dyDescent="0.25"/>
    <row r="188" ht="54" customHeight="1" x14ac:dyDescent="0.25"/>
    <row r="189" ht="54" customHeight="1" x14ac:dyDescent="0.25"/>
    <row r="190" ht="54" customHeight="1" x14ac:dyDescent="0.25"/>
    <row r="191" ht="54" customHeight="1" x14ac:dyDescent="0.25"/>
    <row r="192" ht="54" customHeight="1" x14ac:dyDescent="0.25"/>
    <row r="193" ht="54" customHeight="1" x14ac:dyDescent="0.25"/>
    <row r="194" ht="54" customHeight="1" x14ac:dyDescent="0.25"/>
    <row r="195" ht="54" customHeight="1" x14ac:dyDescent="0.25"/>
    <row r="196" ht="54" customHeight="1" x14ac:dyDescent="0.25"/>
    <row r="197" ht="54" customHeight="1" x14ac:dyDescent="0.25"/>
    <row r="198" ht="54" customHeight="1" x14ac:dyDescent="0.25"/>
    <row r="199" ht="54" customHeight="1" x14ac:dyDescent="0.25"/>
    <row r="200" ht="54" customHeight="1" x14ac:dyDescent="0.25"/>
    <row r="201" ht="54" customHeight="1" x14ac:dyDescent="0.25"/>
    <row r="202" ht="54" customHeight="1" x14ac:dyDescent="0.25"/>
    <row r="203" ht="54" customHeight="1" x14ac:dyDescent="0.25"/>
    <row r="204" ht="54" customHeight="1" x14ac:dyDescent="0.25"/>
    <row r="205" ht="54" customHeight="1" x14ac:dyDescent="0.25"/>
    <row r="206" ht="54" customHeight="1" x14ac:dyDescent="0.25"/>
    <row r="207" ht="54" customHeight="1" x14ac:dyDescent="0.25"/>
    <row r="208" ht="54" customHeight="1" x14ac:dyDescent="0.25"/>
    <row r="209" ht="54" customHeight="1" x14ac:dyDescent="0.25"/>
    <row r="210" ht="54" customHeight="1" x14ac:dyDescent="0.25"/>
    <row r="211" ht="54" customHeight="1" x14ac:dyDescent="0.25"/>
    <row r="212" ht="54" customHeight="1" x14ac:dyDescent="0.25"/>
  </sheetData>
  <mergeCells count="2009">
    <mergeCell ref="BB159:BD159"/>
    <mergeCell ref="BE159:BG159"/>
    <mergeCell ref="BI159:BK159"/>
    <mergeCell ref="BL159:BN159"/>
    <mergeCell ref="BP159:BR159"/>
    <mergeCell ref="BS159:BU159"/>
    <mergeCell ref="AD159:AF159"/>
    <mergeCell ref="AG159:AI159"/>
    <mergeCell ref="AN159:AP159"/>
    <mergeCell ref="AQ159:AS159"/>
    <mergeCell ref="AU159:AW159"/>
    <mergeCell ref="AX159:AZ159"/>
    <mergeCell ref="BP158:BR158"/>
    <mergeCell ref="BS158:BU158"/>
    <mergeCell ref="B159:D159"/>
    <mergeCell ref="E159:G159"/>
    <mergeCell ref="I159:K159"/>
    <mergeCell ref="L159:N159"/>
    <mergeCell ref="P159:R159"/>
    <mergeCell ref="S159:U159"/>
    <mergeCell ref="W159:Y159"/>
    <mergeCell ref="Z159:AB159"/>
    <mergeCell ref="AU158:AW158"/>
    <mergeCell ref="AX158:AZ158"/>
    <mergeCell ref="BB158:BD158"/>
    <mergeCell ref="BE158:BG158"/>
    <mergeCell ref="BI158:BK158"/>
    <mergeCell ref="BL158:BN158"/>
    <mergeCell ref="W158:Y158"/>
    <mergeCell ref="Z158:AB158"/>
    <mergeCell ref="AD158:AF158"/>
    <mergeCell ref="AG158:AI158"/>
    <mergeCell ref="AN158:AP158"/>
    <mergeCell ref="AQ158:AS158"/>
    <mergeCell ref="B158:D158"/>
    <mergeCell ref="E158:G158"/>
    <mergeCell ref="I158:K158"/>
    <mergeCell ref="L158:N158"/>
    <mergeCell ref="P158:R158"/>
    <mergeCell ref="S158:U158"/>
    <mergeCell ref="BB156:BD156"/>
    <mergeCell ref="BE156:BG156"/>
    <mergeCell ref="BI156:BK156"/>
    <mergeCell ref="BL156:BN156"/>
    <mergeCell ref="BP156:BR156"/>
    <mergeCell ref="BS156:BU156"/>
    <mergeCell ref="AD156:AF156"/>
    <mergeCell ref="AG156:AI156"/>
    <mergeCell ref="AN156:AP156"/>
    <mergeCell ref="AQ156:AS156"/>
    <mergeCell ref="AU156:AW156"/>
    <mergeCell ref="AX156:AZ156"/>
    <mergeCell ref="BP155:BR155"/>
    <mergeCell ref="BS155:BU155"/>
    <mergeCell ref="B156:D156"/>
    <mergeCell ref="E156:G156"/>
    <mergeCell ref="I156:K156"/>
    <mergeCell ref="L156:N156"/>
    <mergeCell ref="P156:R156"/>
    <mergeCell ref="S156:U156"/>
    <mergeCell ref="W156:Y156"/>
    <mergeCell ref="Z156:AB156"/>
    <mergeCell ref="AU155:AW155"/>
    <mergeCell ref="AX155:AZ155"/>
    <mergeCell ref="BB155:BD155"/>
    <mergeCell ref="BE155:BG155"/>
    <mergeCell ref="BI155:BK155"/>
    <mergeCell ref="BL155:BN155"/>
    <mergeCell ref="W155:Y155"/>
    <mergeCell ref="Z155:AB155"/>
    <mergeCell ref="AD155:AF155"/>
    <mergeCell ref="AG155:AI155"/>
    <mergeCell ref="AN155:AP155"/>
    <mergeCell ref="AQ155:AS155"/>
    <mergeCell ref="B155:D155"/>
    <mergeCell ref="E155:G155"/>
    <mergeCell ref="I155:K155"/>
    <mergeCell ref="L155:N155"/>
    <mergeCell ref="P155:R155"/>
    <mergeCell ref="S155:U155"/>
    <mergeCell ref="BB153:BD153"/>
    <mergeCell ref="BE153:BG153"/>
    <mergeCell ref="BI153:BK153"/>
    <mergeCell ref="BL153:BN153"/>
    <mergeCell ref="BP153:BR153"/>
    <mergeCell ref="BS153:BU153"/>
    <mergeCell ref="AD153:AF153"/>
    <mergeCell ref="AG153:AI153"/>
    <mergeCell ref="AN153:AP153"/>
    <mergeCell ref="AQ153:AS153"/>
    <mergeCell ref="AU153:AW153"/>
    <mergeCell ref="AX153:AZ153"/>
    <mergeCell ref="BP152:BR152"/>
    <mergeCell ref="BS152:BU152"/>
    <mergeCell ref="B153:D153"/>
    <mergeCell ref="E153:G153"/>
    <mergeCell ref="I153:K153"/>
    <mergeCell ref="L153:N153"/>
    <mergeCell ref="P153:R153"/>
    <mergeCell ref="S153:U153"/>
    <mergeCell ref="W153:Y153"/>
    <mergeCell ref="Z153:AB153"/>
    <mergeCell ref="AU152:AW152"/>
    <mergeCell ref="AX152:AZ152"/>
    <mergeCell ref="BB152:BD152"/>
    <mergeCell ref="BE152:BG152"/>
    <mergeCell ref="BI152:BK152"/>
    <mergeCell ref="BL152:BN152"/>
    <mergeCell ref="W152:Y152"/>
    <mergeCell ref="Z152:AB152"/>
    <mergeCell ref="AD152:AF152"/>
    <mergeCell ref="AG152:AI152"/>
    <mergeCell ref="AN152:AP152"/>
    <mergeCell ref="AQ152:AS152"/>
    <mergeCell ref="B152:D152"/>
    <mergeCell ref="E152:G152"/>
    <mergeCell ref="I152:K152"/>
    <mergeCell ref="L152:N152"/>
    <mergeCell ref="P152:R152"/>
    <mergeCell ref="S152:U152"/>
    <mergeCell ref="BB150:BD150"/>
    <mergeCell ref="BE150:BG150"/>
    <mergeCell ref="BI150:BK150"/>
    <mergeCell ref="BL150:BN150"/>
    <mergeCell ref="BP150:BR150"/>
    <mergeCell ref="BS150:BU150"/>
    <mergeCell ref="AD150:AF150"/>
    <mergeCell ref="AG150:AI150"/>
    <mergeCell ref="AN150:AP150"/>
    <mergeCell ref="AQ150:AS150"/>
    <mergeCell ref="AU150:AW150"/>
    <mergeCell ref="AX150:AZ150"/>
    <mergeCell ref="BP149:BR149"/>
    <mergeCell ref="BS149:BU149"/>
    <mergeCell ref="B150:D150"/>
    <mergeCell ref="E150:G150"/>
    <mergeCell ref="I150:K150"/>
    <mergeCell ref="L150:N150"/>
    <mergeCell ref="P150:R150"/>
    <mergeCell ref="S150:U150"/>
    <mergeCell ref="W150:Y150"/>
    <mergeCell ref="Z150:AB150"/>
    <mergeCell ref="AU149:AW149"/>
    <mergeCell ref="AX149:AZ149"/>
    <mergeCell ref="BB149:BD149"/>
    <mergeCell ref="BE149:BG149"/>
    <mergeCell ref="BI149:BK149"/>
    <mergeCell ref="BL149:BN149"/>
    <mergeCell ref="W149:Y149"/>
    <mergeCell ref="Z149:AB149"/>
    <mergeCell ref="AD149:AF149"/>
    <mergeCell ref="AG149:AI149"/>
    <mergeCell ref="AN149:AP149"/>
    <mergeCell ref="AQ149:AS149"/>
    <mergeCell ref="B149:D149"/>
    <mergeCell ref="E149:G149"/>
    <mergeCell ref="I149:K149"/>
    <mergeCell ref="L149:N149"/>
    <mergeCell ref="P149:R149"/>
    <mergeCell ref="S149:U149"/>
    <mergeCell ref="BB147:BD147"/>
    <mergeCell ref="BE147:BG147"/>
    <mergeCell ref="BI147:BK147"/>
    <mergeCell ref="BL147:BN147"/>
    <mergeCell ref="BP147:BR147"/>
    <mergeCell ref="BS147:BU147"/>
    <mergeCell ref="AD147:AF147"/>
    <mergeCell ref="AG147:AI147"/>
    <mergeCell ref="AN147:AP147"/>
    <mergeCell ref="AQ147:AS147"/>
    <mergeCell ref="AU147:AW147"/>
    <mergeCell ref="AX147:AZ147"/>
    <mergeCell ref="BP146:BR146"/>
    <mergeCell ref="BS146:BU146"/>
    <mergeCell ref="B147:D147"/>
    <mergeCell ref="E147:G147"/>
    <mergeCell ref="I147:K147"/>
    <mergeCell ref="L147:N147"/>
    <mergeCell ref="P147:R147"/>
    <mergeCell ref="S147:U147"/>
    <mergeCell ref="W147:Y147"/>
    <mergeCell ref="Z147:AB147"/>
    <mergeCell ref="AU146:AW146"/>
    <mergeCell ref="AX146:AZ146"/>
    <mergeCell ref="BB146:BD146"/>
    <mergeCell ref="BE146:BG146"/>
    <mergeCell ref="BI146:BK146"/>
    <mergeCell ref="BL146:BN146"/>
    <mergeCell ref="W146:Y146"/>
    <mergeCell ref="Z146:AB146"/>
    <mergeCell ref="AD146:AF146"/>
    <mergeCell ref="AG146:AI146"/>
    <mergeCell ref="AN146:AP146"/>
    <mergeCell ref="AQ146:AS146"/>
    <mergeCell ref="B146:D146"/>
    <mergeCell ref="E146:G146"/>
    <mergeCell ref="I146:K146"/>
    <mergeCell ref="L146:N146"/>
    <mergeCell ref="P146:R146"/>
    <mergeCell ref="S146:U146"/>
    <mergeCell ref="BB144:BD144"/>
    <mergeCell ref="BE144:BG144"/>
    <mergeCell ref="BI144:BK144"/>
    <mergeCell ref="BL144:BN144"/>
    <mergeCell ref="BP144:BR144"/>
    <mergeCell ref="BS144:BU144"/>
    <mergeCell ref="AD144:AF144"/>
    <mergeCell ref="AG144:AI144"/>
    <mergeCell ref="AN144:AP144"/>
    <mergeCell ref="AQ144:AS144"/>
    <mergeCell ref="AU144:AW144"/>
    <mergeCell ref="AX144:AZ144"/>
    <mergeCell ref="BP143:BR143"/>
    <mergeCell ref="BS143:BU143"/>
    <mergeCell ref="B144:D144"/>
    <mergeCell ref="E144:G144"/>
    <mergeCell ref="I144:K144"/>
    <mergeCell ref="L144:N144"/>
    <mergeCell ref="P144:R144"/>
    <mergeCell ref="S144:U144"/>
    <mergeCell ref="W144:Y144"/>
    <mergeCell ref="Z144:AB144"/>
    <mergeCell ref="AU143:AW143"/>
    <mergeCell ref="AX143:AZ143"/>
    <mergeCell ref="BB143:BD143"/>
    <mergeCell ref="BE143:BG143"/>
    <mergeCell ref="BI143:BK143"/>
    <mergeCell ref="BL143:BN143"/>
    <mergeCell ref="W143:Y143"/>
    <mergeCell ref="Z143:AB143"/>
    <mergeCell ref="AD143:AF143"/>
    <mergeCell ref="AG143:AI143"/>
    <mergeCell ref="AN143:AP143"/>
    <mergeCell ref="AQ143:AS143"/>
    <mergeCell ref="B143:D143"/>
    <mergeCell ref="E143:G143"/>
    <mergeCell ref="I143:K143"/>
    <mergeCell ref="L143:N143"/>
    <mergeCell ref="P143:R143"/>
    <mergeCell ref="S143:U143"/>
    <mergeCell ref="BB141:BD141"/>
    <mergeCell ref="BE141:BG141"/>
    <mergeCell ref="BI141:BK141"/>
    <mergeCell ref="BL141:BN141"/>
    <mergeCell ref="BP141:BR141"/>
    <mergeCell ref="BS141:BU141"/>
    <mergeCell ref="AD141:AF141"/>
    <mergeCell ref="AG141:AI141"/>
    <mergeCell ref="AN141:AP141"/>
    <mergeCell ref="AQ141:AS141"/>
    <mergeCell ref="AU141:AW141"/>
    <mergeCell ref="AX141:AZ141"/>
    <mergeCell ref="BP140:BR140"/>
    <mergeCell ref="BS140:BU140"/>
    <mergeCell ref="B141:D141"/>
    <mergeCell ref="E141:G141"/>
    <mergeCell ref="I141:K141"/>
    <mergeCell ref="L141:N141"/>
    <mergeCell ref="P141:R141"/>
    <mergeCell ref="S141:U141"/>
    <mergeCell ref="W141:Y141"/>
    <mergeCell ref="Z141:AB141"/>
    <mergeCell ref="AU140:AW140"/>
    <mergeCell ref="AX140:AZ140"/>
    <mergeCell ref="BB140:BD140"/>
    <mergeCell ref="BE140:BG140"/>
    <mergeCell ref="BI140:BK140"/>
    <mergeCell ref="BL140:BN140"/>
    <mergeCell ref="W140:Y140"/>
    <mergeCell ref="Z140:AB140"/>
    <mergeCell ref="AD140:AF140"/>
    <mergeCell ref="AG140:AI140"/>
    <mergeCell ref="AN140:AP140"/>
    <mergeCell ref="AQ140:AS140"/>
    <mergeCell ref="B140:D140"/>
    <mergeCell ref="E140:G140"/>
    <mergeCell ref="I140:K140"/>
    <mergeCell ref="L140:N140"/>
    <mergeCell ref="P140:R140"/>
    <mergeCell ref="S140:U140"/>
    <mergeCell ref="BB138:BD138"/>
    <mergeCell ref="BE138:BG138"/>
    <mergeCell ref="BI138:BK138"/>
    <mergeCell ref="BL138:BN138"/>
    <mergeCell ref="BP138:BR138"/>
    <mergeCell ref="BS138:BU138"/>
    <mergeCell ref="AD138:AF138"/>
    <mergeCell ref="AG138:AI138"/>
    <mergeCell ref="AN138:AP138"/>
    <mergeCell ref="AQ138:AS138"/>
    <mergeCell ref="AU138:AW138"/>
    <mergeCell ref="AX138:AZ138"/>
    <mergeCell ref="BP137:BR137"/>
    <mergeCell ref="BS137:BU137"/>
    <mergeCell ref="B138:D138"/>
    <mergeCell ref="E138:G138"/>
    <mergeCell ref="I138:K138"/>
    <mergeCell ref="L138:N138"/>
    <mergeCell ref="P138:R138"/>
    <mergeCell ref="S138:U138"/>
    <mergeCell ref="W138:Y138"/>
    <mergeCell ref="Z138:AB138"/>
    <mergeCell ref="AU137:AW137"/>
    <mergeCell ref="AX137:AZ137"/>
    <mergeCell ref="BB137:BD137"/>
    <mergeCell ref="BE137:BG137"/>
    <mergeCell ref="BI137:BK137"/>
    <mergeCell ref="BL137:BN137"/>
    <mergeCell ref="W137:Y137"/>
    <mergeCell ref="Z137:AB137"/>
    <mergeCell ref="AD137:AF137"/>
    <mergeCell ref="AG137:AI137"/>
    <mergeCell ref="AN137:AP137"/>
    <mergeCell ref="AQ137:AS137"/>
    <mergeCell ref="B137:D137"/>
    <mergeCell ref="E137:G137"/>
    <mergeCell ref="I137:K137"/>
    <mergeCell ref="L137:N137"/>
    <mergeCell ref="P137:R137"/>
    <mergeCell ref="S137:U137"/>
    <mergeCell ref="BB135:BD135"/>
    <mergeCell ref="BE135:BG135"/>
    <mergeCell ref="BI135:BK135"/>
    <mergeCell ref="BL135:BN135"/>
    <mergeCell ref="BP135:BR135"/>
    <mergeCell ref="BS135:BU135"/>
    <mergeCell ref="AD135:AF135"/>
    <mergeCell ref="AG135:AI135"/>
    <mergeCell ref="AN135:AP135"/>
    <mergeCell ref="AQ135:AS135"/>
    <mergeCell ref="AU135:AW135"/>
    <mergeCell ref="AX135:AZ135"/>
    <mergeCell ref="BP134:BR134"/>
    <mergeCell ref="BS134:BU134"/>
    <mergeCell ref="B135:D135"/>
    <mergeCell ref="E135:G135"/>
    <mergeCell ref="I135:K135"/>
    <mergeCell ref="L135:N135"/>
    <mergeCell ref="P135:R135"/>
    <mergeCell ref="S135:U135"/>
    <mergeCell ref="W135:Y135"/>
    <mergeCell ref="Z135:AB135"/>
    <mergeCell ref="AU134:AW134"/>
    <mergeCell ref="AX134:AZ134"/>
    <mergeCell ref="BB134:BD134"/>
    <mergeCell ref="BE134:BG134"/>
    <mergeCell ref="BI134:BK134"/>
    <mergeCell ref="BL134:BN134"/>
    <mergeCell ref="W134:Y134"/>
    <mergeCell ref="Z134:AB134"/>
    <mergeCell ref="AD134:AF134"/>
    <mergeCell ref="AG134:AI134"/>
    <mergeCell ref="AN134:AP134"/>
    <mergeCell ref="AQ134:AS134"/>
    <mergeCell ref="B134:D134"/>
    <mergeCell ref="E134:G134"/>
    <mergeCell ref="I134:K134"/>
    <mergeCell ref="L134:N134"/>
    <mergeCell ref="P134:R134"/>
    <mergeCell ref="S134:U134"/>
    <mergeCell ref="BB132:BD132"/>
    <mergeCell ref="BE132:BG132"/>
    <mergeCell ref="BI132:BK132"/>
    <mergeCell ref="BL132:BN132"/>
    <mergeCell ref="BP132:BR132"/>
    <mergeCell ref="BS132:BU132"/>
    <mergeCell ref="AD132:AF132"/>
    <mergeCell ref="AG132:AI132"/>
    <mergeCell ref="AN132:AP132"/>
    <mergeCell ref="AQ132:AS132"/>
    <mergeCell ref="AU132:AW132"/>
    <mergeCell ref="AX132:AZ132"/>
    <mergeCell ref="BP131:BR131"/>
    <mergeCell ref="BS131:BU131"/>
    <mergeCell ref="B132:D132"/>
    <mergeCell ref="E132:G132"/>
    <mergeCell ref="I132:K132"/>
    <mergeCell ref="L132:N132"/>
    <mergeCell ref="P132:R132"/>
    <mergeCell ref="S132:U132"/>
    <mergeCell ref="W132:Y132"/>
    <mergeCell ref="Z132:AB132"/>
    <mergeCell ref="AU131:AW131"/>
    <mergeCell ref="AX131:AZ131"/>
    <mergeCell ref="BB131:BD131"/>
    <mergeCell ref="BE131:BG131"/>
    <mergeCell ref="BI131:BK131"/>
    <mergeCell ref="BL131:BN131"/>
    <mergeCell ref="W131:Y131"/>
    <mergeCell ref="Z131:AB131"/>
    <mergeCell ref="AD131:AF131"/>
    <mergeCell ref="AG131:AI131"/>
    <mergeCell ref="AN131:AP131"/>
    <mergeCell ref="AQ131:AS131"/>
    <mergeCell ref="B131:D131"/>
    <mergeCell ref="E131:G131"/>
    <mergeCell ref="I131:K131"/>
    <mergeCell ref="L131:N131"/>
    <mergeCell ref="P131:R131"/>
    <mergeCell ref="S131:U131"/>
    <mergeCell ref="BB129:BD129"/>
    <mergeCell ref="BE129:BG129"/>
    <mergeCell ref="BI129:BK129"/>
    <mergeCell ref="BL129:BN129"/>
    <mergeCell ref="BP129:BR129"/>
    <mergeCell ref="BS129:BU129"/>
    <mergeCell ref="AD129:AF129"/>
    <mergeCell ref="AG129:AI129"/>
    <mergeCell ref="AN129:AP129"/>
    <mergeCell ref="AQ129:AS129"/>
    <mergeCell ref="AU129:AW129"/>
    <mergeCell ref="AX129:AZ129"/>
    <mergeCell ref="BP128:BR128"/>
    <mergeCell ref="BS128:BU128"/>
    <mergeCell ref="B129:D129"/>
    <mergeCell ref="E129:G129"/>
    <mergeCell ref="I129:K129"/>
    <mergeCell ref="L129:N129"/>
    <mergeCell ref="P129:R129"/>
    <mergeCell ref="S129:U129"/>
    <mergeCell ref="W129:Y129"/>
    <mergeCell ref="Z129:AB129"/>
    <mergeCell ref="AU128:AW128"/>
    <mergeCell ref="AX128:AZ128"/>
    <mergeCell ref="BB128:BD128"/>
    <mergeCell ref="BE128:BG128"/>
    <mergeCell ref="BI128:BK128"/>
    <mergeCell ref="BL128:BN128"/>
    <mergeCell ref="W128:Y128"/>
    <mergeCell ref="Z128:AB128"/>
    <mergeCell ref="AD128:AF128"/>
    <mergeCell ref="AG128:AI128"/>
    <mergeCell ref="AN128:AP128"/>
    <mergeCell ref="AQ128:AS128"/>
    <mergeCell ref="B128:D128"/>
    <mergeCell ref="E128:G128"/>
    <mergeCell ref="I128:K128"/>
    <mergeCell ref="L128:N128"/>
    <mergeCell ref="P128:R128"/>
    <mergeCell ref="S128:U128"/>
    <mergeCell ref="BB126:BD126"/>
    <mergeCell ref="BE126:BG126"/>
    <mergeCell ref="BI126:BK126"/>
    <mergeCell ref="BL126:BN126"/>
    <mergeCell ref="BP126:BR126"/>
    <mergeCell ref="BS126:BU126"/>
    <mergeCell ref="AD126:AF126"/>
    <mergeCell ref="AG126:AI126"/>
    <mergeCell ref="AN126:AP126"/>
    <mergeCell ref="AQ126:AS126"/>
    <mergeCell ref="AU126:AW126"/>
    <mergeCell ref="AX126:AZ126"/>
    <mergeCell ref="BP125:BR125"/>
    <mergeCell ref="BS125:BU125"/>
    <mergeCell ref="B126:D126"/>
    <mergeCell ref="E126:G126"/>
    <mergeCell ref="I126:K126"/>
    <mergeCell ref="L126:N126"/>
    <mergeCell ref="P126:R126"/>
    <mergeCell ref="S126:U126"/>
    <mergeCell ref="W126:Y126"/>
    <mergeCell ref="Z126:AB126"/>
    <mergeCell ref="AU125:AW125"/>
    <mergeCell ref="AX125:AZ125"/>
    <mergeCell ref="BB125:BD125"/>
    <mergeCell ref="BE125:BG125"/>
    <mergeCell ref="BI125:BK125"/>
    <mergeCell ref="BL125:BN125"/>
    <mergeCell ref="W125:Y125"/>
    <mergeCell ref="Z125:AB125"/>
    <mergeCell ref="AD125:AF125"/>
    <mergeCell ref="AG125:AI125"/>
    <mergeCell ref="AN125:AP125"/>
    <mergeCell ref="AQ125:AS125"/>
    <mergeCell ref="B125:D125"/>
    <mergeCell ref="E125:G125"/>
    <mergeCell ref="I125:K125"/>
    <mergeCell ref="L125:N125"/>
    <mergeCell ref="P125:R125"/>
    <mergeCell ref="S125:U125"/>
    <mergeCell ref="BB123:BD123"/>
    <mergeCell ref="BE123:BG123"/>
    <mergeCell ref="BI123:BK123"/>
    <mergeCell ref="BL123:BN123"/>
    <mergeCell ref="BP123:BR123"/>
    <mergeCell ref="BS123:BU123"/>
    <mergeCell ref="AD123:AF123"/>
    <mergeCell ref="AG123:AI123"/>
    <mergeCell ref="AN123:AP123"/>
    <mergeCell ref="AQ123:AS123"/>
    <mergeCell ref="AU123:AW123"/>
    <mergeCell ref="AX123:AZ123"/>
    <mergeCell ref="BP122:BR122"/>
    <mergeCell ref="BS122:BU122"/>
    <mergeCell ref="B123:D123"/>
    <mergeCell ref="E123:G123"/>
    <mergeCell ref="I123:K123"/>
    <mergeCell ref="L123:N123"/>
    <mergeCell ref="P123:R123"/>
    <mergeCell ref="S123:U123"/>
    <mergeCell ref="W123:Y123"/>
    <mergeCell ref="Z123:AB123"/>
    <mergeCell ref="AU122:AW122"/>
    <mergeCell ref="AX122:AZ122"/>
    <mergeCell ref="BB122:BD122"/>
    <mergeCell ref="BE122:BG122"/>
    <mergeCell ref="BI122:BK122"/>
    <mergeCell ref="BL122:BN122"/>
    <mergeCell ref="W122:Y122"/>
    <mergeCell ref="Z122:AB122"/>
    <mergeCell ref="AD122:AF122"/>
    <mergeCell ref="AG122:AI122"/>
    <mergeCell ref="AN122:AP122"/>
    <mergeCell ref="AQ122:AS122"/>
    <mergeCell ref="B122:D122"/>
    <mergeCell ref="E122:G122"/>
    <mergeCell ref="I122:K122"/>
    <mergeCell ref="L122:N122"/>
    <mergeCell ref="P122:R122"/>
    <mergeCell ref="S122:U122"/>
    <mergeCell ref="BB120:BD120"/>
    <mergeCell ref="BE120:BG120"/>
    <mergeCell ref="BI120:BK120"/>
    <mergeCell ref="BL120:BN120"/>
    <mergeCell ref="BP120:BR120"/>
    <mergeCell ref="BS120:BU120"/>
    <mergeCell ref="AD120:AF120"/>
    <mergeCell ref="AG120:AI120"/>
    <mergeCell ref="AN120:AP120"/>
    <mergeCell ref="AQ120:AS120"/>
    <mergeCell ref="AU120:AW120"/>
    <mergeCell ref="AX120:AZ120"/>
    <mergeCell ref="BP119:BR119"/>
    <mergeCell ref="BS119:BU119"/>
    <mergeCell ref="B120:D120"/>
    <mergeCell ref="E120:G120"/>
    <mergeCell ref="I120:K120"/>
    <mergeCell ref="L120:N120"/>
    <mergeCell ref="P120:R120"/>
    <mergeCell ref="S120:U120"/>
    <mergeCell ref="W120:Y120"/>
    <mergeCell ref="Z120:AB120"/>
    <mergeCell ref="AU119:AW119"/>
    <mergeCell ref="AX119:AZ119"/>
    <mergeCell ref="BB119:BD119"/>
    <mergeCell ref="BE119:BG119"/>
    <mergeCell ref="BI119:BK119"/>
    <mergeCell ref="BL119:BN119"/>
    <mergeCell ref="W119:Y119"/>
    <mergeCell ref="Z119:AB119"/>
    <mergeCell ref="AD119:AF119"/>
    <mergeCell ref="AG119:AI119"/>
    <mergeCell ref="AN119:AP119"/>
    <mergeCell ref="AQ119:AS119"/>
    <mergeCell ref="B119:D119"/>
    <mergeCell ref="E119:G119"/>
    <mergeCell ref="I119:K119"/>
    <mergeCell ref="L119:N119"/>
    <mergeCell ref="P119:R119"/>
    <mergeCell ref="S119:U119"/>
    <mergeCell ref="BB117:BD117"/>
    <mergeCell ref="BE117:BG117"/>
    <mergeCell ref="BI117:BK117"/>
    <mergeCell ref="BL117:BN117"/>
    <mergeCell ref="BP117:BR117"/>
    <mergeCell ref="BS117:BU117"/>
    <mergeCell ref="AD117:AF117"/>
    <mergeCell ref="AG117:AI117"/>
    <mergeCell ref="AN117:AP117"/>
    <mergeCell ref="AQ117:AS117"/>
    <mergeCell ref="AU117:AW117"/>
    <mergeCell ref="AX117:AZ117"/>
    <mergeCell ref="BP116:BR116"/>
    <mergeCell ref="BS116:BU116"/>
    <mergeCell ref="B117:D117"/>
    <mergeCell ref="E117:G117"/>
    <mergeCell ref="I117:K117"/>
    <mergeCell ref="L117:N117"/>
    <mergeCell ref="P117:R117"/>
    <mergeCell ref="S117:U117"/>
    <mergeCell ref="W117:Y117"/>
    <mergeCell ref="Z117:AB117"/>
    <mergeCell ref="AU116:AW116"/>
    <mergeCell ref="AX116:AZ116"/>
    <mergeCell ref="BB116:BD116"/>
    <mergeCell ref="BE116:BG116"/>
    <mergeCell ref="BI116:BK116"/>
    <mergeCell ref="BL116:BN116"/>
    <mergeCell ref="W116:Y116"/>
    <mergeCell ref="Z116:AB116"/>
    <mergeCell ref="AD116:AF116"/>
    <mergeCell ref="AG116:AI116"/>
    <mergeCell ref="AN116:AP116"/>
    <mergeCell ref="AQ116:AS116"/>
    <mergeCell ref="B116:D116"/>
    <mergeCell ref="E116:G116"/>
    <mergeCell ref="I116:K116"/>
    <mergeCell ref="L116:N116"/>
    <mergeCell ref="P116:R116"/>
    <mergeCell ref="S116:U116"/>
    <mergeCell ref="BB114:BD114"/>
    <mergeCell ref="BE114:BG114"/>
    <mergeCell ref="BI114:BK114"/>
    <mergeCell ref="BL114:BN114"/>
    <mergeCell ref="BP114:BR114"/>
    <mergeCell ref="BS114:BU114"/>
    <mergeCell ref="AD114:AF114"/>
    <mergeCell ref="AG114:AI114"/>
    <mergeCell ref="AN114:AP114"/>
    <mergeCell ref="AQ114:AS114"/>
    <mergeCell ref="AU114:AW114"/>
    <mergeCell ref="AX114:AZ114"/>
    <mergeCell ref="BP113:BR113"/>
    <mergeCell ref="BS113:BU113"/>
    <mergeCell ref="B114:D114"/>
    <mergeCell ref="E114:G114"/>
    <mergeCell ref="I114:K114"/>
    <mergeCell ref="L114:N114"/>
    <mergeCell ref="P114:R114"/>
    <mergeCell ref="S114:U114"/>
    <mergeCell ref="W114:Y114"/>
    <mergeCell ref="Z114:AB114"/>
    <mergeCell ref="AU113:AW113"/>
    <mergeCell ref="AX113:AZ113"/>
    <mergeCell ref="BB113:BD113"/>
    <mergeCell ref="BE113:BG113"/>
    <mergeCell ref="BI113:BK113"/>
    <mergeCell ref="BL113:BN113"/>
    <mergeCell ref="W113:Y113"/>
    <mergeCell ref="Z113:AB113"/>
    <mergeCell ref="AD113:AF113"/>
    <mergeCell ref="AG113:AI113"/>
    <mergeCell ref="AN113:AP113"/>
    <mergeCell ref="AQ113:AS113"/>
    <mergeCell ref="B113:D113"/>
    <mergeCell ref="E113:G113"/>
    <mergeCell ref="I113:K113"/>
    <mergeCell ref="L113:N113"/>
    <mergeCell ref="P113:R113"/>
    <mergeCell ref="S113:U113"/>
    <mergeCell ref="BB111:BD111"/>
    <mergeCell ref="BE111:BG111"/>
    <mergeCell ref="BI111:BK111"/>
    <mergeCell ref="BL111:BN111"/>
    <mergeCell ref="BP111:BR111"/>
    <mergeCell ref="BS111:BU111"/>
    <mergeCell ref="AD111:AF111"/>
    <mergeCell ref="AG111:AI111"/>
    <mergeCell ref="AN111:AP111"/>
    <mergeCell ref="AQ111:AS111"/>
    <mergeCell ref="AU111:AW111"/>
    <mergeCell ref="AX111:AZ111"/>
    <mergeCell ref="BP110:BR110"/>
    <mergeCell ref="BS110:BU110"/>
    <mergeCell ref="B111:D111"/>
    <mergeCell ref="E111:G111"/>
    <mergeCell ref="I111:K111"/>
    <mergeCell ref="L111:N111"/>
    <mergeCell ref="P111:R111"/>
    <mergeCell ref="S111:U111"/>
    <mergeCell ref="W111:Y111"/>
    <mergeCell ref="Z111:AB111"/>
    <mergeCell ref="AU110:AW110"/>
    <mergeCell ref="AX110:AZ110"/>
    <mergeCell ref="BB110:BD110"/>
    <mergeCell ref="BE110:BG110"/>
    <mergeCell ref="BI110:BK110"/>
    <mergeCell ref="BL110:BN110"/>
    <mergeCell ref="W110:Y110"/>
    <mergeCell ref="Z110:AB110"/>
    <mergeCell ref="AD110:AF110"/>
    <mergeCell ref="AG110:AI110"/>
    <mergeCell ref="AN110:AP110"/>
    <mergeCell ref="AQ110:AS110"/>
    <mergeCell ref="B110:D110"/>
    <mergeCell ref="E110:G110"/>
    <mergeCell ref="I110:K110"/>
    <mergeCell ref="L110:N110"/>
    <mergeCell ref="P110:R110"/>
    <mergeCell ref="S110:U110"/>
    <mergeCell ref="BB108:BD108"/>
    <mergeCell ref="BE108:BG108"/>
    <mergeCell ref="BI108:BK108"/>
    <mergeCell ref="BL108:BN108"/>
    <mergeCell ref="BP108:BR108"/>
    <mergeCell ref="BS108:BU108"/>
    <mergeCell ref="AD108:AF108"/>
    <mergeCell ref="AG108:AI108"/>
    <mergeCell ref="AN108:AP108"/>
    <mergeCell ref="AQ108:AS108"/>
    <mergeCell ref="AU108:AW108"/>
    <mergeCell ref="AX108:AZ108"/>
    <mergeCell ref="BP107:BR107"/>
    <mergeCell ref="BS107:BU107"/>
    <mergeCell ref="B108:D108"/>
    <mergeCell ref="E108:G108"/>
    <mergeCell ref="I108:K108"/>
    <mergeCell ref="L108:N108"/>
    <mergeCell ref="P108:R108"/>
    <mergeCell ref="S108:U108"/>
    <mergeCell ref="W108:Y108"/>
    <mergeCell ref="Z108:AB108"/>
    <mergeCell ref="AU107:AW107"/>
    <mergeCell ref="AX107:AZ107"/>
    <mergeCell ref="BB107:BD107"/>
    <mergeCell ref="BE107:BG107"/>
    <mergeCell ref="BI107:BK107"/>
    <mergeCell ref="BL107:BN107"/>
    <mergeCell ref="W107:Y107"/>
    <mergeCell ref="Z107:AB107"/>
    <mergeCell ref="AD107:AF107"/>
    <mergeCell ref="AG107:AI107"/>
    <mergeCell ref="AN107:AP107"/>
    <mergeCell ref="AQ107:AS107"/>
    <mergeCell ref="B107:D107"/>
    <mergeCell ref="E107:G107"/>
    <mergeCell ref="I107:K107"/>
    <mergeCell ref="L107:N107"/>
    <mergeCell ref="P107:R107"/>
    <mergeCell ref="S107:U107"/>
    <mergeCell ref="BB105:BD105"/>
    <mergeCell ref="BE105:BG105"/>
    <mergeCell ref="BI105:BK105"/>
    <mergeCell ref="BL105:BN105"/>
    <mergeCell ref="BP105:BR105"/>
    <mergeCell ref="BS105:BU105"/>
    <mergeCell ref="AD105:AF105"/>
    <mergeCell ref="AG105:AI105"/>
    <mergeCell ref="AN105:AP105"/>
    <mergeCell ref="AQ105:AS105"/>
    <mergeCell ref="AU105:AW105"/>
    <mergeCell ref="AX105:AZ105"/>
    <mergeCell ref="BP104:BR104"/>
    <mergeCell ref="BS104:BU104"/>
    <mergeCell ref="B105:D105"/>
    <mergeCell ref="E105:G105"/>
    <mergeCell ref="I105:K105"/>
    <mergeCell ref="L105:N105"/>
    <mergeCell ref="P105:R105"/>
    <mergeCell ref="S105:U105"/>
    <mergeCell ref="W105:Y105"/>
    <mergeCell ref="Z105:AB105"/>
    <mergeCell ref="AU104:AW104"/>
    <mergeCell ref="AX104:AZ104"/>
    <mergeCell ref="BB104:BD104"/>
    <mergeCell ref="BE104:BG104"/>
    <mergeCell ref="BI104:BK104"/>
    <mergeCell ref="BL104:BN104"/>
    <mergeCell ref="W104:Y104"/>
    <mergeCell ref="Z104:AB104"/>
    <mergeCell ref="AD104:AF104"/>
    <mergeCell ref="AG104:AI104"/>
    <mergeCell ref="AN104:AP104"/>
    <mergeCell ref="AQ104:AS104"/>
    <mergeCell ref="B104:D104"/>
    <mergeCell ref="E104:G104"/>
    <mergeCell ref="I104:K104"/>
    <mergeCell ref="L104:N104"/>
    <mergeCell ref="P104:R104"/>
    <mergeCell ref="S104:U104"/>
    <mergeCell ref="BB102:BD102"/>
    <mergeCell ref="BE102:BG102"/>
    <mergeCell ref="BI102:BK102"/>
    <mergeCell ref="BL102:BN102"/>
    <mergeCell ref="BP102:BR102"/>
    <mergeCell ref="BS102:BU102"/>
    <mergeCell ref="AD102:AF102"/>
    <mergeCell ref="AG102:AI102"/>
    <mergeCell ref="AN102:AP102"/>
    <mergeCell ref="AQ102:AS102"/>
    <mergeCell ref="AU102:AW102"/>
    <mergeCell ref="AX102:AZ102"/>
    <mergeCell ref="BP101:BR101"/>
    <mergeCell ref="BS101:BU101"/>
    <mergeCell ref="B102:D102"/>
    <mergeCell ref="E102:G102"/>
    <mergeCell ref="I102:K102"/>
    <mergeCell ref="L102:N102"/>
    <mergeCell ref="P102:R102"/>
    <mergeCell ref="S102:U102"/>
    <mergeCell ref="W102:Y102"/>
    <mergeCell ref="Z102:AB102"/>
    <mergeCell ref="AU101:AW101"/>
    <mergeCell ref="AX101:AZ101"/>
    <mergeCell ref="BB101:BD101"/>
    <mergeCell ref="BE101:BG101"/>
    <mergeCell ref="BI101:BK101"/>
    <mergeCell ref="BL101:BN101"/>
    <mergeCell ref="W101:Y101"/>
    <mergeCell ref="Z101:AB101"/>
    <mergeCell ref="AD101:AF101"/>
    <mergeCell ref="AG101:AI101"/>
    <mergeCell ref="AN101:AP101"/>
    <mergeCell ref="AQ101:AS101"/>
    <mergeCell ref="B101:D101"/>
    <mergeCell ref="E101:G101"/>
    <mergeCell ref="I101:K101"/>
    <mergeCell ref="L101:N101"/>
    <mergeCell ref="P101:R101"/>
    <mergeCell ref="S101:U101"/>
    <mergeCell ref="BB98:BD98"/>
    <mergeCell ref="BE98:BG98"/>
    <mergeCell ref="BI98:BK98"/>
    <mergeCell ref="BL98:BN98"/>
    <mergeCell ref="BP98:BR98"/>
    <mergeCell ref="BS98:BU98"/>
    <mergeCell ref="AD98:AF98"/>
    <mergeCell ref="AG98:AI98"/>
    <mergeCell ref="AN98:AP98"/>
    <mergeCell ref="AQ98:AS98"/>
    <mergeCell ref="AU98:AW98"/>
    <mergeCell ref="AX98:AZ98"/>
    <mergeCell ref="BP97:BR97"/>
    <mergeCell ref="BS97:BU97"/>
    <mergeCell ref="B98:D98"/>
    <mergeCell ref="E98:G98"/>
    <mergeCell ref="I98:K98"/>
    <mergeCell ref="L98:N98"/>
    <mergeCell ref="P98:R98"/>
    <mergeCell ref="S98:U98"/>
    <mergeCell ref="W98:Y98"/>
    <mergeCell ref="Z98:AB98"/>
    <mergeCell ref="AU97:AW97"/>
    <mergeCell ref="AX97:AZ97"/>
    <mergeCell ref="BB97:BD97"/>
    <mergeCell ref="BE97:BG97"/>
    <mergeCell ref="BI97:BK97"/>
    <mergeCell ref="BL97:BN97"/>
    <mergeCell ref="W97:Y97"/>
    <mergeCell ref="Z97:AB97"/>
    <mergeCell ref="AD97:AF97"/>
    <mergeCell ref="AG97:AI97"/>
    <mergeCell ref="AN97:AP97"/>
    <mergeCell ref="AQ97:AS97"/>
    <mergeCell ref="B97:D97"/>
    <mergeCell ref="E97:G97"/>
    <mergeCell ref="I97:K97"/>
    <mergeCell ref="L97:N97"/>
    <mergeCell ref="P97:R97"/>
    <mergeCell ref="S97:U97"/>
    <mergeCell ref="BB95:BD95"/>
    <mergeCell ref="BE95:BG95"/>
    <mergeCell ref="BI95:BK95"/>
    <mergeCell ref="BL95:BN95"/>
    <mergeCell ref="BP95:BR95"/>
    <mergeCell ref="BS95:BU95"/>
    <mergeCell ref="AD95:AF95"/>
    <mergeCell ref="AG95:AI95"/>
    <mergeCell ref="AN95:AP95"/>
    <mergeCell ref="AQ95:AS95"/>
    <mergeCell ref="AU95:AW95"/>
    <mergeCell ref="AX95:AZ95"/>
    <mergeCell ref="BP94:BR94"/>
    <mergeCell ref="BS94:BU94"/>
    <mergeCell ref="B95:D95"/>
    <mergeCell ref="E95:G95"/>
    <mergeCell ref="I95:K95"/>
    <mergeCell ref="L95:N95"/>
    <mergeCell ref="P95:R95"/>
    <mergeCell ref="S95:U95"/>
    <mergeCell ref="W95:Y95"/>
    <mergeCell ref="Z95:AB95"/>
    <mergeCell ref="AU94:AW94"/>
    <mergeCell ref="AX94:AZ94"/>
    <mergeCell ref="BB94:BD94"/>
    <mergeCell ref="BE94:BG94"/>
    <mergeCell ref="BI94:BK94"/>
    <mergeCell ref="BL94:BN94"/>
    <mergeCell ref="W94:Y94"/>
    <mergeCell ref="Z94:AB94"/>
    <mergeCell ref="AD94:AF94"/>
    <mergeCell ref="AG94:AI94"/>
    <mergeCell ref="AN94:AP94"/>
    <mergeCell ref="AQ94:AS94"/>
    <mergeCell ref="B94:D94"/>
    <mergeCell ref="E94:G94"/>
    <mergeCell ref="I94:K94"/>
    <mergeCell ref="L94:N94"/>
    <mergeCell ref="P94:R94"/>
    <mergeCell ref="S94:U94"/>
    <mergeCell ref="BB92:BD92"/>
    <mergeCell ref="BE92:BG92"/>
    <mergeCell ref="BI92:BK92"/>
    <mergeCell ref="BL92:BN92"/>
    <mergeCell ref="BP92:BR92"/>
    <mergeCell ref="BS92:BU92"/>
    <mergeCell ref="AD92:AF92"/>
    <mergeCell ref="AG92:AI92"/>
    <mergeCell ref="AN92:AP92"/>
    <mergeCell ref="AQ92:AS92"/>
    <mergeCell ref="AU92:AW92"/>
    <mergeCell ref="AX92:AZ92"/>
    <mergeCell ref="BP91:BR91"/>
    <mergeCell ref="BS91:BU91"/>
    <mergeCell ref="B92:D92"/>
    <mergeCell ref="E92:G92"/>
    <mergeCell ref="I92:K92"/>
    <mergeCell ref="L92:N92"/>
    <mergeCell ref="P92:R92"/>
    <mergeCell ref="S92:U92"/>
    <mergeCell ref="W92:Y92"/>
    <mergeCell ref="Z92:AB92"/>
    <mergeCell ref="AU91:AW91"/>
    <mergeCell ref="AX91:AZ91"/>
    <mergeCell ref="BB91:BD91"/>
    <mergeCell ref="BE91:BG91"/>
    <mergeCell ref="BI91:BK91"/>
    <mergeCell ref="BL91:BN91"/>
    <mergeCell ref="W91:Y91"/>
    <mergeCell ref="Z91:AB91"/>
    <mergeCell ref="AD91:AF91"/>
    <mergeCell ref="AG91:AI91"/>
    <mergeCell ref="AN91:AP91"/>
    <mergeCell ref="AQ91:AS91"/>
    <mergeCell ref="B91:D91"/>
    <mergeCell ref="E91:G91"/>
    <mergeCell ref="I91:K91"/>
    <mergeCell ref="L91:N91"/>
    <mergeCell ref="P91:R91"/>
    <mergeCell ref="S91:U91"/>
    <mergeCell ref="BB89:BD89"/>
    <mergeCell ref="BE89:BG89"/>
    <mergeCell ref="BI89:BK89"/>
    <mergeCell ref="BL89:BN89"/>
    <mergeCell ref="BP89:BR89"/>
    <mergeCell ref="BS89:BU89"/>
    <mergeCell ref="AD89:AF89"/>
    <mergeCell ref="AG89:AI89"/>
    <mergeCell ref="AN89:AP89"/>
    <mergeCell ref="AQ89:AS89"/>
    <mergeCell ref="AU89:AW89"/>
    <mergeCell ref="AX89:AZ89"/>
    <mergeCell ref="BP88:BR88"/>
    <mergeCell ref="BS88:BU88"/>
    <mergeCell ref="B89:D89"/>
    <mergeCell ref="E89:G89"/>
    <mergeCell ref="I89:K89"/>
    <mergeCell ref="L89:N89"/>
    <mergeCell ref="P89:R89"/>
    <mergeCell ref="S89:U89"/>
    <mergeCell ref="W89:Y89"/>
    <mergeCell ref="Z89:AB89"/>
    <mergeCell ref="AU88:AW88"/>
    <mergeCell ref="AX88:AZ88"/>
    <mergeCell ref="BB88:BD88"/>
    <mergeCell ref="BE88:BG88"/>
    <mergeCell ref="BI88:BK88"/>
    <mergeCell ref="BL88:BN88"/>
    <mergeCell ref="W88:Y88"/>
    <mergeCell ref="Z88:AB88"/>
    <mergeCell ref="AD88:AF88"/>
    <mergeCell ref="AG88:AI88"/>
    <mergeCell ref="AN88:AP88"/>
    <mergeCell ref="AQ88:AS88"/>
    <mergeCell ref="B88:D88"/>
    <mergeCell ref="E88:G88"/>
    <mergeCell ref="I88:K88"/>
    <mergeCell ref="L88:N88"/>
    <mergeCell ref="P88:R88"/>
    <mergeCell ref="S88:U88"/>
    <mergeCell ref="BB86:BD86"/>
    <mergeCell ref="BE86:BG86"/>
    <mergeCell ref="BI86:BK86"/>
    <mergeCell ref="BL86:BN86"/>
    <mergeCell ref="BP86:BR86"/>
    <mergeCell ref="BS86:BU86"/>
    <mergeCell ref="AD86:AF86"/>
    <mergeCell ref="AG86:AI86"/>
    <mergeCell ref="AN86:AP86"/>
    <mergeCell ref="AQ86:AS86"/>
    <mergeCell ref="AU86:AW86"/>
    <mergeCell ref="AX86:AZ86"/>
    <mergeCell ref="BP85:BR85"/>
    <mergeCell ref="BS85:BU85"/>
    <mergeCell ref="B86:D86"/>
    <mergeCell ref="E86:G86"/>
    <mergeCell ref="I86:K86"/>
    <mergeCell ref="L86:N86"/>
    <mergeCell ref="P86:R86"/>
    <mergeCell ref="S86:U86"/>
    <mergeCell ref="W86:Y86"/>
    <mergeCell ref="Z86:AB86"/>
    <mergeCell ref="AU85:AW85"/>
    <mergeCell ref="AX85:AZ85"/>
    <mergeCell ref="BB85:BD85"/>
    <mergeCell ref="BE85:BG85"/>
    <mergeCell ref="BI85:BK85"/>
    <mergeCell ref="BL85:BN85"/>
    <mergeCell ref="W85:Y85"/>
    <mergeCell ref="Z85:AB85"/>
    <mergeCell ref="AD85:AF85"/>
    <mergeCell ref="AG85:AI85"/>
    <mergeCell ref="AN85:AP85"/>
    <mergeCell ref="AQ85:AS85"/>
    <mergeCell ref="B85:D85"/>
    <mergeCell ref="E85:G85"/>
    <mergeCell ref="I85:K85"/>
    <mergeCell ref="L85:N85"/>
    <mergeCell ref="P85:R85"/>
    <mergeCell ref="S85:U85"/>
    <mergeCell ref="BB83:BD83"/>
    <mergeCell ref="BE83:BG83"/>
    <mergeCell ref="BI83:BK83"/>
    <mergeCell ref="BL83:BN83"/>
    <mergeCell ref="BP83:BR83"/>
    <mergeCell ref="BS83:BU83"/>
    <mergeCell ref="AD83:AF83"/>
    <mergeCell ref="AG83:AI83"/>
    <mergeCell ref="AN83:AP83"/>
    <mergeCell ref="AQ83:AS83"/>
    <mergeCell ref="AU83:AW83"/>
    <mergeCell ref="AX83:AZ83"/>
    <mergeCell ref="BP82:BR82"/>
    <mergeCell ref="BS82:BU82"/>
    <mergeCell ref="B83:D83"/>
    <mergeCell ref="E83:G83"/>
    <mergeCell ref="I83:K83"/>
    <mergeCell ref="L83:N83"/>
    <mergeCell ref="P83:R83"/>
    <mergeCell ref="S83:U83"/>
    <mergeCell ref="W83:Y83"/>
    <mergeCell ref="Z83:AB83"/>
    <mergeCell ref="AU82:AW82"/>
    <mergeCell ref="AX82:AZ82"/>
    <mergeCell ref="BB82:BD82"/>
    <mergeCell ref="BE82:BG82"/>
    <mergeCell ref="BI82:BK82"/>
    <mergeCell ref="BL82:BN82"/>
    <mergeCell ref="W82:Y82"/>
    <mergeCell ref="Z82:AB82"/>
    <mergeCell ref="AD82:AF82"/>
    <mergeCell ref="AG82:AI82"/>
    <mergeCell ref="AN82:AP82"/>
    <mergeCell ref="AQ82:AS82"/>
    <mergeCell ref="B82:D82"/>
    <mergeCell ref="E82:G82"/>
    <mergeCell ref="I82:K82"/>
    <mergeCell ref="L82:N82"/>
    <mergeCell ref="P82:R82"/>
    <mergeCell ref="S82:U82"/>
    <mergeCell ref="BB80:BD80"/>
    <mergeCell ref="BE80:BG80"/>
    <mergeCell ref="BI80:BK80"/>
    <mergeCell ref="BL80:BN80"/>
    <mergeCell ref="BP80:BR80"/>
    <mergeCell ref="BS80:BU80"/>
    <mergeCell ref="AD80:AF80"/>
    <mergeCell ref="AG80:AI80"/>
    <mergeCell ref="AN80:AP80"/>
    <mergeCell ref="AQ80:AS80"/>
    <mergeCell ref="AU80:AW80"/>
    <mergeCell ref="AX80:AZ80"/>
    <mergeCell ref="BP79:BR79"/>
    <mergeCell ref="BS79:BU79"/>
    <mergeCell ref="B80:D80"/>
    <mergeCell ref="E80:G80"/>
    <mergeCell ref="I80:K80"/>
    <mergeCell ref="L80:N80"/>
    <mergeCell ref="P80:R80"/>
    <mergeCell ref="S80:U80"/>
    <mergeCell ref="W80:Y80"/>
    <mergeCell ref="Z80:AB80"/>
    <mergeCell ref="AU79:AW79"/>
    <mergeCell ref="AX79:AZ79"/>
    <mergeCell ref="BB79:BD79"/>
    <mergeCell ref="BE79:BG79"/>
    <mergeCell ref="BI79:BK79"/>
    <mergeCell ref="BL79:BN79"/>
    <mergeCell ref="W79:Y79"/>
    <mergeCell ref="Z79:AB79"/>
    <mergeCell ref="AD79:AF79"/>
    <mergeCell ref="AG79:AI79"/>
    <mergeCell ref="AN79:AP79"/>
    <mergeCell ref="AQ79:AS79"/>
    <mergeCell ref="B79:D79"/>
    <mergeCell ref="E79:G79"/>
    <mergeCell ref="I79:K79"/>
    <mergeCell ref="L79:N79"/>
    <mergeCell ref="P79:R79"/>
    <mergeCell ref="S79:U79"/>
    <mergeCell ref="BB77:BD77"/>
    <mergeCell ref="BE77:BG77"/>
    <mergeCell ref="BI77:BK77"/>
    <mergeCell ref="BL77:BN77"/>
    <mergeCell ref="BP77:BR77"/>
    <mergeCell ref="BS77:BU77"/>
    <mergeCell ref="AD77:AF77"/>
    <mergeCell ref="AG77:AI77"/>
    <mergeCell ref="AN77:AP77"/>
    <mergeCell ref="AQ77:AS77"/>
    <mergeCell ref="AU77:AW77"/>
    <mergeCell ref="AX77:AZ77"/>
    <mergeCell ref="BP76:BR76"/>
    <mergeCell ref="BS76:BU76"/>
    <mergeCell ref="B77:D77"/>
    <mergeCell ref="E77:G77"/>
    <mergeCell ref="I77:K77"/>
    <mergeCell ref="L77:N77"/>
    <mergeCell ref="P77:R77"/>
    <mergeCell ref="S77:U77"/>
    <mergeCell ref="W77:Y77"/>
    <mergeCell ref="Z77:AB77"/>
    <mergeCell ref="AU76:AW76"/>
    <mergeCell ref="AX76:AZ76"/>
    <mergeCell ref="BB76:BD76"/>
    <mergeCell ref="BE76:BG76"/>
    <mergeCell ref="BI76:BK76"/>
    <mergeCell ref="BL76:BN76"/>
    <mergeCell ref="W76:Y76"/>
    <mergeCell ref="Z76:AB76"/>
    <mergeCell ref="AD76:AF76"/>
    <mergeCell ref="AG76:AI76"/>
    <mergeCell ref="AN76:AP76"/>
    <mergeCell ref="AQ76:AS76"/>
    <mergeCell ref="B76:D76"/>
    <mergeCell ref="E76:G76"/>
    <mergeCell ref="I76:K76"/>
    <mergeCell ref="L76:N76"/>
    <mergeCell ref="P76:R76"/>
    <mergeCell ref="S76:U76"/>
    <mergeCell ref="BB74:BD74"/>
    <mergeCell ref="BE74:BG74"/>
    <mergeCell ref="BI74:BK74"/>
    <mergeCell ref="BL74:BN74"/>
    <mergeCell ref="BP74:BR74"/>
    <mergeCell ref="BS74:BU74"/>
    <mergeCell ref="AD74:AF74"/>
    <mergeCell ref="AG74:AI74"/>
    <mergeCell ref="AN74:AP74"/>
    <mergeCell ref="AQ74:AS74"/>
    <mergeCell ref="AU74:AW74"/>
    <mergeCell ref="AX74:AZ74"/>
    <mergeCell ref="BP73:BR73"/>
    <mergeCell ref="BS73:BU73"/>
    <mergeCell ref="B74:D74"/>
    <mergeCell ref="E74:G74"/>
    <mergeCell ref="I74:K74"/>
    <mergeCell ref="L74:N74"/>
    <mergeCell ref="P74:R74"/>
    <mergeCell ref="S74:U74"/>
    <mergeCell ref="W74:Y74"/>
    <mergeCell ref="Z74:AB74"/>
    <mergeCell ref="AU73:AW73"/>
    <mergeCell ref="AX73:AZ73"/>
    <mergeCell ref="BB73:BD73"/>
    <mergeCell ref="BE73:BG73"/>
    <mergeCell ref="BI73:BK73"/>
    <mergeCell ref="BL73:BN73"/>
    <mergeCell ref="W73:Y73"/>
    <mergeCell ref="Z73:AB73"/>
    <mergeCell ref="AD73:AF73"/>
    <mergeCell ref="AG73:AI73"/>
    <mergeCell ref="AN73:AP73"/>
    <mergeCell ref="AQ73:AS73"/>
    <mergeCell ref="B73:D73"/>
    <mergeCell ref="E73:G73"/>
    <mergeCell ref="I73:K73"/>
    <mergeCell ref="L73:N73"/>
    <mergeCell ref="P73:R73"/>
    <mergeCell ref="S73:U73"/>
    <mergeCell ref="BB71:BD71"/>
    <mergeCell ref="BE71:BG71"/>
    <mergeCell ref="BI71:BK71"/>
    <mergeCell ref="BL71:BN71"/>
    <mergeCell ref="BP71:BR71"/>
    <mergeCell ref="BS71:BU71"/>
    <mergeCell ref="AD71:AF71"/>
    <mergeCell ref="AG71:AI71"/>
    <mergeCell ref="AN71:AP71"/>
    <mergeCell ref="AQ71:AS71"/>
    <mergeCell ref="AU71:AW71"/>
    <mergeCell ref="AX71:AZ71"/>
    <mergeCell ref="BP70:BR70"/>
    <mergeCell ref="BS70:BU70"/>
    <mergeCell ref="B71:D71"/>
    <mergeCell ref="E71:G71"/>
    <mergeCell ref="I71:K71"/>
    <mergeCell ref="L71:N71"/>
    <mergeCell ref="P71:R71"/>
    <mergeCell ref="S71:U71"/>
    <mergeCell ref="W71:Y71"/>
    <mergeCell ref="Z71:AB71"/>
    <mergeCell ref="AU70:AW70"/>
    <mergeCell ref="AX70:AZ70"/>
    <mergeCell ref="BB70:BD70"/>
    <mergeCell ref="BE70:BG70"/>
    <mergeCell ref="BI70:BK70"/>
    <mergeCell ref="BL70:BN70"/>
    <mergeCell ref="W70:Y70"/>
    <mergeCell ref="Z70:AB70"/>
    <mergeCell ref="AD70:AF70"/>
    <mergeCell ref="AG70:AI70"/>
    <mergeCell ref="AN70:AP70"/>
    <mergeCell ref="AQ70:AS70"/>
    <mergeCell ref="B70:D70"/>
    <mergeCell ref="E70:G70"/>
    <mergeCell ref="I70:K70"/>
    <mergeCell ref="L70:N70"/>
    <mergeCell ref="P70:R70"/>
    <mergeCell ref="S70:U70"/>
    <mergeCell ref="BB68:BD68"/>
    <mergeCell ref="BE68:BG68"/>
    <mergeCell ref="BI68:BK68"/>
    <mergeCell ref="BL68:BN68"/>
    <mergeCell ref="BP68:BR68"/>
    <mergeCell ref="BS68:BU68"/>
    <mergeCell ref="AD68:AF68"/>
    <mergeCell ref="AG68:AI68"/>
    <mergeCell ref="AN68:AP68"/>
    <mergeCell ref="AQ68:AS68"/>
    <mergeCell ref="AU68:AW68"/>
    <mergeCell ref="AX68:AZ68"/>
    <mergeCell ref="BP67:BR67"/>
    <mergeCell ref="BS67:BU67"/>
    <mergeCell ref="B68:D68"/>
    <mergeCell ref="E68:G68"/>
    <mergeCell ref="I68:K68"/>
    <mergeCell ref="L68:N68"/>
    <mergeCell ref="P68:R68"/>
    <mergeCell ref="S68:U68"/>
    <mergeCell ref="W68:Y68"/>
    <mergeCell ref="Z68:AB68"/>
    <mergeCell ref="AU67:AW67"/>
    <mergeCell ref="AX67:AZ67"/>
    <mergeCell ref="BB67:BD67"/>
    <mergeCell ref="BE67:BG67"/>
    <mergeCell ref="BI67:BK67"/>
    <mergeCell ref="BL67:BN67"/>
    <mergeCell ref="W67:Y67"/>
    <mergeCell ref="Z67:AB67"/>
    <mergeCell ref="AD67:AF67"/>
    <mergeCell ref="AG67:AI67"/>
    <mergeCell ref="AN67:AP67"/>
    <mergeCell ref="AQ67:AS67"/>
    <mergeCell ref="B67:D67"/>
    <mergeCell ref="E67:G67"/>
    <mergeCell ref="I67:K67"/>
    <mergeCell ref="L67:N67"/>
    <mergeCell ref="P67:R67"/>
    <mergeCell ref="S67:U67"/>
    <mergeCell ref="BB65:BD65"/>
    <mergeCell ref="BE65:BG65"/>
    <mergeCell ref="BI65:BK65"/>
    <mergeCell ref="BL65:BN65"/>
    <mergeCell ref="BP65:BR65"/>
    <mergeCell ref="BS65:BU65"/>
    <mergeCell ref="AD65:AF65"/>
    <mergeCell ref="AG65:AI65"/>
    <mergeCell ref="AN65:AP65"/>
    <mergeCell ref="AQ65:AS65"/>
    <mergeCell ref="AU65:AW65"/>
    <mergeCell ref="AX65:AZ65"/>
    <mergeCell ref="BP64:BR64"/>
    <mergeCell ref="BS64:BU64"/>
    <mergeCell ref="B65:D65"/>
    <mergeCell ref="E65:G65"/>
    <mergeCell ref="I65:K65"/>
    <mergeCell ref="L65:N65"/>
    <mergeCell ref="P65:R65"/>
    <mergeCell ref="S65:U65"/>
    <mergeCell ref="W65:Y65"/>
    <mergeCell ref="Z65:AB65"/>
    <mergeCell ref="AU64:AW64"/>
    <mergeCell ref="AX64:AZ64"/>
    <mergeCell ref="BB64:BD64"/>
    <mergeCell ref="BE64:BG64"/>
    <mergeCell ref="BI64:BK64"/>
    <mergeCell ref="BL64:BN64"/>
    <mergeCell ref="W64:Y64"/>
    <mergeCell ref="Z64:AB64"/>
    <mergeCell ref="AD64:AF64"/>
    <mergeCell ref="AG64:AI64"/>
    <mergeCell ref="AN64:AP64"/>
    <mergeCell ref="AQ64:AS64"/>
    <mergeCell ref="B64:D64"/>
    <mergeCell ref="E64:G64"/>
    <mergeCell ref="I64:K64"/>
    <mergeCell ref="L64:N64"/>
    <mergeCell ref="P64:R64"/>
    <mergeCell ref="S64:U64"/>
    <mergeCell ref="BB62:BD62"/>
    <mergeCell ref="BE62:BG62"/>
    <mergeCell ref="BI62:BK62"/>
    <mergeCell ref="BL62:BN62"/>
    <mergeCell ref="BP62:BR62"/>
    <mergeCell ref="BS62:BU62"/>
    <mergeCell ref="AD62:AF62"/>
    <mergeCell ref="AG62:AI62"/>
    <mergeCell ref="AN62:AP62"/>
    <mergeCell ref="AQ62:AS62"/>
    <mergeCell ref="AU62:AW62"/>
    <mergeCell ref="AX62:AZ62"/>
    <mergeCell ref="BP61:BR61"/>
    <mergeCell ref="BS61:BU61"/>
    <mergeCell ref="B62:D62"/>
    <mergeCell ref="E62:G62"/>
    <mergeCell ref="I62:K62"/>
    <mergeCell ref="L62:N62"/>
    <mergeCell ref="P62:R62"/>
    <mergeCell ref="S62:U62"/>
    <mergeCell ref="W62:Y62"/>
    <mergeCell ref="Z62:AB62"/>
    <mergeCell ref="AU61:AW61"/>
    <mergeCell ref="AX61:AZ61"/>
    <mergeCell ref="BB61:BD61"/>
    <mergeCell ref="BE61:BG61"/>
    <mergeCell ref="BI61:BK61"/>
    <mergeCell ref="BL61:BN61"/>
    <mergeCell ref="W61:Y61"/>
    <mergeCell ref="Z61:AB61"/>
    <mergeCell ref="AD61:AF61"/>
    <mergeCell ref="AG61:AI61"/>
    <mergeCell ref="AN61:AP61"/>
    <mergeCell ref="AQ61:AS61"/>
    <mergeCell ref="B61:D61"/>
    <mergeCell ref="E61:G61"/>
    <mergeCell ref="I61:K61"/>
    <mergeCell ref="L61:N61"/>
    <mergeCell ref="P61:R61"/>
    <mergeCell ref="S61:U61"/>
    <mergeCell ref="BB59:BD59"/>
    <mergeCell ref="BE59:BG59"/>
    <mergeCell ref="BI59:BK59"/>
    <mergeCell ref="BL59:BN59"/>
    <mergeCell ref="BP59:BR59"/>
    <mergeCell ref="BS59:BU59"/>
    <mergeCell ref="AD59:AF59"/>
    <mergeCell ref="AG59:AI59"/>
    <mergeCell ref="AN59:AP59"/>
    <mergeCell ref="AQ59:AS59"/>
    <mergeCell ref="AU59:AW59"/>
    <mergeCell ref="AX59:AZ59"/>
    <mergeCell ref="BP58:BR58"/>
    <mergeCell ref="BS58:BU58"/>
    <mergeCell ref="B59:D59"/>
    <mergeCell ref="E59:G59"/>
    <mergeCell ref="I59:K59"/>
    <mergeCell ref="L59:N59"/>
    <mergeCell ref="P59:R59"/>
    <mergeCell ref="S59:U59"/>
    <mergeCell ref="W59:Y59"/>
    <mergeCell ref="Z59:AB59"/>
    <mergeCell ref="AU58:AW58"/>
    <mergeCell ref="AX58:AZ58"/>
    <mergeCell ref="BB58:BD58"/>
    <mergeCell ref="BE58:BG58"/>
    <mergeCell ref="BI58:BK58"/>
    <mergeCell ref="BL58:BN58"/>
    <mergeCell ref="W58:Y58"/>
    <mergeCell ref="Z58:AB58"/>
    <mergeCell ref="AD58:AF58"/>
    <mergeCell ref="AG58:AI58"/>
    <mergeCell ref="AN58:AP58"/>
    <mergeCell ref="AQ58:AS58"/>
    <mergeCell ref="B58:D58"/>
    <mergeCell ref="E58:G58"/>
    <mergeCell ref="I58:K58"/>
    <mergeCell ref="L58:N58"/>
    <mergeCell ref="P58:R58"/>
    <mergeCell ref="S58:U58"/>
    <mergeCell ref="BB56:BD56"/>
    <mergeCell ref="BE56:BG56"/>
    <mergeCell ref="BI56:BK56"/>
    <mergeCell ref="BL56:BN56"/>
    <mergeCell ref="BP56:BR56"/>
    <mergeCell ref="BS56:BU56"/>
    <mergeCell ref="AD56:AF56"/>
    <mergeCell ref="AG56:AI56"/>
    <mergeCell ref="AN56:AP56"/>
    <mergeCell ref="AQ56:AS56"/>
    <mergeCell ref="AU56:AW56"/>
    <mergeCell ref="AX56:AZ56"/>
    <mergeCell ref="BP55:BR55"/>
    <mergeCell ref="BS55:BU55"/>
    <mergeCell ref="B56:D56"/>
    <mergeCell ref="E56:G56"/>
    <mergeCell ref="I56:K56"/>
    <mergeCell ref="L56:N56"/>
    <mergeCell ref="P56:R56"/>
    <mergeCell ref="S56:U56"/>
    <mergeCell ref="W56:Y56"/>
    <mergeCell ref="Z56:AB56"/>
    <mergeCell ref="AU55:AW55"/>
    <mergeCell ref="AX55:AZ55"/>
    <mergeCell ref="BB55:BD55"/>
    <mergeCell ref="BE55:BG55"/>
    <mergeCell ref="BI55:BK55"/>
    <mergeCell ref="BL55:BN55"/>
    <mergeCell ref="W55:Y55"/>
    <mergeCell ref="Z55:AB55"/>
    <mergeCell ref="AD55:AF55"/>
    <mergeCell ref="AG55:AI55"/>
    <mergeCell ref="AN55:AP55"/>
    <mergeCell ref="AQ55:AS55"/>
    <mergeCell ref="B55:D55"/>
    <mergeCell ref="E55:G55"/>
    <mergeCell ref="I55:K55"/>
    <mergeCell ref="L55:N55"/>
    <mergeCell ref="P55:R55"/>
    <mergeCell ref="S55:U55"/>
    <mergeCell ref="BB53:BD53"/>
    <mergeCell ref="BE53:BG53"/>
    <mergeCell ref="BI53:BK53"/>
    <mergeCell ref="BL53:BN53"/>
    <mergeCell ref="BP53:BR53"/>
    <mergeCell ref="BS53:BU53"/>
    <mergeCell ref="AD53:AF53"/>
    <mergeCell ref="AG53:AI53"/>
    <mergeCell ref="AN53:AP53"/>
    <mergeCell ref="AQ53:AS53"/>
    <mergeCell ref="AU53:AW53"/>
    <mergeCell ref="AX53:AZ53"/>
    <mergeCell ref="BP52:BR52"/>
    <mergeCell ref="BS52:BU52"/>
    <mergeCell ref="B53:D53"/>
    <mergeCell ref="E53:G53"/>
    <mergeCell ref="I53:K53"/>
    <mergeCell ref="L53:N53"/>
    <mergeCell ref="P53:R53"/>
    <mergeCell ref="S53:U53"/>
    <mergeCell ref="W53:Y53"/>
    <mergeCell ref="Z53:AB53"/>
    <mergeCell ref="AU52:AW52"/>
    <mergeCell ref="AX52:AZ52"/>
    <mergeCell ref="BB52:BD52"/>
    <mergeCell ref="BE52:BG52"/>
    <mergeCell ref="BI52:BK52"/>
    <mergeCell ref="BL52:BN52"/>
    <mergeCell ref="W52:Y52"/>
    <mergeCell ref="Z52:AB52"/>
    <mergeCell ref="AD52:AF52"/>
    <mergeCell ref="AG52:AI52"/>
    <mergeCell ref="AN52:AP52"/>
    <mergeCell ref="AQ52:AS52"/>
    <mergeCell ref="B52:D52"/>
    <mergeCell ref="E52:G52"/>
    <mergeCell ref="I52:K52"/>
    <mergeCell ref="L52:N52"/>
    <mergeCell ref="P52:R52"/>
    <mergeCell ref="S52:U52"/>
    <mergeCell ref="BB50:BD50"/>
    <mergeCell ref="BE50:BG50"/>
    <mergeCell ref="BI50:BK50"/>
    <mergeCell ref="BL50:BN50"/>
    <mergeCell ref="BP50:BR50"/>
    <mergeCell ref="BS50:BU50"/>
    <mergeCell ref="AD50:AF50"/>
    <mergeCell ref="AG50:AI50"/>
    <mergeCell ref="AN50:AP50"/>
    <mergeCell ref="AQ50:AS50"/>
    <mergeCell ref="AU50:AW50"/>
    <mergeCell ref="AX50:AZ50"/>
    <mergeCell ref="BP49:BR49"/>
    <mergeCell ref="BS49:BU49"/>
    <mergeCell ref="B50:D50"/>
    <mergeCell ref="E50:G50"/>
    <mergeCell ref="I50:K50"/>
    <mergeCell ref="L50:N50"/>
    <mergeCell ref="P50:R50"/>
    <mergeCell ref="S50:U50"/>
    <mergeCell ref="W50:Y50"/>
    <mergeCell ref="Z50:AB50"/>
    <mergeCell ref="AU49:AW49"/>
    <mergeCell ref="AX49:AZ49"/>
    <mergeCell ref="BB49:BD49"/>
    <mergeCell ref="BE49:BG49"/>
    <mergeCell ref="BI49:BK49"/>
    <mergeCell ref="BL49:BN49"/>
    <mergeCell ref="W49:Y49"/>
    <mergeCell ref="Z49:AB49"/>
    <mergeCell ref="AD49:AF49"/>
    <mergeCell ref="AG49:AI49"/>
    <mergeCell ref="AN49:AP49"/>
    <mergeCell ref="AQ49:AS49"/>
    <mergeCell ref="B49:D49"/>
    <mergeCell ref="E49:G49"/>
    <mergeCell ref="I49:K49"/>
    <mergeCell ref="L49:N49"/>
    <mergeCell ref="P49:R49"/>
    <mergeCell ref="S49:U49"/>
    <mergeCell ref="BB47:BD47"/>
    <mergeCell ref="BE47:BG47"/>
    <mergeCell ref="BI47:BK47"/>
    <mergeCell ref="BL47:BN47"/>
    <mergeCell ref="BP47:BR47"/>
    <mergeCell ref="BS47:BU47"/>
    <mergeCell ref="AD47:AF47"/>
    <mergeCell ref="AG47:AI47"/>
    <mergeCell ref="AN47:AP47"/>
    <mergeCell ref="AQ47:AS47"/>
    <mergeCell ref="AU47:AW47"/>
    <mergeCell ref="AX47:AZ47"/>
    <mergeCell ref="BP46:BR46"/>
    <mergeCell ref="BS46:BU46"/>
    <mergeCell ref="B47:D47"/>
    <mergeCell ref="E47:G47"/>
    <mergeCell ref="I47:K47"/>
    <mergeCell ref="L47:N47"/>
    <mergeCell ref="P47:R47"/>
    <mergeCell ref="S47:U47"/>
    <mergeCell ref="W47:Y47"/>
    <mergeCell ref="Z47:AB47"/>
    <mergeCell ref="AU46:AW46"/>
    <mergeCell ref="AX46:AZ46"/>
    <mergeCell ref="BB46:BD46"/>
    <mergeCell ref="BE46:BG46"/>
    <mergeCell ref="BI46:BK46"/>
    <mergeCell ref="BL46:BN46"/>
    <mergeCell ref="W46:Y46"/>
    <mergeCell ref="Z46:AB46"/>
    <mergeCell ref="AD46:AF46"/>
    <mergeCell ref="AG46:AI46"/>
    <mergeCell ref="AN46:AP46"/>
    <mergeCell ref="AQ46:AS46"/>
    <mergeCell ref="B46:D46"/>
    <mergeCell ref="E46:G46"/>
    <mergeCell ref="I46:K46"/>
    <mergeCell ref="L46:N46"/>
    <mergeCell ref="P46:R46"/>
    <mergeCell ref="S46:U46"/>
    <mergeCell ref="BB44:BD44"/>
    <mergeCell ref="BE44:BG44"/>
    <mergeCell ref="BI44:BK44"/>
    <mergeCell ref="BL44:BN44"/>
    <mergeCell ref="BP44:BR44"/>
    <mergeCell ref="BS44:BU44"/>
    <mergeCell ref="AD44:AF44"/>
    <mergeCell ref="AG44:AI44"/>
    <mergeCell ref="AN44:AP44"/>
    <mergeCell ref="AQ44:AS44"/>
    <mergeCell ref="AU44:AW44"/>
    <mergeCell ref="AX44:AZ44"/>
    <mergeCell ref="BP43:BR43"/>
    <mergeCell ref="BS43:BU43"/>
    <mergeCell ref="B44:D44"/>
    <mergeCell ref="E44:G44"/>
    <mergeCell ref="I44:K44"/>
    <mergeCell ref="L44:N44"/>
    <mergeCell ref="P44:R44"/>
    <mergeCell ref="S44:U44"/>
    <mergeCell ref="W44:Y44"/>
    <mergeCell ref="Z44:AB44"/>
    <mergeCell ref="AU43:AW43"/>
    <mergeCell ref="AX43:AZ43"/>
    <mergeCell ref="BB43:BD43"/>
    <mergeCell ref="BE43:BG43"/>
    <mergeCell ref="BI43:BK43"/>
    <mergeCell ref="BL43:BN43"/>
    <mergeCell ref="W43:Y43"/>
    <mergeCell ref="Z43:AB43"/>
    <mergeCell ref="AD43:AF43"/>
    <mergeCell ref="AG43:AI43"/>
    <mergeCell ref="AN43:AP43"/>
    <mergeCell ref="AQ43:AS43"/>
    <mergeCell ref="B43:D43"/>
    <mergeCell ref="E43:G43"/>
    <mergeCell ref="I43:K43"/>
    <mergeCell ref="L43:N43"/>
    <mergeCell ref="P43:R43"/>
    <mergeCell ref="S43:U43"/>
    <mergeCell ref="BB41:BD41"/>
    <mergeCell ref="BE41:BG41"/>
    <mergeCell ref="BI41:BK41"/>
    <mergeCell ref="BL41:BN41"/>
    <mergeCell ref="BP41:BR41"/>
    <mergeCell ref="BS41:BU41"/>
    <mergeCell ref="AD41:AF41"/>
    <mergeCell ref="AG41:AI41"/>
    <mergeCell ref="AN41:AP41"/>
    <mergeCell ref="AQ41:AS41"/>
    <mergeCell ref="AU41:AW41"/>
    <mergeCell ref="AX41:AZ41"/>
    <mergeCell ref="BP40:BR40"/>
    <mergeCell ref="BS40:BU40"/>
    <mergeCell ref="B41:D41"/>
    <mergeCell ref="E41:G41"/>
    <mergeCell ref="I41:K41"/>
    <mergeCell ref="L41:N41"/>
    <mergeCell ref="P41:R41"/>
    <mergeCell ref="S41:U41"/>
    <mergeCell ref="W41:Y41"/>
    <mergeCell ref="Z41:AB41"/>
    <mergeCell ref="AU40:AW40"/>
    <mergeCell ref="AX40:AZ40"/>
    <mergeCell ref="BB40:BD40"/>
    <mergeCell ref="BE40:BG40"/>
    <mergeCell ref="BI40:BK40"/>
    <mergeCell ref="BL40:BN40"/>
    <mergeCell ref="W40:Y40"/>
    <mergeCell ref="Z40:AB40"/>
    <mergeCell ref="AD40:AF40"/>
    <mergeCell ref="AG40:AI40"/>
    <mergeCell ref="AN40:AP40"/>
    <mergeCell ref="AQ40:AS40"/>
    <mergeCell ref="B40:D40"/>
    <mergeCell ref="E40:G40"/>
    <mergeCell ref="I40:K40"/>
    <mergeCell ref="L40:N40"/>
    <mergeCell ref="P40:R40"/>
    <mergeCell ref="S40:U40"/>
    <mergeCell ref="BB37:BD37"/>
    <mergeCell ref="BE37:BG37"/>
    <mergeCell ref="BI37:BK37"/>
    <mergeCell ref="BL37:BN37"/>
    <mergeCell ref="BP37:BR37"/>
    <mergeCell ref="BS37:BU37"/>
    <mergeCell ref="AD37:AF37"/>
    <mergeCell ref="AG37:AI37"/>
    <mergeCell ref="AN37:AP37"/>
    <mergeCell ref="AQ37:AS37"/>
    <mergeCell ref="AU37:AW37"/>
    <mergeCell ref="AX37:AZ37"/>
    <mergeCell ref="BP36:BR36"/>
    <mergeCell ref="BS36:BU36"/>
    <mergeCell ref="B37:D37"/>
    <mergeCell ref="E37:G37"/>
    <mergeCell ref="I37:K37"/>
    <mergeCell ref="L37:N37"/>
    <mergeCell ref="P37:R37"/>
    <mergeCell ref="S37:U37"/>
    <mergeCell ref="W37:Y37"/>
    <mergeCell ref="Z37:AB37"/>
    <mergeCell ref="AU36:AW36"/>
    <mergeCell ref="AX36:AZ36"/>
    <mergeCell ref="BB36:BD36"/>
    <mergeCell ref="BE36:BG36"/>
    <mergeCell ref="BI36:BK36"/>
    <mergeCell ref="BL36:BN36"/>
    <mergeCell ref="W36:Y36"/>
    <mergeCell ref="Z36:AB36"/>
    <mergeCell ref="AD36:AF36"/>
    <mergeCell ref="AG36:AI36"/>
    <mergeCell ref="AN36:AP36"/>
    <mergeCell ref="AQ36:AS36"/>
    <mergeCell ref="B36:D36"/>
    <mergeCell ref="E36:G36"/>
    <mergeCell ref="I36:K36"/>
    <mergeCell ref="L36:N36"/>
    <mergeCell ref="P36:R36"/>
    <mergeCell ref="S36:U36"/>
    <mergeCell ref="BB34:BD34"/>
    <mergeCell ref="BE34:BG34"/>
    <mergeCell ref="BI34:BK34"/>
    <mergeCell ref="BL34:BN34"/>
    <mergeCell ref="BP34:BR34"/>
    <mergeCell ref="BS34:BU34"/>
    <mergeCell ref="AD34:AF34"/>
    <mergeCell ref="AG34:AI34"/>
    <mergeCell ref="AN34:AP34"/>
    <mergeCell ref="AQ34:AS34"/>
    <mergeCell ref="AU34:AW34"/>
    <mergeCell ref="AX34:AZ34"/>
    <mergeCell ref="BP33:BR33"/>
    <mergeCell ref="BS33:BU33"/>
    <mergeCell ref="B34:D34"/>
    <mergeCell ref="E34:G34"/>
    <mergeCell ref="I34:K34"/>
    <mergeCell ref="L34:N34"/>
    <mergeCell ref="P34:R34"/>
    <mergeCell ref="S34:U34"/>
    <mergeCell ref="W34:Y34"/>
    <mergeCell ref="Z34:AB34"/>
    <mergeCell ref="AU33:AW33"/>
    <mergeCell ref="AX33:AZ33"/>
    <mergeCell ref="BB33:BD33"/>
    <mergeCell ref="BE33:BG33"/>
    <mergeCell ref="BI33:BK33"/>
    <mergeCell ref="BL33:BN33"/>
    <mergeCell ref="W33:Y33"/>
    <mergeCell ref="Z33:AB33"/>
    <mergeCell ref="AD33:AF33"/>
    <mergeCell ref="AG33:AI33"/>
    <mergeCell ref="AN33:AP33"/>
    <mergeCell ref="AQ33:AS33"/>
    <mergeCell ref="B33:D33"/>
    <mergeCell ref="E33:G33"/>
    <mergeCell ref="I33:K33"/>
    <mergeCell ref="L33:N33"/>
    <mergeCell ref="P33:R33"/>
    <mergeCell ref="S33:U33"/>
    <mergeCell ref="BB31:BD31"/>
    <mergeCell ref="BE31:BG31"/>
    <mergeCell ref="BI31:BK31"/>
    <mergeCell ref="BL31:BN31"/>
    <mergeCell ref="BP31:BR31"/>
    <mergeCell ref="BS31:BU31"/>
    <mergeCell ref="AD31:AF31"/>
    <mergeCell ref="AG31:AI31"/>
    <mergeCell ref="AN31:AP31"/>
    <mergeCell ref="AQ31:AS31"/>
    <mergeCell ref="AU31:AW31"/>
    <mergeCell ref="AX31:AZ31"/>
    <mergeCell ref="BP30:BR30"/>
    <mergeCell ref="BS30:BU30"/>
    <mergeCell ref="B31:D31"/>
    <mergeCell ref="E31:G31"/>
    <mergeCell ref="I31:K31"/>
    <mergeCell ref="L31:N31"/>
    <mergeCell ref="P31:R31"/>
    <mergeCell ref="S31:U31"/>
    <mergeCell ref="W31:Y31"/>
    <mergeCell ref="Z31:AB31"/>
    <mergeCell ref="AU30:AW30"/>
    <mergeCell ref="AX30:AZ30"/>
    <mergeCell ref="BB30:BD30"/>
    <mergeCell ref="BE30:BG30"/>
    <mergeCell ref="BI30:BK30"/>
    <mergeCell ref="BL30:BN30"/>
    <mergeCell ref="W30:Y30"/>
    <mergeCell ref="Z30:AB30"/>
    <mergeCell ref="AD30:AF30"/>
    <mergeCell ref="AG30:AI30"/>
    <mergeCell ref="AN30:AP30"/>
    <mergeCell ref="AQ30:AS30"/>
    <mergeCell ref="B30:D30"/>
    <mergeCell ref="E30:G30"/>
    <mergeCell ref="I30:K30"/>
    <mergeCell ref="L30:N30"/>
    <mergeCell ref="P30:R30"/>
    <mergeCell ref="S30:U30"/>
    <mergeCell ref="BB28:BD28"/>
    <mergeCell ref="BE28:BG28"/>
    <mergeCell ref="BI28:BK28"/>
    <mergeCell ref="BL28:BN28"/>
    <mergeCell ref="BP28:BR28"/>
    <mergeCell ref="BS28:BU28"/>
    <mergeCell ref="AD28:AF28"/>
    <mergeCell ref="AG28:AI28"/>
    <mergeCell ref="AN28:AP28"/>
    <mergeCell ref="AQ28:AS28"/>
    <mergeCell ref="AU28:AW28"/>
    <mergeCell ref="AX28:AZ28"/>
    <mergeCell ref="BP27:BR27"/>
    <mergeCell ref="BS27:BU27"/>
    <mergeCell ref="B28:D28"/>
    <mergeCell ref="E28:G28"/>
    <mergeCell ref="I28:K28"/>
    <mergeCell ref="L28:N28"/>
    <mergeCell ref="P28:R28"/>
    <mergeCell ref="S28:U28"/>
    <mergeCell ref="W28:Y28"/>
    <mergeCell ref="Z28:AB28"/>
    <mergeCell ref="AU27:AW27"/>
    <mergeCell ref="AX27:AZ27"/>
    <mergeCell ref="BB27:BD27"/>
    <mergeCell ref="BE27:BG27"/>
    <mergeCell ref="BI27:BK27"/>
    <mergeCell ref="BL27:BN27"/>
    <mergeCell ref="W27:Y27"/>
    <mergeCell ref="Z27:AB27"/>
    <mergeCell ref="AD27:AF27"/>
    <mergeCell ref="AG27:AI27"/>
    <mergeCell ref="AN27:AP27"/>
    <mergeCell ref="AQ27:AS27"/>
    <mergeCell ref="B27:D27"/>
    <mergeCell ref="E27:G27"/>
    <mergeCell ref="I27:K27"/>
    <mergeCell ref="L27:N27"/>
    <mergeCell ref="P27:R27"/>
    <mergeCell ref="S27:U27"/>
    <mergeCell ref="BB25:BD25"/>
    <mergeCell ref="BE25:BG25"/>
    <mergeCell ref="BI25:BK25"/>
    <mergeCell ref="BL25:BN25"/>
    <mergeCell ref="BP25:BR25"/>
    <mergeCell ref="BS25:BU25"/>
    <mergeCell ref="AD25:AF25"/>
    <mergeCell ref="AG25:AI25"/>
    <mergeCell ref="AN25:AP25"/>
    <mergeCell ref="AQ25:AS25"/>
    <mergeCell ref="AU25:AW25"/>
    <mergeCell ref="AX25:AZ25"/>
    <mergeCell ref="BP24:BR24"/>
    <mergeCell ref="BS24:BU24"/>
    <mergeCell ref="B25:D25"/>
    <mergeCell ref="E25:G25"/>
    <mergeCell ref="I25:K25"/>
    <mergeCell ref="L25:N25"/>
    <mergeCell ref="P25:R25"/>
    <mergeCell ref="S25:U25"/>
    <mergeCell ref="W25:Y25"/>
    <mergeCell ref="Z25:AB25"/>
    <mergeCell ref="AU24:AW24"/>
    <mergeCell ref="AX24:AZ24"/>
    <mergeCell ref="BB24:BD24"/>
    <mergeCell ref="BE24:BG24"/>
    <mergeCell ref="BI24:BK24"/>
    <mergeCell ref="BL24:BN24"/>
    <mergeCell ref="W24:Y24"/>
    <mergeCell ref="Z24:AB24"/>
    <mergeCell ref="AD24:AF24"/>
    <mergeCell ref="AG24:AI24"/>
    <mergeCell ref="AN24:AP24"/>
    <mergeCell ref="AQ24:AS24"/>
    <mergeCell ref="B24:D24"/>
    <mergeCell ref="E24:G24"/>
    <mergeCell ref="I24:K24"/>
    <mergeCell ref="L24:N24"/>
    <mergeCell ref="P24:R24"/>
    <mergeCell ref="S24:U24"/>
    <mergeCell ref="BB22:BD22"/>
    <mergeCell ref="BE22:BG22"/>
    <mergeCell ref="BI22:BK22"/>
    <mergeCell ref="BL22:BN22"/>
    <mergeCell ref="BP22:BR22"/>
    <mergeCell ref="BS22:BU22"/>
    <mergeCell ref="AD22:AF22"/>
    <mergeCell ref="AG22:AI22"/>
    <mergeCell ref="AN22:AP22"/>
    <mergeCell ref="AQ22:AS22"/>
    <mergeCell ref="AU22:AW22"/>
    <mergeCell ref="AX22:AZ22"/>
    <mergeCell ref="BP21:BR21"/>
    <mergeCell ref="BS21:BU21"/>
    <mergeCell ref="B22:D22"/>
    <mergeCell ref="E22:G22"/>
    <mergeCell ref="I22:K22"/>
    <mergeCell ref="L22:N22"/>
    <mergeCell ref="P22:R22"/>
    <mergeCell ref="S22:U22"/>
    <mergeCell ref="W22:Y22"/>
    <mergeCell ref="Z22:AB22"/>
    <mergeCell ref="AU21:AW21"/>
    <mergeCell ref="AX21:AZ21"/>
    <mergeCell ref="BB21:BD21"/>
    <mergeCell ref="BE21:BG21"/>
    <mergeCell ref="BI21:BK21"/>
    <mergeCell ref="BL21:BN21"/>
    <mergeCell ref="W21:Y21"/>
    <mergeCell ref="Z21:AB21"/>
    <mergeCell ref="AD21:AF21"/>
    <mergeCell ref="AG21:AI21"/>
    <mergeCell ref="AN21:AP21"/>
    <mergeCell ref="AQ21:AS21"/>
    <mergeCell ref="B21:D21"/>
    <mergeCell ref="E21:G21"/>
    <mergeCell ref="I21:K21"/>
    <mergeCell ref="L21:N21"/>
    <mergeCell ref="P21:R21"/>
    <mergeCell ref="S21:U21"/>
    <mergeCell ref="BB19:BD19"/>
    <mergeCell ref="BE19:BG19"/>
    <mergeCell ref="BI19:BK19"/>
    <mergeCell ref="BL19:BN19"/>
    <mergeCell ref="BP19:BR19"/>
    <mergeCell ref="BS19:BU19"/>
    <mergeCell ref="AD19:AF19"/>
    <mergeCell ref="AG19:AI19"/>
    <mergeCell ref="AN19:AP19"/>
    <mergeCell ref="AQ19:AS19"/>
    <mergeCell ref="AU19:AW19"/>
    <mergeCell ref="AX19:AZ19"/>
    <mergeCell ref="BP18:BR18"/>
    <mergeCell ref="BS18:BU18"/>
    <mergeCell ref="B19:D19"/>
    <mergeCell ref="E19:G19"/>
    <mergeCell ref="I19:K19"/>
    <mergeCell ref="L19:N19"/>
    <mergeCell ref="P19:R19"/>
    <mergeCell ref="S19:U19"/>
    <mergeCell ref="W19:Y19"/>
    <mergeCell ref="Z19:AB19"/>
    <mergeCell ref="AU18:AW18"/>
    <mergeCell ref="AX18:AZ18"/>
    <mergeCell ref="BB18:BD18"/>
    <mergeCell ref="BE18:BG18"/>
    <mergeCell ref="BI18:BK18"/>
    <mergeCell ref="BL18:BN18"/>
    <mergeCell ref="W18:Y18"/>
    <mergeCell ref="Z18:AB18"/>
    <mergeCell ref="AD18:AF18"/>
    <mergeCell ref="AG18:AI18"/>
    <mergeCell ref="AN18:AP18"/>
    <mergeCell ref="AQ18:AS18"/>
    <mergeCell ref="B18:D18"/>
    <mergeCell ref="E18:G18"/>
    <mergeCell ref="I18:K18"/>
    <mergeCell ref="L18:N18"/>
    <mergeCell ref="P18:R18"/>
    <mergeCell ref="S18:U18"/>
    <mergeCell ref="BB16:BD16"/>
    <mergeCell ref="BE16:BG16"/>
    <mergeCell ref="BI16:BK16"/>
    <mergeCell ref="BL16:BN16"/>
    <mergeCell ref="BP16:BR16"/>
    <mergeCell ref="BS16:BU16"/>
    <mergeCell ref="AD16:AF16"/>
    <mergeCell ref="AG16:AI16"/>
    <mergeCell ref="AN16:AP16"/>
    <mergeCell ref="AQ16:AS16"/>
    <mergeCell ref="AU16:AW16"/>
    <mergeCell ref="AX16:AZ16"/>
    <mergeCell ref="BP15:BR15"/>
    <mergeCell ref="BS15:BU15"/>
    <mergeCell ref="B16:D16"/>
    <mergeCell ref="E16:G16"/>
    <mergeCell ref="I16:K16"/>
    <mergeCell ref="L16:N16"/>
    <mergeCell ref="P16:R16"/>
    <mergeCell ref="S16:U16"/>
    <mergeCell ref="W16:Y16"/>
    <mergeCell ref="Z16:AB16"/>
    <mergeCell ref="AU15:AW15"/>
    <mergeCell ref="AX15:AZ15"/>
    <mergeCell ref="BB15:BD15"/>
    <mergeCell ref="BE15:BG15"/>
    <mergeCell ref="BI15:BK15"/>
    <mergeCell ref="BL15:BN15"/>
    <mergeCell ref="W15:Y15"/>
    <mergeCell ref="Z15:AB15"/>
    <mergeCell ref="AD15:AF15"/>
    <mergeCell ref="AG15:AI15"/>
    <mergeCell ref="AN15:AP15"/>
    <mergeCell ref="AQ15:AS15"/>
    <mergeCell ref="B15:D15"/>
    <mergeCell ref="E15:G15"/>
    <mergeCell ref="I15:K15"/>
    <mergeCell ref="L15:N15"/>
    <mergeCell ref="P15:R15"/>
    <mergeCell ref="S15:U15"/>
    <mergeCell ref="BB13:BD13"/>
    <mergeCell ref="BE13:BG13"/>
    <mergeCell ref="BI13:BK13"/>
    <mergeCell ref="BL13:BN13"/>
    <mergeCell ref="BP13:BR13"/>
    <mergeCell ref="BS13:BU13"/>
    <mergeCell ref="AD13:AF13"/>
    <mergeCell ref="AG13:AI13"/>
    <mergeCell ref="AN13:AP13"/>
    <mergeCell ref="AQ13:AS13"/>
    <mergeCell ref="AU13:AW13"/>
    <mergeCell ref="AX13:AZ13"/>
    <mergeCell ref="BP12:BR12"/>
    <mergeCell ref="BS12:BU12"/>
    <mergeCell ref="B13:D13"/>
    <mergeCell ref="E13:G13"/>
    <mergeCell ref="I13:K13"/>
    <mergeCell ref="L13:N13"/>
    <mergeCell ref="P13:R13"/>
    <mergeCell ref="S13:U13"/>
    <mergeCell ref="W13:Y13"/>
    <mergeCell ref="Z13:AB13"/>
    <mergeCell ref="AU12:AW12"/>
    <mergeCell ref="AX12:AZ12"/>
    <mergeCell ref="BB12:BD12"/>
    <mergeCell ref="BE12:BG12"/>
    <mergeCell ref="BI12:BK12"/>
    <mergeCell ref="BL12:BN12"/>
    <mergeCell ref="W12:Y12"/>
    <mergeCell ref="Z12:AB12"/>
    <mergeCell ref="AD12:AF12"/>
    <mergeCell ref="AG12:AI12"/>
    <mergeCell ref="AN12:AP12"/>
    <mergeCell ref="AQ12:AS12"/>
    <mergeCell ref="B12:D12"/>
    <mergeCell ref="E12:G12"/>
    <mergeCell ref="I12:K12"/>
    <mergeCell ref="L12:N12"/>
    <mergeCell ref="P12:R12"/>
    <mergeCell ref="S12:U12"/>
    <mergeCell ref="BB10:BD10"/>
    <mergeCell ref="BE10:BG10"/>
    <mergeCell ref="BI10:BK10"/>
    <mergeCell ref="BL10:BN10"/>
    <mergeCell ref="BP10:BR10"/>
    <mergeCell ref="BS10:BU10"/>
    <mergeCell ref="AD10:AF10"/>
    <mergeCell ref="AG10:AI10"/>
    <mergeCell ref="AN10:AP10"/>
    <mergeCell ref="AQ10:AS10"/>
    <mergeCell ref="AU10:AW10"/>
    <mergeCell ref="AX10:AZ10"/>
    <mergeCell ref="B10:D10"/>
    <mergeCell ref="E10:G10"/>
    <mergeCell ref="I10:K10"/>
    <mergeCell ref="L10:N10"/>
    <mergeCell ref="P10:R10"/>
    <mergeCell ref="S10:U10"/>
    <mergeCell ref="W10:Y10"/>
    <mergeCell ref="Z10:AB10"/>
    <mergeCell ref="B1:BT2"/>
    <mergeCell ref="F3:L3"/>
    <mergeCell ref="M3:S3"/>
    <mergeCell ref="B4:D5"/>
    <mergeCell ref="F4:L5"/>
    <mergeCell ref="M4:S5"/>
    <mergeCell ref="BP9:BR9"/>
    <mergeCell ref="BS9:BU9"/>
    <mergeCell ref="AU9:AW9"/>
    <mergeCell ref="AX9:AZ9"/>
    <mergeCell ref="BB9:BD9"/>
    <mergeCell ref="BE9:BG9"/>
    <mergeCell ref="BI9:BK9"/>
    <mergeCell ref="BL9:BN9"/>
    <mergeCell ref="W9:Y9"/>
    <mergeCell ref="Z9:AB9"/>
    <mergeCell ref="AD9:AF9"/>
    <mergeCell ref="AG9:AI9"/>
    <mergeCell ref="AN9:AP9"/>
    <mergeCell ref="AQ9:AS9"/>
    <mergeCell ref="B6:D7"/>
    <mergeCell ref="F6:L7"/>
    <mergeCell ref="M6:S7"/>
    <mergeCell ref="B9:D9"/>
    <mergeCell ref="E9:G9"/>
    <mergeCell ref="I9:K9"/>
    <mergeCell ref="L9:N9"/>
    <mergeCell ref="P9:R9"/>
    <mergeCell ref="S9:U9"/>
  </mergeCells>
  <pageMargins left="0.70866141732283472" right="0.70866141732283472" top="0.74803149606299213" bottom="0.74803149606299213" header="0.31496062992125984" footer="0.31496062992125984"/>
  <pageSetup paperSize="9" scale="22" fitToHeight="3" orientation="landscape" r:id="rId1"/>
  <rowBreaks count="1" manualBreakCount="1">
    <brk id="3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522E-2390-4F2B-A5C8-4E55E99ED1C2}">
  <dimension ref="A1:B12"/>
  <sheetViews>
    <sheetView workbookViewId="0">
      <selection activeCell="B24" sqref="B24"/>
    </sheetView>
  </sheetViews>
  <sheetFormatPr defaultRowHeight="15" x14ac:dyDescent="0.25"/>
  <cols>
    <col min="1" max="1" width="26.7109375" bestFit="1" customWidth="1"/>
    <col min="2" max="2" width="225.85546875" bestFit="1" customWidth="1"/>
  </cols>
  <sheetData>
    <row r="1" spans="1:2" x14ac:dyDescent="0.25">
      <c r="A1" t="s">
        <v>523</v>
      </c>
      <c r="B1" t="s">
        <v>524</v>
      </c>
    </row>
    <row r="2" spans="1:2" x14ac:dyDescent="0.25">
      <c r="A2" t="s">
        <v>525</v>
      </c>
      <c r="B2" t="s">
        <v>526</v>
      </c>
    </row>
    <row r="3" spans="1:2" x14ac:dyDescent="0.25">
      <c r="A3" t="s">
        <v>272</v>
      </c>
      <c r="B3" t="s">
        <v>527</v>
      </c>
    </row>
    <row r="4" spans="1:2" x14ac:dyDescent="0.25">
      <c r="A4" t="s">
        <v>528</v>
      </c>
    </row>
    <row r="5" spans="1:2" x14ac:dyDescent="0.25">
      <c r="A5" t="s">
        <v>529</v>
      </c>
      <c r="B5" t="s">
        <v>530</v>
      </c>
    </row>
    <row r="6" spans="1:2" x14ac:dyDescent="0.25">
      <c r="A6" t="s">
        <v>531</v>
      </c>
    </row>
    <row r="7" spans="1:2" x14ac:dyDescent="0.25">
      <c r="A7" t="s">
        <v>532</v>
      </c>
    </row>
    <row r="8" spans="1:2" x14ac:dyDescent="0.25">
      <c r="A8" t="s">
        <v>533</v>
      </c>
    </row>
    <row r="9" spans="1:2" x14ac:dyDescent="0.25">
      <c r="A9" t="s">
        <v>534</v>
      </c>
      <c r="B9" t="s">
        <v>535</v>
      </c>
    </row>
    <row r="10" spans="1:2" x14ac:dyDescent="0.25">
      <c r="A10" t="s">
        <v>536</v>
      </c>
      <c r="B10" t="s">
        <v>537</v>
      </c>
    </row>
    <row r="11" spans="1:2" x14ac:dyDescent="0.25">
      <c r="A11" t="s">
        <v>274</v>
      </c>
      <c r="B11" t="s">
        <v>538</v>
      </c>
    </row>
    <row r="12" spans="1:2" x14ac:dyDescent="0.25">
      <c r="A12" t="s">
        <v>539</v>
      </c>
      <c r="B12" t="s">
        <v>540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c80451-ee28-4d88-91b8-dd8d87a891ce" xsi:nil="true"/>
    <lcf76f155ced4ddcb4097134ff3c332f xmlns="0fd18eb8-c69f-4132-9b62-552ee9d8955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F2C359C963F545935EAA8AFA11CC63" ma:contentTypeVersion="10" ma:contentTypeDescription="Create a new document." ma:contentTypeScope="" ma:versionID="27bb8a683602a1140a277ca4fbe058fa">
  <xsd:schema xmlns:xsd="http://www.w3.org/2001/XMLSchema" xmlns:xs="http://www.w3.org/2001/XMLSchema" xmlns:p="http://schemas.microsoft.com/office/2006/metadata/properties" xmlns:ns2="0fd18eb8-c69f-4132-9b62-552ee9d89558" xmlns:ns3="50c80451-ee28-4d88-91b8-dd8d87a891ce" targetNamespace="http://schemas.microsoft.com/office/2006/metadata/properties" ma:root="true" ma:fieldsID="7eec59f623d2c3d8511b59fbee7be12c" ns2:_="" ns3:_="">
    <xsd:import namespace="0fd18eb8-c69f-4132-9b62-552ee9d89558"/>
    <xsd:import namespace="50c80451-ee28-4d88-91b8-dd8d87a891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18eb8-c69f-4132-9b62-552ee9d895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6624216-d583-4636-a04d-17921d6eaf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80451-ee28-4d88-91b8-dd8d87a891c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56236da-a27f-4eda-b81a-5963d8827366}" ma:internalName="TaxCatchAll" ma:showField="CatchAllData" ma:web="50c80451-ee28-4d88-91b8-dd8d87a891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FA77AF-1359-4FC7-9690-AA067B0D7159}">
  <ds:schemaRefs>
    <ds:schemaRef ds:uri="http://schemas.microsoft.com/office/2006/metadata/properties"/>
    <ds:schemaRef ds:uri="http://schemas.microsoft.com/office/infopath/2007/PartnerControls"/>
    <ds:schemaRef ds:uri="50c80451-ee28-4d88-91b8-dd8d87a891ce"/>
    <ds:schemaRef ds:uri="0fd18eb8-c69f-4132-9b62-552ee9d89558"/>
  </ds:schemaRefs>
</ds:datastoreItem>
</file>

<file path=customXml/itemProps2.xml><?xml version="1.0" encoding="utf-8"?>
<ds:datastoreItem xmlns:ds="http://schemas.openxmlformats.org/officeDocument/2006/customXml" ds:itemID="{79CCE2AC-70D5-4037-B77C-ACB5EC0F06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60C147-4EFA-4501-BE58-2A8CF7375A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d18eb8-c69f-4132-9b62-552ee9d89558"/>
    <ds:schemaRef ds:uri="50c80451-ee28-4d88-91b8-dd8d87a891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Field23</vt:lpstr>
      <vt:lpstr>Field24</vt:lpstr>
      <vt:lpstr>Field 23-24</vt:lpstr>
      <vt:lpstr>Trial Plan 2023</vt:lpstr>
      <vt:lpstr>Trial Plan 2024</vt:lpstr>
      <vt:lpstr>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Salazar Licea (staff)</dc:creator>
  <cp:lastModifiedBy>Agnes Aboagye</cp:lastModifiedBy>
  <dcterms:created xsi:type="dcterms:W3CDTF">2025-05-06T02:52:18Z</dcterms:created>
  <dcterms:modified xsi:type="dcterms:W3CDTF">2026-07-27T10:39:45Z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0x010100BFF2C359C963F545935EAA8AFA11CC63</vt:lpwstr>
  </property>
</Properties>
</file>